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nilever-my.sharepoint.com/personal/john_chedid_unilever_com/Documents/Desktop/"/>
    </mc:Choice>
  </mc:AlternateContent>
  <xr:revisionPtr revIDLastSave="3" documentId="8_{FD7EFA65-02B4-441A-B2F8-6519E1BA3A82}" xr6:coauthVersionLast="47" xr6:coauthVersionMax="47" xr10:uidLastSave="{52AF3E4D-8909-4E1A-A01B-444FC986F372}"/>
  <bookViews>
    <workbookView xWindow="-120" yWindow="-120" windowWidth="29040" windowHeight="15720" activeTab="6" xr2:uid="{17DF1656-1DC6-4815-B67F-0B69EA774284}"/>
  </bookViews>
  <sheets>
    <sheet name="Sites" sheetId="8" r:id="rId1"/>
    <sheet name="TMICC" sheetId="1" r:id="rId2"/>
    <sheet name="Sheet1" sheetId="9" state="hidden" r:id="rId3"/>
    <sheet name="CM Info" sheetId="6" r:id="rId4"/>
    <sheet name="Sheet4" sheetId="7" state="hidden" r:id="rId5"/>
    <sheet name="Sheet3" sheetId="3" state="hidden" r:id="rId6"/>
    <sheet name="CA-US List" sheetId="2" r:id="rId7"/>
    <sheet name="Sheet5" sheetId="5" state="hidden" r:id="rId8"/>
  </sheets>
  <definedNames>
    <definedName name="_xlnm._FilterDatabase" localSheetId="2" hidden="1">Sheet1!$A$1:$G$2074</definedName>
    <definedName name="_xlnm._FilterDatabase" localSheetId="7" hidden="1">Sheet5!$A$1:$N$207</definedName>
    <definedName name="_xlnm._FilterDatabase" localSheetId="1" hidden="1">TMICC!$A$1:$G$1790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90" i="1" l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E302" i="9"/>
  <c r="E303" i="9"/>
  <c r="E304" i="9"/>
  <c r="E305" i="9"/>
  <c r="E306" i="9"/>
  <c r="E307" i="9"/>
  <c r="E308" i="9"/>
  <c r="E309" i="9"/>
  <c r="E310" i="9"/>
  <c r="E311" i="9"/>
  <c r="E312" i="9"/>
  <c r="E313" i="9"/>
  <c r="E314" i="9"/>
  <c r="E315" i="9"/>
  <c r="E316" i="9"/>
  <c r="E317" i="9"/>
  <c r="E318" i="9"/>
  <c r="E319" i="9"/>
  <c r="E320" i="9"/>
  <c r="E321" i="9"/>
  <c r="E322" i="9"/>
  <c r="E323" i="9"/>
  <c r="E324" i="9"/>
  <c r="E325" i="9"/>
  <c r="E326" i="9"/>
  <c r="E327" i="9"/>
  <c r="E328" i="9"/>
  <c r="E329" i="9"/>
  <c r="E330" i="9"/>
  <c r="E331" i="9"/>
  <c r="E332" i="9"/>
  <c r="E333" i="9"/>
  <c r="E334" i="9"/>
  <c r="E335" i="9"/>
  <c r="E336" i="9"/>
  <c r="E337" i="9"/>
  <c r="E338" i="9"/>
  <c r="E339" i="9"/>
  <c r="E340" i="9"/>
  <c r="E341" i="9"/>
  <c r="E342" i="9"/>
  <c r="E343" i="9"/>
  <c r="E344" i="9"/>
  <c r="E345" i="9"/>
  <c r="E346" i="9"/>
  <c r="E347" i="9"/>
  <c r="E348" i="9"/>
  <c r="E349" i="9"/>
  <c r="E350" i="9"/>
  <c r="E351" i="9"/>
  <c r="E352" i="9"/>
  <c r="E353" i="9"/>
  <c r="E354" i="9"/>
  <c r="E355" i="9"/>
  <c r="E356" i="9"/>
  <c r="E357" i="9"/>
  <c r="E358" i="9"/>
  <c r="E359" i="9"/>
  <c r="E360" i="9"/>
  <c r="E361" i="9"/>
  <c r="E362" i="9"/>
  <c r="E363" i="9"/>
  <c r="E364" i="9"/>
  <c r="E365" i="9"/>
  <c r="E366" i="9"/>
  <c r="E367" i="9"/>
  <c r="E368" i="9"/>
  <c r="E369" i="9"/>
  <c r="E370" i="9"/>
  <c r="E371" i="9"/>
  <c r="E372" i="9"/>
  <c r="E373" i="9"/>
  <c r="E374" i="9"/>
  <c r="E375" i="9"/>
  <c r="E376" i="9"/>
  <c r="E377" i="9"/>
  <c r="E378" i="9"/>
  <c r="E379" i="9"/>
  <c r="E380" i="9"/>
  <c r="E381" i="9"/>
  <c r="E382" i="9"/>
  <c r="E383" i="9"/>
  <c r="E384" i="9"/>
  <c r="E385" i="9"/>
  <c r="E386" i="9"/>
  <c r="E387" i="9"/>
  <c r="E388" i="9"/>
  <c r="E389" i="9"/>
  <c r="E390" i="9"/>
  <c r="E391" i="9"/>
  <c r="E392" i="9"/>
  <c r="E393" i="9"/>
  <c r="E394" i="9"/>
  <c r="E395" i="9"/>
  <c r="E396" i="9"/>
  <c r="E397" i="9"/>
  <c r="E398" i="9"/>
  <c r="E399" i="9"/>
  <c r="E400" i="9"/>
  <c r="E401" i="9"/>
  <c r="E402" i="9"/>
  <c r="E403" i="9"/>
  <c r="E404" i="9"/>
  <c r="E405" i="9"/>
  <c r="E406" i="9"/>
  <c r="E407" i="9"/>
  <c r="E408" i="9"/>
  <c r="E409" i="9"/>
  <c r="E410" i="9"/>
  <c r="E411" i="9"/>
  <c r="E412" i="9"/>
  <c r="E413" i="9"/>
  <c r="E414" i="9"/>
  <c r="E415" i="9"/>
  <c r="E416" i="9"/>
  <c r="E417" i="9"/>
  <c r="E418" i="9"/>
  <c r="E419" i="9"/>
  <c r="E420" i="9"/>
  <c r="E421" i="9"/>
  <c r="E422" i="9"/>
  <c r="E423" i="9"/>
  <c r="E424" i="9"/>
  <c r="E425" i="9"/>
  <c r="E426" i="9"/>
  <c r="E427" i="9"/>
  <c r="E428" i="9"/>
  <c r="E429" i="9"/>
  <c r="E430" i="9"/>
  <c r="E431" i="9"/>
  <c r="E432" i="9"/>
  <c r="E433" i="9"/>
  <c r="E434" i="9"/>
  <c r="E435" i="9"/>
  <c r="E436" i="9"/>
  <c r="E437" i="9"/>
  <c r="E438" i="9"/>
  <c r="E439" i="9"/>
  <c r="E440" i="9"/>
  <c r="E441" i="9"/>
  <c r="E442" i="9"/>
  <c r="E443" i="9"/>
  <c r="E444" i="9"/>
  <c r="E445" i="9"/>
  <c r="E446" i="9"/>
  <c r="E447" i="9"/>
  <c r="E448" i="9"/>
  <c r="E449" i="9"/>
  <c r="E450" i="9"/>
  <c r="E451" i="9"/>
  <c r="E452" i="9"/>
  <c r="E453" i="9"/>
  <c r="E454" i="9"/>
  <c r="E455" i="9"/>
  <c r="E456" i="9"/>
  <c r="E457" i="9"/>
  <c r="E458" i="9"/>
  <c r="E459" i="9"/>
  <c r="E460" i="9"/>
  <c r="E461" i="9"/>
  <c r="E462" i="9"/>
  <c r="E463" i="9"/>
  <c r="E464" i="9"/>
  <c r="E465" i="9"/>
  <c r="E466" i="9"/>
  <c r="E467" i="9"/>
  <c r="E468" i="9"/>
  <c r="E469" i="9"/>
  <c r="E470" i="9"/>
  <c r="E471" i="9"/>
  <c r="E472" i="9"/>
  <c r="E473" i="9"/>
  <c r="E474" i="9"/>
  <c r="E475" i="9"/>
  <c r="E476" i="9"/>
  <c r="E477" i="9"/>
  <c r="E478" i="9"/>
  <c r="E479" i="9"/>
  <c r="E480" i="9"/>
  <c r="E481" i="9"/>
  <c r="E482" i="9"/>
  <c r="E483" i="9"/>
  <c r="E484" i="9"/>
  <c r="E485" i="9"/>
  <c r="E486" i="9"/>
  <c r="E487" i="9"/>
  <c r="E488" i="9"/>
  <c r="E489" i="9"/>
  <c r="E490" i="9"/>
  <c r="E491" i="9"/>
  <c r="E492" i="9"/>
  <c r="E493" i="9"/>
  <c r="E494" i="9"/>
  <c r="E495" i="9"/>
  <c r="E496" i="9"/>
  <c r="E497" i="9"/>
  <c r="E498" i="9"/>
  <c r="E499" i="9"/>
  <c r="E500" i="9"/>
  <c r="E501" i="9"/>
  <c r="E502" i="9"/>
  <c r="E503" i="9"/>
  <c r="E504" i="9"/>
  <c r="E505" i="9"/>
  <c r="E506" i="9"/>
  <c r="E507" i="9"/>
  <c r="E508" i="9"/>
  <c r="E509" i="9"/>
  <c r="E510" i="9"/>
  <c r="E511" i="9"/>
  <c r="E512" i="9"/>
  <c r="E513" i="9"/>
  <c r="E514" i="9"/>
  <c r="E515" i="9"/>
  <c r="E516" i="9"/>
  <c r="E517" i="9"/>
  <c r="E518" i="9"/>
  <c r="E519" i="9"/>
  <c r="E520" i="9"/>
  <c r="E521" i="9"/>
  <c r="E522" i="9"/>
  <c r="E523" i="9"/>
  <c r="E524" i="9"/>
  <c r="E525" i="9"/>
  <c r="E526" i="9"/>
  <c r="E527" i="9"/>
  <c r="E528" i="9"/>
  <c r="E529" i="9"/>
  <c r="E530" i="9"/>
  <c r="E531" i="9"/>
  <c r="E532" i="9"/>
  <c r="E533" i="9"/>
  <c r="E534" i="9"/>
  <c r="E535" i="9"/>
  <c r="E536" i="9"/>
  <c r="E537" i="9"/>
  <c r="E538" i="9"/>
  <c r="E539" i="9"/>
  <c r="E540" i="9"/>
  <c r="E541" i="9"/>
  <c r="E542" i="9"/>
  <c r="E543" i="9"/>
  <c r="E544" i="9"/>
  <c r="E545" i="9"/>
  <c r="E546" i="9"/>
  <c r="E547" i="9"/>
  <c r="E548" i="9"/>
  <c r="E549" i="9"/>
  <c r="E550" i="9"/>
  <c r="E551" i="9"/>
  <c r="E552" i="9"/>
  <c r="E553" i="9"/>
  <c r="E554" i="9"/>
  <c r="E555" i="9"/>
  <c r="E556" i="9"/>
  <c r="E557" i="9"/>
  <c r="E558" i="9"/>
  <c r="E559" i="9"/>
  <c r="E560" i="9"/>
  <c r="E561" i="9"/>
  <c r="E562" i="9"/>
  <c r="E563" i="9"/>
  <c r="E564" i="9"/>
  <c r="E565" i="9"/>
  <c r="E566" i="9"/>
  <c r="E567" i="9"/>
  <c r="E568" i="9"/>
  <c r="E569" i="9"/>
  <c r="E570" i="9"/>
  <c r="E571" i="9"/>
  <c r="E572" i="9"/>
  <c r="E573" i="9"/>
  <c r="E574" i="9"/>
  <c r="E575" i="9"/>
  <c r="E576" i="9"/>
  <c r="E577" i="9"/>
  <c r="E578" i="9"/>
  <c r="E579" i="9"/>
  <c r="E580" i="9"/>
  <c r="E581" i="9"/>
  <c r="E582" i="9"/>
  <c r="E583" i="9"/>
  <c r="E584" i="9"/>
  <c r="E585" i="9"/>
  <c r="E586" i="9"/>
  <c r="E587" i="9"/>
  <c r="E588" i="9"/>
  <c r="E589" i="9"/>
  <c r="E590" i="9"/>
  <c r="E591" i="9"/>
  <c r="E592" i="9"/>
  <c r="E593" i="9"/>
  <c r="E594" i="9"/>
  <c r="E595" i="9"/>
  <c r="E596" i="9"/>
  <c r="E597" i="9"/>
  <c r="E598" i="9"/>
  <c r="E599" i="9"/>
  <c r="E600" i="9"/>
  <c r="E601" i="9"/>
  <c r="E602" i="9"/>
  <c r="E603" i="9"/>
  <c r="E604" i="9"/>
  <c r="E605" i="9"/>
  <c r="E606" i="9"/>
  <c r="E607" i="9"/>
  <c r="E608" i="9"/>
  <c r="E609" i="9"/>
  <c r="E610" i="9"/>
  <c r="E611" i="9"/>
  <c r="E612" i="9"/>
  <c r="E613" i="9"/>
  <c r="E614" i="9"/>
  <c r="E615" i="9"/>
  <c r="E616" i="9"/>
  <c r="E617" i="9"/>
  <c r="E618" i="9"/>
  <c r="E619" i="9"/>
  <c r="E620" i="9"/>
  <c r="E621" i="9"/>
  <c r="E622" i="9"/>
  <c r="E623" i="9"/>
  <c r="E624" i="9"/>
  <c r="E625" i="9"/>
  <c r="E626" i="9"/>
  <c r="E627" i="9"/>
  <c r="E628" i="9"/>
  <c r="E629" i="9"/>
  <c r="E630" i="9"/>
  <c r="E631" i="9"/>
  <c r="E632" i="9"/>
  <c r="E633" i="9"/>
  <c r="E634" i="9"/>
  <c r="E635" i="9"/>
  <c r="E636" i="9"/>
  <c r="E637" i="9"/>
  <c r="E638" i="9"/>
  <c r="E639" i="9"/>
  <c r="E640" i="9"/>
  <c r="E641" i="9"/>
  <c r="E642" i="9"/>
  <c r="E643" i="9"/>
  <c r="E644" i="9"/>
  <c r="E645" i="9"/>
  <c r="E646" i="9"/>
  <c r="E647" i="9"/>
  <c r="E648" i="9"/>
  <c r="E649" i="9"/>
  <c r="E650" i="9"/>
  <c r="E651" i="9"/>
  <c r="E652" i="9"/>
  <c r="E653" i="9"/>
  <c r="E654" i="9"/>
  <c r="E655" i="9"/>
  <c r="E656" i="9"/>
  <c r="E657" i="9"/>
  <c r="E658" i="9"/>
  <c r="E659" i="9"/>
  <c r="E660" i="9"/>
  <c r="E661" i="9"/>
  <c r="E662" i="9"/>
  <c r="E663" i="9"/>
  <c r="E664" i="9"/>
  <c r="E665" i="9"/>
  <c r="E666" i="9"/>
  <c r="E667" i="9"/>
  <c r="E668" i="9"/>
  <c r="E669" i="9"/>
  <c r="E670" i="9"/>
  <c r="E671" i="9"/>
  <c r="E672" i="9"/>
  <c r="E673" i="9"/>
  <c r="E674" i="9"/>
  <c r="E675" i="9"/>
  <c r="E676" i="9"/>
  <c r="E677" i="9"/>
  <c r="E678" i="9"/>
  <c r="E679" i="9"/>
  <c r="E680" i="9"/>
  <c r="E681" i="9"/>
  <c r="E682" i="9"/>
  <c r="E683" i="9"/>
  <c r="E684" i="9"/>
  <c r="E685" i="9"/>
  <c r="E686" i="9"/>
  <c r="E687" i="9"/>
  <c r="E688" i="9"/>
  <c r="E689" i="9"/>
  <c r="E690" i="9"/>
  <c r="E691" i="9"/>
  <c r="E692" i="9"/>
  <c r="E693" i="9"/>
  <c r="E694" i="9"/>
  <c r="E695" i="9"/>
  <c r="E696" i="9"/>
  <c r="E697" i="9"/>
  <c r="E698" i="9"/>
  <c r="E699" i="9"/>
  <c r="E700" i="9"/>
  <c r="E701" i="9"/>
  <c r="E702" i="9"/>
  <c r="E703" i="9"/>
  <c r="E704" i="9"/>
  <c r="E705" i="9"/>
  <c r="E706" i="9"/>
  <c r="E707" i="9"/>
  <c r="E708" i="9"/>
  <c r="E709" i="9"/>
  <c r="E710" i="9"/>
  <c r="E711" i="9"/>
  <c r="E712" i="9"/>
  <c r="E713" i="9"/>
  <c r="E714" i="9"/>
  <c r="E715" i="9"/>
  <c r="E716" i="9"/>
  <c r="E717" i="9"/>
  <c r="E718" i="9"/>
  <c r="E719" i="9"/>
  <c r="E720" i="9"/>
  <c r="E721" i="9"/>
  <c r="E722" i="9"/>
  <c r="E723" i="9"/>
  <c r="E724" i="9"/>
  <c r="E725" i="9"/>
  <c r="E726" i="9"/>
  <c r="E727" i="9"/>
  <c r="E728" i="9"/>
  <c r="E729" i="9"/>
  <c r="E730" i="9"/>
  <c r="E731" i="9"/>
  <c r="E732" i="9"/>
  <c r="E733" i="9"/>
  <c r="E734" i="9"/>
  <c r="E735" i="9"/>
  <c r="E736" i="9"/>
  <c r="E737" i="9"/>
  <c r="E738" i="9"/>
  <c r="E739" i="9"/>
  <c r="E740" i="9"/>
  <c r="E741" i="9"/>
  <c r="E742" i="9"/>
  <c r="E743" i="9"/>
  <c r="E744" i="9"/>
  <c r="E745" i="9"/>
  <c r="E746" i="9"/>
  <c r="E747" i="9"/>
  <c r="E748" i="9"/>
  <c r="E749" i="9"/>
  <c r="E750" i="9"/>
  <c r="E751" i="9"/>
  <c r="E752" i="9"/>
  <c r="E753" i="9"/>
  <c r="E754" i="9"/>
  <c r="E755" i="9"/>
  <c r="E756" i="9"/>
  <c r="E757" i="9"/>
  <c r="E758" i="9"/>
  <c r="E759" i="9"/>
  <c r="E760" i="9"/>
  <c r="E761" i="9"/>
  <c r="E762" i="9"/>
  <c r="E763" i="9"/>
  <c r="E764" i="9"/>
  <c r="E765" i="9"/>
  <c r="E766" i="9"/>
  <c r="E767" i="9"/>
  <c r="E768" i="9"/>
  <c r="E769" i="9"/>
  <c r="E770" i="9"/>
  <c r="E771" i="9"/>
  <c r="E772" i="9"/>
  <c r="E773" i="9"/>
  <c r="E774" i="9"/>
  <c r="E775" i="9"/>
  <c r="E776" i="9"/>
  <c r="E777" i="9"/>
  <c r="E778" i="9"/>
  <c r="E779" i="9"/>
  <c r="E780" i="9"/>
  <c r="E781" i="9"/>
  <c r="E782" i="9"/>
  <c r="E783" i="9"/>
  <c r="E784" i="9"/>
  <c r="E785" i="9"/>
  <c r="E786" i="9"/>
  <c r="E787" i="9"/>
  <c r="E788" i="9"/>
  <c r="E789" i="9"/>
  <c r="E790" i="9"/>
  <c r="E791" i="9"/>
  <c r="E792" i="9"/>
  <c r="E793" i="9"/>
  <c r="E794" i="9"/>
  <c r="E795" i="9"/>
  <c r="E796" i="9"/>
  <c r="E797" i="9"/>
  <c r="E798" i="9"/>
  <c r="E799" i="9"/>
  <c r="E800" i="9"/>
  <c r="E801" i="9"/>
  <c r="E802" i="9"/>
  <c r="E803" i="9"/>
  <c r="E804" i="9"/>
  <c r="E805" i="9"/>
  <c r="E806" i="9"/>
  <c r="E807" i="9"/>
  <c r="E808" i="9"/>
  <c r="E809" i="9"/>
  <c r="E810" i="9"/>
  <c r="E811" i="9"/>
  <c r="E812" i="9"/>
  <c r="E813" i="9"/>
  <c r="E814" i="9"/>
  <c r="E815" i="9"/>
  <c r="E816" i="9"/>
  <c r="E817" i="9"/>
  <c r="E818" i="9"/>
  <c r="E819" i="9"/>
  <c r="E820" i="9"/>
  <c r="E821" i="9"/>
  <c r="E822" i="9"/>
  <c r="E823" i="9"/>
  <c r="E824" i="9"/>
  <c r="E825" i="9"/>
  <c r="E826" i="9"/>
  <c r="E827" i="9"/>
  <c r="E828" i="9"/>
  <c r="E829" i="9"/>
  <c r="E830" i="9"/>
  <c r="E831" i="9"/>
  <c r="E832" i="9"/>
  <c r="E833" i="9"/>
  <c r="E834" i="9"/>
  <c r="E835" i="9"/>
  <c r="E836" i="9"/>
  <c r="E837" i="9"/>
  <c r="E838" i="9"/>
  <c r="E839" i="9"/>
  <c r="E840" i="9"/>
  <c r="E841" i="9"/>
  <c r="E842" i="9"/>
  <c r="E843" i="9"/>
  <c r="E844" i="9"/>
  <c r="E845" i="9"/>
  <c r="E846" i="9"/>
  <c r="E847" i="9"/>
  <c r="E848" i="9"/>
  <c r="E849" i="9"/>
  <c r="E850" i="9"/>
  <c r="E851" i="9"/>
  <c r="E852" i="9"/>
  <c r="E853" i="9"/>
  <c r="E854" i="9"/>
  <c r="E855" i="9"/>
  <c r="E856" i="9"/>
  <c r="E857" i="9"/>
  <c r="E858" i="9"/>
  <c r="E859" i="9"/>
  <c r="E860" i="9"/>
  <c r="E861" i="9"/>
  <c r="E862" i="9"/>
  <c r="E863" i="9"/>
  <c r="E864" i="9"/>
  <c r="E865" i="9"/>
  <c r="E866" i="9"/>
  <c r="E867" i="9"/>
  <c r="E868" i="9"/>
  <c r="E869" i="9"/>
  <c r="E870" i="9"/>
  <c r="E871" i="9"/>
  <c r="E872" i="9"/>
  <c r="E873" i="9"/>
  <c r="E874" i="9"/>
  <c r="E875" i="9"/>
  <c r="E876" i="9"/>
  <c r="E877" i="9"/>
  <c r="E878" i="9"/>
  <c r="E879" i="9"/>
  <c r="E880" i="9"/>
  <c r="E881" i="9"/>
  <c r="E882" i="9"/>
  <c r="E883" i="9"/>
  <c r="E884" i="9"/>
  <c r="E885" i="9"/>
  <c r="E886" i="9"/>
  <c r="E887" i="9"/>
  <c r="E888" i="9"/>
  <c r="E889" i="9"/>
  <c r="E890" i="9"/>
  <c r="E891" i="9"/>
  <c r="E892" i="9"/>
  <c r="E893" i="9"/>
  <c r="E894" i="9"/>
  <c r="E895" i="9"/>
  <c r="E896" i="9"/>
  <c r="E897" i="9"/>
  <c r="E898" i="9"/>
  <c r="E899" i="9"/>
  <c r="E900" i="9"/>
  <c r="E901" i="9"/>
  <c r="E902" i="9"/>
  <c r="E903" i="9"/>
  <c r="E904" i="9"/>
  <c r="E905" i="9"/>
  <c r="E906" i="9"/>
  <c r="E907" i="9"/>
  <c r="E908" i="9"/>
  <c r="E909" i="9"/>
  <c r="E910" i="9"/>
  <c r="E911" i="9"/>
  <c r="E912" i="9"/>
  <c r="E913" i="9"/>
  <c r="E914" i="9"/>
  <c r="E915" i="9"/>
  <c r="E916" i="9"/>
  <c r="E917" i="9"/>
  <c r="E918" i="9"/>
  <c r="E919" i="9"/>
  <c r="E920" i="9"/>
  <c r="E921" i="9"/>
  <c r="E922" i="9"/>
  <c r="E923" i="9"/>
  <c r="E924" i="9"/>
  <c r="E925" i="9"/>
  <c r="E926" i="9"/>
  <c r="E927" i="9"/>
  <c r="E928" i="9"/>
  <c r="E929" i="9"/>
  <c r="E930" i="9"/>
  <c r="E931" i="9"/>
  <c r="E932" i="9"/>
  <c r="E933" i="9"/>
  <c r="E934" i="9"/>
  <c r="E935" i="9"/>
  <c r="E936" i="9"/>
  <c r="E937" i="9"/>
  <c r="E938" i="9"/>
  <c r="E939" i="9"/>
  <c r="E940" i="9"/>
  <c r="E941" i="9"/>
  <c r="E942" i="9"/>
  <c r="E943" i="9"/>
  <c r="E944" i="9"/>
  <c r="E945" i="9"/>
  <c r="E946" i="9"/>
  <c r="E947" i="9"/>
  <c r="E948" i="9"/>
  <c r="E949" i="9"/>
  <c r="E950" i="9"/>
  <c r="E951" i="9"/>
  <c r="E952" i="9"/>
  <c r="E953" i="9"/>
  <c r="E954" i="9"/>
  <c r="E955" i="9"/>
  <c r="E956" i="9"/>
  <c r="E957" i="9"/>
  <c r="E958" i="9"/>
  <c r="E959" i="9"/>
  <c r="E960" i="9"/>
  <c r="E961" i="9"/>
  <c r="E962" i="9"/>
  <c r="E963" i="9"/>
  <c r="E964" i="9"/>
  <c r="E965" i="9"/>
  <c r="E966" i="9"/>
  <c r="E967" i="9"/>
  <c r="E968" i="9"/>
  <c r="E969" i="9"/>
  <c r="E970" i="9"/>
  <c r="E971" i="9"/>
  <c r="E972" i="9"/>
  <c r="E973" i="9"/>
  <c r="E974" i="9"/>
  <c r="E975" i="9"/>
  <c r="E976" i="9"/>
  <c r="E977" i="9"/>
  <c r="E978" i="9"/>
  <c r="E979" i="9"/>
  <c r="E980" i="9"/>
  <c r="E981" i="9"/>
  <c r="E982" i="9"/>
  <c r="E983" i="9"/>
  <c r="E984" i="9"/>
  <c r="E985" i="9"/>
  <c r="E986" i="9"/>
  <c r="E987" i="9"/>
  <c r="E988" i="9"/>
  <c r="E989" i="9"/>
  <c r="E990" i="9"/>
  <c r="E991" i="9"/>
  <c r="E992" i="9"/>
  <c r="E993" i="9"/>
  <c r="E994" i="9"/>
  <c r="E995" i="9"/>
  <c r="E996" i="9"/>
  <c r="E997" i="9"/>
  <c r="E998" i="9"/>
  <c r="E999" i="9"/>
  <c r="E1000" i="9"/>
  <c r="E1001" i="9"/>
  <c r="E1002" i="9"/>
  <c r="E1003" i="9"/>
  <c r="E1004" i="9"/>
  <c r="E1005" i="9"/>
  <c r="E1006" i="9"/>
  <c r="E1007" i="9"/>
  <c r="E1008" i="9"/>
  <c r="E1009" i="9"/>
  <c r="E1010" i="9"/>
  <c r="E1011" i="9"/>
  <c r="E1012" i="9"/>
  <c r="E1013" i="9"/>
  <c r="E1014" i="9"/>
  <c r="E1015" i="9"/>
  <c r="E1016" i="9"/>
  <c r="E1017" i="9"/>
  <c r="E1018" i="9"/>
  <c r="E1019" i="9"/>
  <c r="E1020" i="9"/>
  <c r="E1021" i="9"/>
  <c r="E1022" i="9"/>
  <c r="E1023" i="9"/>
  <c r="E1024" i="9"/>
  <c r="E1025" i="9"/>
  <c r="E1026" i="9"/>
  <c r="E1027" i="9"/>
  <c r="E1028" i="9"/>
  <c r="E1029" i="9"/>
  <c r="E1030" i="9"/>
  <c r="E1031" i="9"/>
  <c r="E1032" i="9"/>
  <c r="E1033" i="9"/>
  <c r="E1034" i="9"/>
  <c r="E1035" i="9"/>
  <c r="E1036" i="9"/>
  <c r="E1037" i="9"/>
  <c r="E1038" i="9"/>
  <c r="E1039" i="9"/>
  <c r="E1040" i="9"/>
  <c r="E1041" i="9"/>
  <c r="E1042" i="9"/>
  <c r="E1043" i="9"/>
  <c r="E1044" i="9"/>
  <c r="E1045" i="9"/>
  <c r="E1046" i="9"/>
  <c r="E1047" i="9"/>
  <c r="E1048" i="9"/>
  <c r="E1049" i="9"/>
  <c r="E1050" i="9"/>
  <c r="E1051" i="9"/>
  <c r="E1052" i="9"/>
  <c r="E1053" i="9"/>
  <c r="E1054" i="9"/>
  <c r="E1055" i="9"/>
  <c r="E1056" i="9"/>
  <c r="E1057" i="9"/>
  <c r="E1058" i="9"/>
  <c r="E1059" i="9"/>
  <c r="E1060" i="9"/>
  <c r="E1061" i="9"/>
  <c r="E1062" i="9"/>
  <c r="E1063" i="9"/>
  <c r="E1064" i="9"/>
  <c r="E1065" i="9"/>
  <c r="E1066" i="9"/>
  <c r="E1067" i="9"/>
  <c r="E1068" i="9"/>
  <c r="E1069" i="9"/>
  <c r="E1070" i="9"/>
  <c r="E1071" i="9"/>
  <c r="E1072" i="9"/>
  <c r="E1073" i="9"/>
  <c r="E1074" i="9"/>
  <c r="E1075" i="9"/>
  <c r="E1076" i="9"/>
  <c r="E1077" i="9"/>
  <c r="E1078" i="9"/>
  <c r="E1079" i="9"/>
  <c r="E1080" i="9"/>
  <c r="E1081" i="9"/>
  <c r="E1082" i="9"/>
  <c r="E1083" i="9"/>
  <c r="E1084" i="9"/>
  <c r="E1085" i="9"/>
  <c r="E1086" i="9"/>
  <c r="E1087" i="9"/>
  <c r="E1088" i="9"/>
  <c r="E1089" i="9"/>
  <c r="E1090" i="9"/>
  <c r="E1091" i="9"/>
  <c r="E1092" i="9"/>
  <c r="E1093" i="9"/>
  <c r="E1094" i="9"/>
  <c r="E1095" i="9"/>
  <c r="E1096" i="9"/>
  <c r="E1097" i="9"/>
  <c r="E1098" i="9"/>
  <c r="E1099" i="9"/>
  <c r="E1100" i="9"/>
  <c r="E1101" i="9"/>
  <c r="E1102" i="9"/>
  <c r="E1103" i="9"/>
  <c r="E1104" i="9"/>
  <c r="E1105" i="9"/>
  <c r="E1106" i="9"/>
  <c r="E1107" i="9"/>
  <c r="E1108" i="9"/>
  <c r="E1109" i="9"/>
  <c r="E1110" i="9"/>
  <c r="E1111" i="9"/>
  <c r="E1112" i="9"/>
  <c r="E1113" i="9"/>
  <c r="E1114" i="9"/>
  <c r="E1115" i="9"/>
  <c r="E1116" i="9"/>
  <c r="E1117" i="9"/>
  <c r="E1118" i="9"/>
  <c r="E1119" i="9"/>
  <c r="E1120" i="9"/>
  <c r="E1121" i="9"/>
  <c r="E1122" i="9"/>
  <c r="E1123" i="9"/>
  <c r="E1124" i="9"/>
  <c r="E1125" i="9"/>
  <c r="E1126" i="9"/>
  <c r="E1127" i="9"/>
  <c r="E1128" i="9"/>
  <c r="E1129" i="9"/>
  <c r="E1130" i="9"/>
  <c r="E1131" i="9"/>
  <c r="E1132" i="9"/>
  <c r="E1133" i="9"/>
  <c r="E1134" i="9"/>
  <c r="E1135" i="9"/>
  <c r="E1136" i="9"/>
  <c r="E1137" i="9"/>
  <c r="E1138" i="9"/>
  <c r="E1139" i="9"/>
  <c r="E1140" i="9"/>
  <c r="E1141" i="9"/>
  <c r="E1142" i="9"/>
  <c r="E1143" i="9"/>
  <c r="E1144" i="9"/>
  <c r="E1145" i="9"/>
  <c r="E1146" i="9"/>
  <c r="E1147" i="9"/>
  <c r="E1148" i="9"/>
  <c r="E1149" i="9"/>
  <c r="E1150" i="9"/>
  <c r="E1151" i="9"/>
  <c r="E1152" i="9"/>
  <c r="E1153" i="9"/>
  <c r="E1154" i="9"/>
  <c r="E1155" i="9"/>
  <c r="E1156" i="9"/>
  <c r="E1157" i="9"/>
  <c r="E1158" i="9"/>
  <c r="E1159" i="9"/>
  <c r="E1160" i="9"/>
  <c r="E1161" i="9"/>
  <c r="E1162" i="9"/>
  <c r="E1163" i="9"/>
  <c r="E1164" i="9"/>
  <c r="E1165" i="9"/>
  <c r="E1166" i="9"/>
  <c r="E1167" i="9"/>
  <c r="E1168" i="9"/>
  <c r="E1169" i="9"/>
  <c r="E1170" i="9"/>
  <c r="E1171" i="9"/>
  <c r="E1172" i="9"/>
  <c r="E1173" i="9"/>
  <c r="E1174" i="9"/>
  <c r="E1175" i="9"/>
  <c r="E1176" i="9"/>
  <c r="E1177" i="9"/>
  <c r="E1178" i="9"/>
  <c r="E1179" i="9"/>
  <c r="E1180" i="9"/>
  <c r="E1181" i="9"/>
  <c r="E1182" i="9"/>
  <c r="E1183" i="9"/>
  <c r="E1184" i="9"/>
  <c r="E1185" i="9"/>
  <c r="E1186" i="9"/>
  <c r="E1187" i="9"/>
  <c r="E1188" i="9"/>
  <c r="E1189" i="9"/>
  <c r="E1190" i="9"/>
  <c r="E1191" i="9"/>
  <c r="E1192" i="9"/>
  <c r="E1193" i="9"/>
  <c r="E1194" i="9"/>
  <c r="E1195" i="9"/>
  <c r="E1196" i="9"/>
  <c r="E1197" i="9"/>
  <c r="E1198" i="9"/>
  <c r="E1199" i="9"/>
  <c r="E1200" i="9"/>
  <c r="E1201" i="9"/>
  <c r="E1202" i="9"/>
  <c r="E1203" i="9"/>
  <c r="E1204" i="9"/>
  <c r="E1205" i="9"/>
  <c r="E1206" i="9"/>
  <c r="E1207" i="9"/>
  <c r="E1208" i="9"/>
  <c r="E1209" i="9"/>
  <c r="E1210" i="9"/>
  <c r="E1211" i="9"/>
  <c r="E1212" i="9"/>
  <c r="E1213" i="9"/>
  <c r="E1214" i="9"/>
  <c r="E1215" i="9"/>
  <c r="E1216" i="9"/>
  <c r="E1217" i="9"/>
  <c r="E1218" i="9"/>
  <c r="E1219" i="9"/>
  <c r="E1220" i="9"/>
  <c r="E1221" i="9"/>
  <c r="E1222" i="9"/>
  <c r="E1223" i="9"/>
  <c r="E1224" i="9"/>
  <c r="E1225" i="9"/>
  <c r="E1226" i="9"/>
  <c r="E1227" i="9"/>
  <c r="E1228" i="9"/>
  <c r="E1229" i="9"/>
  <c r="E1230" i="9"/>
  <c r="E1231" i="9"/>
  <c r="E1232" i="9"/>
  <c r="E1233" i="9"/>
  <c r="E1234" i="9"/>
  <c r="E1235" i="9"/>
  <c r="E1236" i="9"/>
  <c r="E1237" i="9"/>
  <c r="E1238" i="9"/>
  <c r="E1239" i="9"/>
  <c r="E1240" i="9"/>
  <c r="E1241" i="9"/>
  <c r="E1242" i="9"/>
  <c r="E1243" i="9"/>
  <c r="E1244" i="9"/>
  <c r="E1245" i="9"/>
  <c r="E1246" i="9"/>
  <c r="E1247" i="9"/>
  <c r="E1248" i="9"/>
  <c r="E1249" i="9"/>
  <c r="E1250" i="9"/>
  <c r="E1251" i="9"/>
  <c r="E1252" i="9"/>
  <c r="E1253" i="9"/>
  <c r="E1254" i="9"/>
  <c r="E1255" i="9"/>
  <c r="E1256" i="9"/>
  <c r="E1257" i="9"/>
  <c r="E1258" i="9"/>
  <c r="E1259" i="9"/>
  <c r="E1260" i="9"/>
  <c r="E1261" i="9"/>
  <c r="E1262" i="9"/>
  <c r="E1263" i="9"/>
  <c r="E1264" i="9"/>
  <c r="E1265" i="9"/>
  <c r="E1266" i="9"/>
  <c r="E1267" i="9"/>
  <c r="E1268" i="9"/>
  <c r="E1269" i="9"/>
  <c r="E1270" i="9"/>
  <c r="E1271" i="9"/>
  <c r="E1272" i="9"/>
  <c r="E1273" i="9"/>
  <c r="E1274" i="9"/>
  <c r="E1275" i="9"/>
  <c r="E1276" i="9"/>
  <c r="E1277" i="9"/>
  <c r="E1278" i="9"/>
  <c r="E1279" i="9"/>
  <c r="E1280" i="9"/>
  <c r="E1281" i="9"/>
  <c r="E1282" i="9"/>
  <c r="E1283" i="9"/>
  <c r="E1284" i="9"/>
  <c r="E1285" i="9"/>
  <c r="E1286" i="9"/>
  <c r="E1287" i="9"/>
  <c r="E1288" i="9"/>
  <c r="E1289" i="9"/>
  <c r="E1290" i="9"/>
  <c r="E1291" i="9"/>
  <c r="E1292" i="9"/>
  <c r="E1293" i="9"/>
  <c r="E1294" i="9"/>
  <c r="E1295" i="9"/>
  <c r="E1296" i="9"/>
  <c r="E1297" i="9"/>
  <c r="E1298" i="9"/>
  <c r="E1299" i="9"/>
  <c r="E1300" i="9"/>
  <c r="E1301" i="9"/>
  <c r="E1302" i="9"/>
  <c r="E1303" i="9"/>
  <c r="E1304" i="9"/>
  <c r="E1305" i="9"/>
  <c r="E1306" i="9"/>
  <c r="E1307" i="9"/>
  <c r="E1308" i="9"/>
  <c r="E1309" i="9"/>
  <c r="E1310" i="9"/>
  <c r="E1311" i="9"/>
  <c r="E1312" i="9"/>
  <c r="E1313" i="9"/>
  <c r="E1314" i="9"/>
  <c r="E1315" i="9"/>
  <c r="E1316" i="9"/>
  <c r="E1317" i="9"/>
  <c r="E1318" i="9"/>
  <c r="E1319" i="9"/>
  <c r="E1320" i="9"/>
  <c r="E1321" i="9"/>
  <c r="E1322" i="9"/>
  <c r="E1323" i="9"/>
  <c r="E1324" i="9"/>
  <c r="E1325" i="9"/>
  <c r="E1326" i="9"/>
  <c r="E1327" i="9"/>
  <c r="E1328" i="9"/>
  <c r="E1329" i="9"/>
  <c r="E1330" i="9"/>
  <c r="E1331" i="9"/>
  <c r="E1332" i="9"/>
  <c r="E1333" i="9"/>
  <c r="E1334" i="9"/>
  <c r="E1335" i="9"/>
  <c r="E1336" i="9"/>
  <c r="E1337" i="9"/>
  <c r="E1338" i="9"/>
  <c r="E1339" i="9"/>
  <c r="E1340" i="9"/>
  <c r="E1341" i="9"/>
  <c r="E1342" i="9"/>
  <c r="E1343" i="9"/>
  <c r="E1344" i="9"/>
  <c r="E1345" i="9"/>
  <c r="E1346" i="9"/>
  <c r="E1347" i="9"/>
  <c r="E1348" i="9"/>
  <c r="E1349" i="9"/>
  <c r="E1350" i="9"/>
  <c r="E1351" i="9"/>
  <c r="E1352" i="9"/>
  <c r="E1353" i="9"/>
  <c r="E1354" i="9"/>
  <c r="E1355" i="9"/>
  <c r="E1356" i="9"/>
  <c r="E1357" i="9"/>
  <c r="E1358" i="9"/>
  <c r="E1359" i="9"/>
  <c r="E1360" i="9"/>
  <c r="E1361" i="9"/>
  <c r="E1362" i="9"/>
  <c r="E1363" i="9"/>
  <c r="E1364" i="9"/>
  <c r="E1365" i="9"/>
  <c r="E1366" i="9"/>
  <c r="E1367" i="9"/>
  <c r="E1368" i="9"/>
  <c r="E1369" i="9"/>
  <c r="E1370" i="9"/>
  <c r="E1371" i="9"/>
  <c r="E1372" i="9"/>
  <c r="E1373" i="9"/>
  <c r="E1374" i="9"/>
  <c r="E1375" i="9"/>
  <c r="E1376" i="9"/>
  <c r="E1377" i="9"/>
  <c r="E1378" i="9"/>
  <c r="E1379" i="9"/>
  <c r="E1380" i="9"/>
  <c r="E1381" i="9"/>
  <c r="E1382" i="9"/>
  <c r="E1383" i="9"/>
  <c r="E1384" i="9"/>
  <c r="E1385" i="9"/>
  <c r="E1386" i="9"/>
  <c r="E1387" i="9"/>
  <c r="E1388" i="9"/>
  <c r="E1389" i="9"/>
  <c r="E1390" i="9"/>
  <c r="E1391" i="9"/>
  <c r="E1392" i="9"/>
  <c r="E1393" i="9"/>
  <c r="E1394" i="9"/>
  <c r="E1395" i="9"/>
  <c r="E1396" i="9"/>
  <c r="E1397" i="9"/>
  <c r="E1398" i="9"/>
  <c r="E1399" i="9"/>
  <c r="E1400" i="9"/>
  <c r="E1401" i="9"/>
  <c r="E1402" i="9"/>
  <c r="E1403" i="9"/>
  <c r="E1404" i="9"/>
  <c r="E1405" i="9"/>
  <c r="E1406" i="9"/>
  <c r="E1407" i="9"/>
  <c r="E1408" i="9"/>
  <c r="E1409" i="9"/>
  <c r="E1410" i="9"/>
  <c r="E1411" i="9"/>
  <c r="E1412" i="9"/>
  <c r="E1413" i="9"/>
  <c r="E1414" i="9"/>
  <c r="E1415" i="9"/>
  <c r="E1416" i="9"/>
  <c r="E1417" i="9"/>
  <c r="E1418" i="9"/>
  <c r="E1419" i="9"/>
  <c r="E1420" i="9"/>
  <c r="E1421" i="9"/>
  <c r="E1422" i="9"/>
  <c r="E1423" i="9"/>
  <c r="E1424" i="9"/>
  <c r="E1425" i="9"/>
  <c r="E1426" i="9"/>
  <c r="E1427" i="9"/>
  <c r="E1428" i="9"/>
  <c r="E1429" i="9"/>
  <c r="E1430" i="9"/>
  <c r="E1431" i="9"/>
  <c r="E1432" i="9"/>
  <c r="E1433" i="9"/>
  <c r="E1434" i="9"/>
  <c r="E1435" i="9"/>
  <c r="E1436" i="9"/>
  <c r="E1437" i="9"/>
  <c r="E1438" i="9"/>
  <c r="E1439" i="9"/>
  <c r="E1440" i="9"/>
  <c r="E1441" i="9"/>
  <c r="E1442" i="9"/>
  <c r="E1443" i="9"/>
  <c r="E1444" i="9"/>
  <c r="E1445" i="9"/>
  <c r="E1446" i="9"/>
  <c r="E1447" i="9"/>
  <c r="E1448" i="9"/>
  <c r="E1449" i="9"/>
  <c r="E1450" i="9"/>
  <c r="E1451" i="9"/>
  <c r="E1452" i="9"/>
  <c r="E1453" i="9"/>
  <c r="E1454" i="9"/>
  <c r="E1455" i="9"/>
  <c r="E1456" i="9"/>
  <c r="E1457" i="9"/>
  <c r="E1458" i="9"/>
  <c r="E1459" i="9"/>
  <c r="E1460" i="9"/>
  <c r="E1461" i="9"/>
  <c r="E1462" i="9"/>
  <c r="E1463" i="9"/>
  <c r="E1464" i="9"/>
  <c r="E1465" i="9"/>
  <c r="E1466" i="9"/>
  <c r="E1467" i="9"/>
  <c r="E1468" i="9"/>
  <c r="E1469" i="9"/>
  <c r="E1470" i="9"/>
  <c r="E1471" i="9"/>
  <c r="E1472" i="9"/>
  <c r="E1473" i="9"/>
  <c r="E1474" i="9"/>
  <c r="E1475" i="9"/>
  <c r="E1476" i="9"/>
  <c r="E1477" i="9"/>
  <c r="E1478" i="9"/>
  <c r="E1479" i="9"/>
  <c r="E1480" i="9"/>
  <c r="E1481" i="9"/>
  <c r="E1482" i="9"/>
  <c r="E1483" i="9"/>
  <c r="E1484" i="9"/>
  <c r="E1485" i="9"/>
  <c r="E1486" i="9"/>
  <c r="E1487" i="9"/>
  <c r="E1488" i="9"/>
  <c r="E1489" i="9"/>
  <c r="E1490" i="9"/>
  <c r="E1491" i="9"/>
  <c r="E1492" i="9"/>
  <c r="E1493" i="9"/>
  <c r="E1494" i="9"/>
  <c r="E1495" i="9"/>
  <c r="E1496" i="9"/>
  <c r="E1497" i="9"/>
  <c r="E1498" i="9"/>
  <c r="E1499" i="9"/>
  <c r="E1500" i="9"/>
  <c r="E1501" i="9"/>
  <c r="E1502" i="9"/>
  <c r="E1503" i="9"/>
  <c r="E1504" i="9"/>
  <c r="E1505" i="9"/>
  <c r="E1506" i="9"/>
  <c r="E1507" i="9"/>
  <c r="E1508" i="9"/>
  <c r="E1509" i="9"/>
  <c r="E1510" i="9"/>
  <c r="E1511" i="9"/>
  <c r="E1512" i="9"/>
  <c r="E1513" i="9"/>
  <c r="E1514" i="9"/>
  <c r="E1515" i="9"/>
  <c r="E1516" i="9"/>
  <c r="E1517" i="9"/>
  <c r="E1518" i="9"/>
  <c r="E1519" i="9"/>
  <c r="E1520" i="9"/>
  <c r="E1521" i="9"/>
  <c r="E1522" i="9"/>
  <c r="E1523" i="9"/>
  <c r="E1524" i="9"/>
  <c r="E1525" i="9"/>
  <c r="E1526" i="9"/>
  <c r="E1527" i="9"/>
  <c r="E1528" i="9"/>
  <c r="E1529" i="9"/>
  <c r="E1530" i="9"/>
  <c r="E1531" i="9"/>
  <c r="E1532" i="9"/>
  <c r="E1533" i="9"/>
  <c r="E1534" i="9"/>
  <c r="E1535" i="9"/>
  <c r="E1536" i="9"/>
  <c r="E1537" i="9"/>
  <c r="E1538" i="9"/>
  <c r="E1539" i="9"/>
  <c r="E1540" i="9"/>
  <c r="E1541" i="9"/>
  <c r="E1542" i="9"/>
  <c r="E1543" i="9"/>
  <c r="E1544" i="9"/>
  <c r="E1545" i="9"/>
  <c r="E1546" i="9"/>
  <c r="E1547" i="9"/>
  <c r="E1548" i="9"/>
  <c r="E1549" i="9"/>
  <c r="E1550" i="9"/>
  <c r="E1551" i="9"/>
  <c r="E1552" i="9"/>
  <c r="E1553" i="9"/>
  <c r="E1554" i="9"/>
  <c r="E1555" i="9"/>
  <c r="E1556" i="9"/>
  <c r="E1557" i="9"/>
  <c r="E1558" i="9"/>
  <c r="E1559" i="9"/>
  <c r="E1560" i="9"/>
  <c r="E1561" i="9"/>
  <c r="E1562" i="9"/>
  <c r="E1563" i="9"/>
  <c r="E1564" i="9"/>
  <c r="E1565" i="9"/>
  <c r="E1566" i="9"/>
  <c r="E1567" i="9"/>
  <c r="E1568" i="9"/>
  <c r="E1569" i="9"/>
  <c r="E1570" i="9"/>
  <c r="E1571" i="9"/>
  <c r="E1572" i="9"/>
  <c r="E1573" i="9"/>
  <c r="E1574" i="9"/>
  <c r="E1575" i="9"/>
  <c r="E1576" i="9"/>
  <c r="E1577" i="9"/>
  <c r="E1578" i="9"/>
  <c r="E1579" i="9"/>
  <c r="E1580" i="9"/>
  <c r="E1581" i="9"/>
  <c r="E1582" i="9"/>
  <c r="E1583" i="9"/>
  <c r="E1584" i="9"/>
  <c r="E1585" i="9"/>
  <c r="E1586" i="9"/>
  <c r="E1587" i="9"/>
  <c r="E1588" i="9"/>
  <c r="E1589" i="9"/>
  <c r="E1590" i="9"/>
  <c r="E1591" i="9"/>
  <c r="E1592" i="9"/>
  <c r="E1593" i="9"/>
  <c r="E1594" i="9"/>
  <c r="E1595" i="9"/>
  <c r="E1596" i="9"/>
  <c r="E1597" i="9"/>
  <c r="E1598" i="9"/>
  <c r="E1599" i="9"/>
  <c r="E1600" i="9"/>
  <c r="E1601" i="9"/>
  <c r="E1602" i="9"/>
  <c r="E1603" i="9"/>
  <c r="E1604" i="9"/>
  <c r="E1605" i="9"/>
  <c r="E1606" i="9"/>
  <c r="E1607" i="9"/>
  <c r="E1608" i="9"/>
  <c r="E1609" i="9"/>
  <c r="E1610" i="9"/>
  <c r="E1611" i="9"/>
  <c r="E1612" i="9"/>
  <c r="E1613" i="9"/>
  <c r="E1614" i="9"/>
  <c r="E1615" i="9"/>
  <c r="E1616" i="9"/>
  <c r="E1617" i="9"/>
  <c r="E1618" i="9"/>
  <c r="E1619" i="9"/>
  <c r="E1620" i="9"/>
  <c r="E1621" i="9"/>
  <c r="E1622" i="9"/>
  <c r="E1623" i="9"/>
  <c r="E1624" i="9"/>
  <c r="E1625" i="9"/>
  <c r="E1626" i="9"/>
  <c r="E1627" i="9"/>
  <c r="E1628" i="9"/>
  <c r="E1629" i="9"/>
  <c r="E1630" i="9"/>
  <c r="E1631" i="9"/>
  <c r="E1632" i="9"/>
  <c r="E1633" i="9"/>
  <c r="E1634" i="9"/>
  <c r="E1635" i="9"/>
  <c r="E1636" i="9"/>
  <c r="E1637" i="9"/>
  <c r="E1638" i="9"/>
  <c r="E1639" i="9"/>
  <c r="E1640" i="9"/>
  <c r="E1641" i="9"/>
  <c r="E1642" i="9"/>
  <c r="E1643" i="9"/>
  <c r="E1644" i="9"/>
  <c r="E1645" i="9"/>
  <c r="E1646" i="9"/>
  <c r="E1647" i="9"/>
  <c r="E1648" i="9"/>
  <c r="E1649" i="9"/>
  <c r="E1650" i="9"/>
  <c r="E1651" i="9"/>
  <c r="E1652" i="9"/>
  <c r="E1653" i="9"/>
  <c r="E1654" i="9"/>
  <c r="E1655" i="9"/>
  <c r="E1656" i="9"/>
  <c r="E1657" i="9"/>
  <c r="E1658" i="9"/>
  <c r="E1659" i="9"/>
  <c r="E1660" i="9"/>
  <c r="E1661" i="9"/>
  <c r="E1662" i="9"/>
  <c r="E1663" i="9"/>
  <c r="E1664" i="9"/>
  <c r="E1665" i="9"/>
  <c r="E1666" i="9"/>
  <c r="E1667" i="9"/>
  <c r="E1668" i="9"/>
  <c r="E1669" i="9"/>
  <c r="E1670" i="9"/>
  <c r="E1671" i="9"/>
  <c r="E1672" i="9"/>
  <c r="E1673" i="9"/>
  <c r="E1674" i="9"/>
  <c r="E1675" i="9"/>
  <c r="E1676" i="9"/>
  <c r="E1677" i="9"/>
  <c r="E1678" i="9"/>
  <c r="E1679" i="9"/>
  <c r="E1680" i="9"/>
  <c r="E1681" i="9"/>
  <c r="E1682" i="9"/>
  <c r="E1683" i="9"/>
  <c r="E1684" i="9"/>
  <c r="E1685" i="9"/>
  <c r="E1686" i="9"/>
  <c r="E1687" i="9"/>
  <c r="E1688" i="9"/>
  <c r="E1689" i="9"/>
  <c r="E1690" i="9"/>
  <c r="E1691" i="9"/>
  <c r="E1692" i="9"/>
  <c r="E1693" i="9"/>
  <c r="E1694" i="9"/>
  <c r="E1695" i="9"/>
  <c r="E1696" i="9"/>
  <c r="E1697" i="9"/>
  <c r="E1698" i="9"/>
  <c r="E1699" i="9"/>
  <c r="E1700" i="9"/>
  <c r="E1701" i="9"/>
  <c r="E1702" i="9"/>
  <c r="E1703" i="9"/>
  <c r="E1704" i="9"/>
  <c r="E1705" i="9"/>
  <c r="E1706" i="9"/>
  <c r="E1707" i="9"/>
  <c r="E1708" i="9"/>
  <c r="E1709" i="9"/>
  <c r="E1710" i="9"/>
  <c r="E1711" i="9"/>
  <c r="E1712" i="9"/>
  <c r="E1713" i="9"/>
  <c r="E1714" i="9"/>
  <c r="E1715" i="9"/>
  <c r="E1716" i="9"/>
  <c r="E1717" i="9"/>
  <c r="E1718" i="9"/>
  <c r="E1719" i="9"/>
  <c r="E1720" i="9"/>
  <c r="E1721" i="9"/>
  <c r="E1722" i="9"/>
  <c r="E1723" i="9"/>
  <c r="E1724" i="9"/>
  <c r="E1725" i="9"/>
  <c r="E1726" i="9"/>
  <c r="E1727" i="9"/>
  <c r="E1728" i="9"/>
  <c r="E1729" i="9"/>
  <c r="E1730" i="9"/>
  <c r="E1731" i="9"/>
  <c r="E1732" i="9"/>
  <c r="E1733" i="9"/>
  <c r="E1734" i="9"/>
  <c r="E1735" i="9"/>
  <c r="E1736" i="9"/>
  <c r="E1737" i="9"/>
  <c r="E1738" i="9"/>
  <c r="E1739" i="9"/>
  <c r="E1740" i="9"/>
  <c r="E1741" i="9"/>
  <c r="E1742" i="9"/>
  <c r="E1743" i="9"/>
  <c r="E1744" i="9"/>
  <c r="E1745" i="9"/>
  <c r="E1746" i="9"/>
  <c r="E1747" i="9"/>
  <c r="E1748" i="9"/>
  <c r="E1749" i="9"/>
  <c r="E1750" i="9"/>
  <c r="E1751" i="9"/>
  <c r="E1752" i="9"/>
  <c r="E1753" i="9"/>
  <c r="E1754" i="9"/>
  <c r="E1755" i="9"/>
  <c r="E1756" i="9"/>
  <c r="E1757" i="9"/>
  <c r="E1758" i="9"/>
  <c r="E1759" i="9"/>
  <c r="E1760" i="9"/>
  <c r="E1761" i="9"/>
  <c r="E1762" i="9"/>
  <c r="E1763" i="9"/>
  <c r="E1764" i="9"/>
  <c r="E1765" i="9"/>
  <c r="E1766" i="9"/>
  <c r="E1767" i="9"/>
  <c r="E1768" i="9"/>
  <c r="E1769" i="9"/>
  <c r="E1770" i="9"/>
  <c r="E1771" i="9"/>
  <c r="E1772" i="9"/>
  <c r="E1773" i="9"/>
  <c r="E1774" i="9"/>
  <c r="E1775" i="9"/>
  <c r="E1776" i="9"/>
  <c r="E1777" i="9"/>
  <c r="E1778" i="9"/>
  <c r="E1779" i="9"/>
  <c r="E1780" i="9"/>
  <c r="E1781" i="9"/>
  <c r="E1782" i="9"/>
  <c r="E1783" i="9"/>
  <c r="E1784" i="9"/>
  <c r="E1785" i="9"/>
  <c r="E1786" i="9"/>
  <c r="E1787" i="9"/>
  <c r="E1788" i="9"/>
  <c r="E1789" i="9"/>
  <c r="E1790" i="9"/>
  <c r="E1791" i="9"/>
  <c r="E1792" i="9"/>
  <c r="E1793" i="9"/>
  <c r="E1794" i="9"/>
  <c r="E1795" i="9"/>
  <c r="E1796" i="9"/>
  <c r="E1797" i="9"/>
  <c r="E1798" i="9"/>
  <c r="E1799" i="9"/>
  <c r="E1800" i="9"/>
  <c r="E1801" i="9"/>
  <c r="E1802" i="9"/>
  <c r="E1803" i="9"/>
  <c r="E1804" i="9"/>
  <c r="E1805" i="9"/>
  <c r="E1806" i="9"/>
  <c r="E1807" i="9"/>
  <c r="E1808" i="9"/>
  <c r="E1809" i="9"/>
  <c r="E1810" i="9"/>
  <c r="E1811" i="9"/>
  <c r="E1812" i="9"/>
  <c r="E1813" i="9"/>
  <c r="E1814" i="9"/>
  <c r="E1815" i="9"/>
  <c r="E1816" i="9"/>
  <c r="E1817" i="9"/>
  <c r="E1818" i="9"/>
  <c r="E1819" i="9"/>
  <c r="E1820" i="9"/>
  <c r="E1821" i="9"/>
  <c r="E1822" i="9"/>
  <c r="E1823" i="9"/>
  <c r="E1824" i="9"/>
  <c r="E1825" i="9"/>
  <c r="E1826" i="9"/>
  <c r="E1827" i="9"/>
  <c r="E1828" i="9"/>
  <c r="E1829" i="9"/>
  <c r="E1830" i="9"/>
  <c r="E1831" i="9"/>
  <c r="E1832" i="9"/>
  <c r="E1833" i="9"/>
  <c r="E1834" i="9"/>
  <c r="E1835" i="9"/>
  <c r="E1836" i="9"/>
  <c r="E1837" i="9"/>
  <c r="E1838" i="9"/>
  <c r="E1839" i="9"/>
  <c r="E1840" i="9"/>
  <c r="E1841" i="9"/>
  <c r="E1842" i="9"/>
  <c r="E1843" i="9"/>
  <c r="E1844" i="9"/>
  <c r="E1845" i="9"/>
  <c r="E1846" i="9"/>
  <c r="E1847" i="9"/>
  <c r="E1848" i="9"/>
  <c r="E1849" i="9"/>
  <c r="E1850" i="9"/>
  <c r="E1851" i="9"/>
  <c r="E1852" i="9"/>
  <c r="E1853" i="9"/>
  <c r="E1854" i="9"/>
  <c r="E1855" i="9"/>
  <c r="E1856" i="9"/>
  <c r="E1857" i="9"/>
  <c r="E1858" i="9"/>
  <c r="E1859" i="9"/>
  <c r="E1860" i="9"/>
  <c r="E1861" i="9"/>
  <c r="E1862" i="9"/>
  <c r="E1863" i="9"/>
  <c r="E1864" i="9"/>
  <c r="E1865" i="9"/>
  <c r="E1866" i="9"/>
  <c r="E1867" i="9"/>
  <c r="E1868" i="9"/>
  <c r="E1869" i="9"/>
  <c r="E1870" i="9"/>
  <c r="E1871" i="9"/>
  <c r="E1872" i="9"/>
  <c r="E1873" i="9"/>
  <c r="E1874" i="9"/>
  <c r="E1875" i="9"/>
  <c r="E1876" i="9"/>
  <c r="E1877" i="9"/>
  <c r="E1878" i="9"/>
  <c r="E1879" i="9"/>
  <c r="E1880" i="9"/>
  <c r="E1881" i="9"/>
  <c r="E1882" i="9"/>
  <c r="E1883" i="9"/>
  <c r="E1884" i="9"/>
  <c r="E1885" i="9"/>
  <c r="E1886" i="9"/>
  <c r="E1887" i="9"/>
  <c r="E1888" i="9"/>
  <c r="E1889" i="9"/>
  <c r="E1890" i="9"/>
  <c r="E1891" i="9"/>
  <c r="E1892" i="9"/>
  <c r="E1893" i="9"/>
  <c r="E1894" i="9"/>
  <c r="E1895" i="9"/>
  <c r="E1896" i="9"/>
  <c r="E1897" i="9"/>
  <c r="E1898" i="9"/>
  <c r="E1899" i="9"/>
  <c r="E1900" i="9"/>
  <c r="E1901" i="9"/>
  <c r="E1902" i="9"/>
  <c r="E1903" i="9"/>
  <c r="E1904" i="9"/>
  <c r="E1905" i="9"/>
  <c r="E1906" i="9"/>
  <c r="E1907" i="9"/>
  <c r="E1908" i="9"/>
  <c r="E1909" i="9"/>
  <c r="E1910" i="9"/>
  <c r="E1911" i="9"/>
  <c r="E1912" i="9"/>
  <c r="E1913" i="9"/>
  <c r="E1914" i="9"/>
  <c r="E1915" i="9"/>
  <c r="E1916" i="9"/>
  <c r="E1917" i="9"/>
  <c r="E1918" i="9"/>
  <c r="E1919" i="9"/>
  <c r="E1920" i="9"/>
  <c r="E1921" i="9"/>
  <c r="E1922" i="9"/>
  <c r="E1923" i="9"/>
  <c r="E1924" i="9"/>
  <c r="E1925" i="9"/>
  <c r="E1926" i="9"/>
  <c r="E1927" i="9"/>
  <c r="E1928" i="9"/>
  <c r="E1929" i="9"/>
  <c r="E1930" i="9"/>
  <c r="E1931" i="9"/>
  <c r="E1932" i="9"/>
  <c r="E1933" i="9"/>
  <c r="E1934" i="9"/>
  <c r="E1935" i="9"/>
  <c r="E1936" i="9"/>
  <c r="E1937" i="9"/>
  <c r="E1938" i="9"/>
  <c r="E1939" i="9"/>
  <c r="E1940" i="9"/>
  <c r="E1941" i="9"/>
  <c r="E1942" i="9"/>
  <c r="E1943" i="9"/>
  <c r="E1944" i="9"/>
  <c r="E1945" i="9"/>
  <c r="E1946" i="9"/>
  <c r="E1947" i="9"/>
  <c r="E1948" i="9"/>
  <c r="E1949" i="9"/>
  <c r="E1950" i="9"/>
  <c r="E1951" i="9"/>
  <c r="E1952" i="9"/>
  <c r="E1953" i="9"/>
  <c r="E1954" i="9"/>
  <c r="E1955" i="9"/>
  <c r="E1956" i="9"/>
  <c r="E1957" i="9"/>
  <c r="E1958" i="9"/>
  <c r="E1959" i="9"/>
  <c r="E1960" i="9"/>
  <c r="E1961" i="9"/>
  <c r="E1962" i="9"/>
  <c r="E1963" i="9"/>
  <c r="E1964" i="9"/>
  <c r="E1965" i="9"/>
  <c r="E1966" i="9"/>
  <c r="E1967" i="9"/>
  <c r="E1968" i="9"/>
  <c r="E1969" i="9"/>
  <c r="E1970" i="9"/>
  <c r="E1971" i="9"/>
  <c r="E1972" i="9"/>
  <c r="E1973" i="9"/>
  <c r="E1974" i="9"/>
  <c r="E1975" i="9"/>
  <c r="E1976" i="9"/>
  <c r="E1977" i="9"/>
  <c r="E1978" i="9"/>
  <c r="E1979" i="9"/>
  <c r="E1980" i="9"/>
  <c r="E1981" i="9"/>
  <c r="E1982" i="9"/>
  <c r="E1983" i="9"/>
  <c r="E1984" i="9"/>
  <c r="E1985" i="9"/>
  <c r="E1986" i="9"/>
  <c r="E1987" i="9"/>
  <c r="E1988" i="9"/>
  <c r="E1989" i="9"/>
  <c r="E1990" i="9"/>
  <c r="E1991" i="9"/>
  <c r="E1992" i="9"/>
  <c r="E1993" i="9"/>
  <c r="E1994" i="9"/>
  <c r="E1995" i="9"/>
  <c r="E1996" i="9"/>
  <c r="E1997" i="9"/>
  <c r="E1998" i="9"/>
  <c r="E1999" i="9"/>
  <c r="E2000" i="9"/>
  <c r="E2001" i="9"/>
  <c r="E2002" i="9"/>
  <c r="E2003" i="9"/>
  <c r="E2004" i="9"/>
  <c r="E2005" i="9"/>
  <c r="E2006" i="9"/>
  <c r="E2007" i="9"/>
  <c r="E2008" i="9"/>
  <c r="E2009" i="9"/>
  <c r="E2010" i="9"/>
  <c r="E2011" i="9"/>
  <c r="E2012" i="9"/>
  <c r="E2013" i="9"/>
  <c r="E2014" i="9"/>
  <c r="E2015" i="9"/>
  <c r="E2016" i="9"/>
  <c r="E2017" i="9"/>
  <c r="E2018" i="9"/>
  <c r="E2019" i="9"/>
  <c r="E2020" i="9"/>
  <c r="E2021" i="9"/>
  <c r="E2022" i="9"/>
  <c r="E2023" i="9"/>
  <c r="E2024" i="9"/>
  <c r="E2025" i="9"/>
  <c r="E2026" i="9"/>
  <c r="E2027" i="9"/>
  <c r="E2028" i="9"/>
  <c r="E2029" i="9"/>
  <c r="E2030" i="9"/>
  <c r="E2031" i="9"/>
  <c r="E2032" i="9"/>
  <c r="E2033" i="9"/>
  <c r="E2034" i="9"/>
  <c r="E2035" i="9"/>
  <c r="E2036" i="9"/>
  <c r="E2037" i="9"/>
  <c r="E2038" i="9"/>
  <c r="E2039" i="9"/>
  <c r="E2040" i="9"/>
  <c r="E2041" i="9"/>
  <c r="E2042" i="9"/>
  <c r="E2043" i="9"/>
  <c r="E2044" i="9"/>
  <c r="E2045" i="9"/>
  <c r="E2046" i="9"/>
  <c r="E2047" i="9"/>
  <c r="E2048" i="9"/>
  <c r="E2049" i="9"/>
  <c r="E2050" i="9"/>
  <c r="E2051" i="9"/>
  <c r="E2052" i="9"/>
  <c r="E2053" i="9"/>
  <c r="E2054" i="9"/>
  <c r="E2055" i="9"/>
  <c r="E2056" i="9"/>
  <c r="E2057" i="9"/>
  <c r="E2058" i="9"/>
  <c r="E2059" i="9"/>
  <c r="E2060" i="9"/>
  <c r="E2061" i="9"/>
  <c r="E2062" i="9"/>
  <c r="E2063" i="9"/>
  <c r="E2064" i="9"/>
  <c r="E2065" i="9"/>
  <c r="E2066" i="9"/>
  <c r="E2067" i="9"/>
  <c r="E2068" i="9"/>
  <c r="E2069" i="9"/>
  <c r="E2070" i="9"/>
  <c r="E2071" i="9"/>
  <c r="E2072" i="9"/>
  <c r="E2073" i="9"/>
  <c r="E2074" i="9"/>
  <c r="E10" i="9"/>
  <c r="E9" i="9"/>
  <c r="E8" i="9"/>
  <c r="E7" i="9"/>
  <c r="E6" i="9"/>
  <c r="E5" i="9"/>
  <c r="E4" i="9"/>
  <c r="E3" i="9"/>
  <c r="E2" i="9"/>
  <c r="E1" i="9"/>
  <c r="G2" i="1"/>
</calcChain>
</file>

<file path=xl/sharedStrings.xml><?xml version="1.0" encoding="utf-8"?>
<sst xmlns="http://schemas.openxmlformats.org/spreadsheetml/2006/main" count="12404" uniqueCount="1014">
  <si>
    <t>Material</t>
  </si>
  <si>
    <t>Plant</t>
  </si>
  <si>
    <t>Quantity</t>
  </si>
  <si>
    <t>Pstng Date</t>
  </si>
  <si>
    <t>Description</t>
  </si>
  <si>
    <t>Ver.</t>
  </si>
  <si>
    <t>Purch.Doc.</t>
  </si>
  <si>
    <t>BR XCRMY Vanilla 6 1.5QT</t>
  </si>
  <si>
    <t>S2</t>
  </si>
  <si>
    <t/>
  </si>
  <si>
    <t>2</t>
  </si>
  <si>
    <t>BR NAT Vanilla 6-1.5QT</t>
  </si>
  <si>
    <t>SS1</t>
  </si>
  <si>
    <t>1</t>
  </si>
  <si>
    <t>KL Original Vanilla Bar 12-6PK</t>
  </si>
  <si>
    <t>K1</t>
  </si>
  <si>
    <t>BR Chocolate 6-1.5QT</t>
  </si>
  <si>
    <t>SS2</t>
  </si>
  <si>
    <t>KL Dark Chocolate Bar 12-6PK</t>
  </si>
  <si>
    <t>K2</t>
  </si>
  <si>
    <t>BR Butter Pecan 6 1.5QT</t>
  </si>
  <si>
    <t>SS3</t>
  </si>
  <si>
    <t>BR HA Chocolate 6-1.5QT</t>
  </si>
  <si>
    <t>S1</t>
  </si>
  <si>
    <t>BR Chocolate Chip Cookie Dough 6 1.5QT</t>
  </si>
  <si>
    <t>S3</t>
  </si>
  <si>
    <t>Talenti Caramel Cookie Crunch 8 1PT</t>
  </si>
  <si>
    <t>SP3A</t>
  </si>
  <si>
    <t>Talenti LY Salted CAR Truffle 8 323.1g</t>
  </si>
  <si>
    <t>SP3B</t>
  </si>
  <si>
    <t>BJ US-IC-CherryGarcia-FTNG-8 1PT</t>
  </si>
  <si>
    <t>02</t>
  </si>
  <si>
    <t>Yasso Chocolate Fudge 8-4pk</t>
  </si>
  <si>
    <t>BT2</t>
  </si>
  <si>
    <t>BR CO-B Reeses 6 1.5QT</t>
  </si>
  <si>
    <t>S4</t>
  </si>
  <si>
    <t>BR Reeses PB Carbsmart Bar 8-6PK</t>
  </si>
  <si>
    <t>BT1</t>
  </si>
  <si>
    <t>PS Fudgesicle NSA 6-18PK</t>
  </si>
  <si>
    <t>GR2</t>
  </si>
  <si>
    <t>GH Strawberry Shortcake Bar 8-6PK</t>
  </si>
  <si>
    <t>G4</t>
  </si>
  <si>
    <t>PS Jolly Rancher Pop 6-18PK</t>
  </si>
  <si>
    <t>VR1</t>
  </si>
  <si>
    <t>BR NSA VCS 6 1.5QT</t>
  </si>
  <si>
    <t>BJ US-TOP-DirtCake-8 450ML</t>
  </si>
  <si>
    <t>SP1</t>
  </si>
  <si>
    <t>GH Strawberry Shortcake 1-24BK</t>
  </si>
  <si>
    <t>G1</t>
  </si>
  <si>
    <t>GR1</t>
  </si>
  <si>
    <t>K3</t>
  </si>
  <si>
    <t>KL Mint CHOC Chip 12-6PK</t>
  </si>
  <si>
    <t>ST1</t>
  </si>
  <si>
    <t>BJ US-IC-VanillaCaramelFdg-FTNG-8 1PT</t>
  </si>
  <si>
    <t>SP2A</t>
  </si>
  <si>
    <t>MG Mini Double Caramel Bar 6-6PK</t>
  </si>
  <si>
    <t>ST4</t>
  </si>
  <si>
    <t>BJ US-IC-Vanilla-FTNG-8 1PT</t>
  </si>
  <si>
    <t>01</t>
  </si>
  <si>
    <t>04</t>
  </si>
  <si>
    <t>MG Double Raspberry Bar 8-3PK</t>
  </si>
  <si>
    <t>ST2</t>
  </si>
  <si>
    <t>BR Carbsmart Fudge Bar 8-6PK</t>
  </si>
  <si>
    <t>BR CS Brownie A La Mode 6 1.5QT</t>
  </si>
  <si>
    <t>Yasso Mint Chocolate Chip 8-4pk</t>
  </si>
  <si>
    <t>BR Reese PB Cup 8 1PT</t>
  </si>
  <si>
    <t>BR Carbsmart IC Bars 8-6PK</t>
  </si>
  <si>
    <t>MG Double Raspberry Bar OOH 1-12PK</t>
  </si>
  <si>
    <t>KL Heath Bar 12-6PK</t>
  </si>
  <si>
    <t>BR Chocolate Truffle 6 1.5QT</t>
  </si>
  <si>
    <t>BR Strawberry Shortcake 6 1.5QT</t>
  </si>
  <si>
    <t>PS OCG 6-18PK</t>
  </si>
  <si>
    <t>G9</t>
  </si>
  <si>
    <t>G10</t>
  </si>
  <si>
    <t>BR VAN CHOC STRAW 6-1.5QT</t>
  </si>
  <si>
    <t>PS Scribblers Natural 6-18PK</t>
  </si>
  <si>
    <t>G8</t>
  </si>
  <si>
    <t>Talenti Coffee CHOC Chip 8 1PT</t>
  </si>
  <si>
    <t>BJ US-COR-SaltedCaramelCore-FTNG-8 1PT</t>
  </si>
  <si>
    <t>03</t>
  </si>
  <si>
    <t>Talenti LY Vanilla Fudge Cookie 8 303.3g</t>
  </si>
  <si>
    <t>BJ US-IC-PeanutButterCup-8 1PT</t>
  </si>
  <si>
    <t>BJ US-IC-StrawberryChscke-FTNG-8 1PT</t>
  </si>
  <si>
    <t>BJ US-IC-ChunkyMonkey-FTNG-8 1PT</t>
  </si>
  <si>
    <t>BR Lactose Free Vanilla 6 1.5QT</t>
  </si>
  <si>
    <t>MG Double Caramel Bar 8-3PK</t>
  </si>
  <si>
    <t>BJ US-IC-HalfBaked-FTNG-8 1PT</t>
  </si>
  <si>
    <t>BR Homemade Vanilla 6-1.5QT</t>
  </si>
  <si>
    <t>TAL LYR Snickerdoodle 8p 326.7g</t>
  </si>
  <si>
    <t>BJ SORV-IC-HalfBaked-8 458ML</t>
  </si>
  <si>
    <t>MG Almond Bar 1-12PK</t>
  </si>
  <si>
    <t>Yasso Mint Chocolate Chip 8-14z</t>
  </si>
  <si>
    <t>MG Mini Classic 6-6PK</t>
  </si>
  <si>
    <t>BR Hot Fudge Brownie Sundae 6p 1.5QT</t>
  </si>
  <si>
    <t>Yasso Sea Salt Caramel 8-4pk</t>
  </si>
  <si>
    <t>BR Smores 6 1.5QT</t>
  </si>
  <si>
    <t>BJ AMET-IC-ChocChpCkDgh-FTNG-8 458ML</t>
  </si>
  <si>
    <t>MG Double Chocolate Bar 8-3PK</t>
  </si>
  <si>
    <t>BR CS Vanilla 6 1.5QT</t>
  </si>
  <si>
    <t>Talenti Pacific Coast Pistachio 8 1PT</t>
  </si>
  <si>
    <t>BR Carbsmart Strawberry Bar 8-6PK</t>
  </si>
  <si>
    <t>TAL ND LYR CHOC Fudge Brownie 8 323.1g</t>
  </si>
  <si>
    <t>BR XCRMY Chocolate 6 1.5QT</t>
  </si>
  <si>
    <t>KL REESES BAR 12-6 PK</t>
  </si>
  <si>
    <t>GH Reeses Bar 1-24BK</t>
  </si>
  <si>
    <t>KL Cookies and Creme SW 1-24PK</t>
  </si>
  <si>
    <t>S-01</t>
  </si>
  <si>
    <t>BR Salted Caramel Truffle 6p 1.5QT</t>
  </si>
  <si>
    <t>BJ US-IC-PhishFood-FTNG-8 1PT</t>
  </si>
  <si>
    <t>MG Cookie Duet 8-3PK</t>
  </si>
  <si>
    <t>BR Cookies and Cream 8 1PT</t>
  </si>
  <si>
    <t>BR CS Rocky Road 6p 1.5QT</t>
  </si>
  <si>
    <t>BJ SORV-IC-PhishFood-8 458ML</t>
  </si>
  <si>
    <t>BJ US-COR-BrownieBatter-8 1PT</t>
  </si>
  <si>
    <t>BJ US-IC-ChocChpCookDgh-FTNG-8 1PT</t>
  </si>
  <si>
    <t>BR CHOC Peanut Butter 6 1.5QT</t>
  </si>
  <si>
    <t>G3</t>
  </si>
  <si>
    <t>BJ US-IC-GimmeSmore-8 1PT</t>
  </si>
  <si>
    <t>BJ US-IC-PBHalfBaked-8 1 PT</t>
  </si>
  <si>
    <t>KL Reeses PB Bar 1-24BK</t>
  </si>
  <si>
    <t>BJ R01-IC-TonightDough-8 458ML</t>
  </si>
  <si>
    <t>BJ US-IC-Milk+Cookies-8 1PT</t>
  </si>
  <si>
    <t>BJ US-TOP-SLTDCRMLBRWNIE-8 450ml</t>
  </si>
  <si>
    <t>BJ US-IC-TonightDough-8 1PT</t>
  </si>
  <si>
    <t>BJ US-IC- CrmlChcChsck- 8 1PT</t>
  </si>
  <si>
    <t>BR HA Mint CHOC Chip 6 1.5QT</t>
  </si>
  <si>
    <t>BJ US-IC-ChurrayForChurros-8 1PT</t>
  </si>
  <si>
    <t>Talenti Alphonso Mango SORB (DF) 8 1PT</t>
  </si>
  <si>
    <t>BR Carbsmart Almond Bar 8-6PK</t>
  </si>
  <si>
    <t>BR HA NAT Vanilla 6-1.5QT</t>
  </si>
  <si>
    <t>MG Mini Almond 6-6PK</t>
  </si>
  <si>
    <t>BR Mint CHOC Chip 6 1.5QT</t>
  </si>
  <si>
    <t>BR CO-B SNICKERS 6 1.5QT</t>
  </si>
  <si>
    <t>BJ US-TOP-CHOCCARAMELCD-8 450ml</t>
  </si>
  <si>
    <t>BR CS VAN CHOC Straw 6 1.5QT</t>
  </si>
  <si>
    <t>BJ US-IC-Vanilla-FTNG-1 2.4G</t>
  </si>
  <si>
    <t>KL Krunch Bar 12-6PK</t>
  </si>
  <si>
    <t>GH CHOC Eclair 1-24PK OOH</t>
  </si>
  <si>
    <t>BR CO-B NY Style Cheesecake 6 1.5QT</t>
  </si>
  <si>
    <t>Talenti Passionfruit Sorbetto 8-1PT</t>
  </si>
  <si>
    <t>MG Mini Classic/Almond/White VP 6-6PK</t>
  </si>
  <si>
    <t>BJ US-IC AmericoneDream-FTNG-8 1PT</t>
  </si>
  <si>
    <t>BJ US-IC-Strawberry-FTNG-1 2.4G</t>
  </si>
  <si>
    <t>MG Almond Duet 8-3PK</t>
  </si>
  <si>
    <t>BR Vanilla Chocolate 6 1.5QT</t>
  </si>
  <si>
    <t>BJ US -IC-LightsCaramelAction-8 1PT</t>
  </si>
  <si>
    <t>Talenti Hazelnut Chocolate 8-1PT</t>
  </si>
  <si>
    <t>BJ US-IC-StrawberryChscke-FTNG-1 2.4G</t>
  </si>
  <si>
    <t>BJ US-IC-ChubbyHubby-8 1PT</t>
  </si>
  <si>
    <t>BJ US-TOP-THICKMINT-8 450ml</t>
  </si>
  <si>
    <t>BR ND Vanilla 6 1.5QT</t>
  </si>
  <si>
    <t>BR French Vanilla 6-1.5QT</t>
  </si>
  <si>
    <t>BJ US-IC-SaltCaramelBlondie-FTNG-1 2.4G</t>
  </si>
  <si>
    <t>Talenti Vanilla Bean 8 1PT</t>
  </si>
  <si>
    <t>BJ US-IC-ChocFudgBrownie-FTNG-8 1PT</t>
  </si>
  <si>
    <t>BJ SORV-IC-TripleCrmlCk-8 458ML</t>
  </si>
  <si>
    <t>BJ R01-IC-TripleCaramlChnk-8 458ML</t>
  </si>
  <si>
    <t>BR CHOC Chip 6 1.5QT</t>
  </si>
  <si>
    <t>Talenti Southern Butter Pecan 8 1PT</t>
  </si>
  <si>
    <t>Yasso Coffee Chocolate Chip 8-4pk</t>
  </si>
  <si>
    <t>BJ US-COR-ChocolateChip-8 1 PT</t>
  </si>
  <si>
    <t>BJ US-SUN-MochaMoodPie-8 427ml</t>
  </si>
  <si>
    <t>BJ US-IC-MintChocChunk-FTNG-1 2.4G</t>
  </si>
  <si>
    <t>US</t>
  </si>
  <si>
    <t>BJ US-IC-ChocTherapy-FTNG-8 1PT </t>
  </si>
  <si>
    <t>BJ US-IC-PBHalfBaked-8 1 PT </t>
  </si>
  <si>
    <t>BJ US-IC-TonightDough-8 1PT </t>
  </si>
  <si>
    <t>BJ US-IC-ChocFudgBrownie-FTNG-8 1PT </t>
  </si>
  <si>
    <t>BJ US-IC-MintChocolateChance-8 1PT </t>
  </si>
  <si>
    <t>BJ US-IC AmericoneDream-FTNG-8 1PT </t>
  </si>
  <si>
    <t>BJ US-IC-ChurrayForChurros-8 1PT </t>
  </si>
  <si>
    <t>KL Cookies and Creme IC SW 6-4PK </t>
  </si>
  <si>
    <t>KL Cookies and Creme SW 1-24BK 4.5z </t>
  </si>
  <si>
    <t>KL Vanilla Sandwich 8-6 PK </t>
  </si>
  <si>
    <t>Plnt</t>
  </si>
  <si>
    <t>Goods Receipt Quantity</t>
  </si>
  <si>
    <t>Goods Receipt Date</t>
  </si>
  <si>
    <t>Vendor</t>
  </si>
  <si>
    <t>Vendor Name</t>
  </si>
  <si>
    <t>Goods Supplier</t>
  </si>
  <si>
    <t>GS Name</t>
  </si>
  <si>
    <t>GDI</t>
  </si>
  <si>
    <t>PS OCG SF 6-18PK</t>
  </si>
  <si>
    <t>51146194</t>
  </si>
  <si>
    <t>GELATO D ITALIA S P A</t>
  </si>
  <si>
    <t>4506572791</t>
  </si>
  <si>
    <t>4506572787</t>
  </si>
  <si>
    <t>4506572790</t>
  </si>
  <si>
    <t>4506572792</t>
  </si>
  <si>
    <t>Rhino</t>
  </si>
  <si>
    <t>BJ US-CD-CCCD-FTNG-8 8z</t>
  </si>
  <si>
    <t>50015356</t>
  </si>
  <si>
    <t>RHINO FOODS INC USE V#2018125 FOR</t>
  </si>
  <si>
    <t>4506610616</t>
  </si>
  <si>
    <t>4506572796</t>
  </si>
  <si>
    <t>PS SF Tropical 6-18PK</t>
  </si>
  <si>
    <t>4506572807</t>
  </si>
  <si>
    <t>4506572808</t>
  </si>
  <si>
    <t>4506572810</t>
  </si>
  <si>
    <t>4506572809</t>
  </si>
  <si>
    <t>4506572812</t>
  </si>
  <si>
    <t>4506578511</t>
  </si>
  <si>
    <t>4506572795</t>
  </si>
  <si>
    <t>4506578508</t>
  </si>
  <si>
    <t>4506578512</t>
  </si>
  <si>
    <t>4506616859</t>
  </si>
  <si>
    <t>BJ US-CD-Half Baked Dough-8 6z</t>
  </si>
  <si>
    <t>4506562605</t>
  </si>
  <si>
    <t>4506578502</t>
  </si>
  <si>
    <t>4506578503</t>
  </si>
  <si>
    <t>4506578504</t>
  </si>
  <si>
    <t>4506578506</t>
  </si>
  <si>
    <t>4506578507</t>
  </si>
  <si>
    <t>4506578510</t>
  </si>
  <si>
    <t>4506586596</t>
  </si>
  <si>
    <t>4506578505</t>
  </si>
  <si>
    <t>4506578509</t>
  </si>
  <si>
    <t>4506579013</t>
  </si>
  <si>
    <t>4506586597</t>
  </si>
  <si>
    <t>4506586601</t>
  </si>
  <si>
    <t>Incom</t>
  </si>
  <si>
    <t>PS SpongeBob Facepiece 1-20PK</t>
  </si>
  <si>
    <t>51083022</t>
  </si>
  <si>
    <t>Incom doo</t>
  </si>
  <si>
    <t>4506564300</t>
  </si>
  <si>
    <t>4506586579</t>
  </si>
  <si>
    <t>4506586580</t>
  </si>
  <si>
    <t>4506586581</t>
  </si>
  <si>
    <t>4506586582</t>
  </si>
  <si>
    <t>4506586583</t>
  </si>
  <si>
    <t>4506586594</t>
  </si>
  <si>
    <t>4506586602</t>
  </si>
  <si>
    <t>4506564301</t>
  </si>
  <si>
    <t>4506586586</t>
  </si>
  <si>
    <t>4506564302</t>
  </si>
  <si>
    <t>4506564303</t>
  </si>
  <si>
    <t>4506564304</t>
  </si>
  <si>
    <t>4506586584</t>
  </si>
  <si>
    <t>PS Frozen Olaf Facepiece IH 6-6PK</t>
  </si>
  <si>
    <t>4506565373</t>
  </si>
  <si>
    <t>4506627826</t>
  </si>
  <si>
    <t>BJ US-CD-Smores-8 8z</t>
  </si>
  <si>
    <t>BJ US-CD-SugarCookieDough-8 8z</t>
  </si>
  <si>
    <t>4506586599</t>
  </si>
  <si>
    <t>4506586585</t>
  </si>
  <si>
    <t>4506586595</t>
  </si>
  <si>
    <t>4506586600</t>
  </si>
  <si>
    <t>PS Spiderman Facepiece 6-6PK</t>
  </si>
  <si>
    <t>4506564272</t>
  </si>
  <si>
    <t>4506564273</t>
  </si>
  <si>
    <t>4506564275</t>
  </si>
  <si>
    <t>4506564276</t>
  </si>
  <si>
    <t>4506565369</t>
  </si>
  <si>
    <t>4506565370</t>
  </si>
  <si>
    <t>4506565371</t>
  </si>
  <si>
    <t>4506565372</t>
  </si>
  <si>
    <t>4506564305</t>
  </si>
  <si>
    <t>4506564306</t>
  </si>
  <si>
    <t>4506564308</t>
  </si>
  <si>
    <t>4506597822</t>
  </si>
  <si>
    <t>4506597823</t>
  </si>
  <si>
    <t>4506597825</t>
  </si>
  <si>
    <t>PS SpongeBob Facepiece IH 6-6PK</t>
  </si>
  <si>
    <t>4506565353</t>
  </si>
  <si>
    <t>4506565354</t>
  </si>
  <si>
    <t>4506565355</t>
  </si>
  <si>
    <t>4506565361</t>
  </si>
  <si>
    <t>4506597824</t>
  </si>
  <si>
    <t>4506597826</t>
  </si>
  <si>
    <t>4506565356</t>
  </si>
  <si>
    <t>4506638518</t>
  </si>
  <si>
    <t>4506564274</t>
  </si>
  <si>
    <t>4506564309</t>
  </si>
  <si>
    <t>4506565328</t>
  </si>
  <si>
    <t>4506565362</t>
  </si>
  <si>
    <t>4506565329</t>
  </si>
  <si>
    <t>PS Spiderman Facepiece 1-20PK</t>
  </si>
  <si>
    <t>4506565346</t>
  </si>
  <si>
    <t>4506565347</t>
  </si>
  <si>
    <t>4506564307</t>
  </si>
  <si>
    <t>4506565330</t>
  </si>
  <si>
    <t>4506565363</t>
  </si>
  <si>
    <t>4506565327</t>
  </si>
  <si>
    <t>GH Almond Joy Candy Bar 8-6PK</t>
  </si>
  <si>
    <t>50579936</t>
  </si>
  <si>
    <t>SCHWANS FOOD SERVICE INC</t>
  </si>
  <si>
    <t>4506574044</t>
  </si>
  <si>
    <t>BJ US-IC-ChocChpCookDgh-FTNG-12 4FOZ</t>
  </si>
  <si>
    <t>4506574043</t>
  </si>
  <si>
    <t>BJ US-PUP-Pumpkincoockie 108p 4flz</t>
  </si>
  <si>
    <t>4506602802</t>
  </si>
  <si>
    <t>BJ US-PUP-PB Pretzel 6-4PK</t>
  </si>
  <si>
    <t>4506625183</t>
  </si>
  <si>
    <t>KL Vanilla Sandwich 8-6 PK</t>
  </si>
  <si>
    <t>4506602804</t>
  </si>
  <si>
    <t>BR Smores SW 6-4ct</t>
  </si>
  <si>
    <t>4506602803</t>
  </si>
  <si>
    <t>Yasso Cookies n Cream Club 1-15pk</t>
  </si>
  <si>
    <t>4506572220</t>
  </si>
  <si>
    <t>KL Reeses SW 6-4PK</t>
  </si>
  <si>
    <t>4506611533</t>
  </si>
  <si>
    <t>BJ US-IC-ChocFudgBrownie-FTNG-12 4FOZ</t>
  </si>
  <si>
    <t>4506632748</t>
  </si>
  <si>
    <t>Yasso Coffee Poppables 10-6.84flz</t>
  </si>
  <si>
    <t>51657100</t>
  </si>
  <si>
    <t>CooLab Foods LLC</t>
  </si>
  <si>
    <t>4506606174</t>
  </si>
  <si>
    <t>Yasso Fudge Chocolate Crunch 8-4pk</t>
  </si>
  <si>
    <t>51655117</t>
  </si>
  <si>
    <t>DFA  Belvidere  IL</t>
  </si>
  <si>
    <t>4506560447</t>
  </si>
  <si>
    <t>4506545130</t>
  </si>
  <si>
    <t>Yasso Cherry Chocolate Crunch 8-4pk</t>
  </si>
  <si>
    <t>4506500673</t>
  </si>
  <si>
    <t>Yasso Strawberries n Cream 8-4pk</t>
  </si>
  <si>
    <t>4506508478</t>
  </si>
  <si>
    <t>4506545133</t>
  </si>
  <si>
    <t>Yasso Vanilla Chocolate Crunch 8-4pk</t>
  </si>
  <si>
    <t>4506545134</t>
  </si>
  <si>
    <t>4506545131</t>
  </si>
  <si>
    <t>Yasso Chocolate Chip Cookie Dough 8-4pk</t>
  </si>
  <si>
    <t>4506545135</t>
  </si>
  <si>
    <t>Yasso Chocolate Chip Cookie Dough 8-14z</t>
  </si>
  <si>
    <t>51655250</t>
  </si>
  <si>
    <t>Hudsonville Creamery and Ice Cream</t>
  </si>
  <si>
    <t>4506500666</t>
  </si>
  <si>
    <t>Yasso Cookies n Cream 8-14z</t>
  </si>
  <si>
    <t>4506543324</t>
  </si>
  <si>
    <t>Yasso Chocolate Fudge Brownie 8-4pk</t>
  </si>
  <si>
    <t>4506543314</t>
  </si>
  <si>
    <t>4506543323</t>
  </si>
  <si>
    <t>4506470743</t>
  </si>
  <si>
    <t>4506470744</t>
  </si>
  <si>
    <t>4506500667</t>
  </si>
  <si>
    <t>4506543321</t>
  </si>
  <si>
    <t>Yasso Fudge Brownie 8-14z</t>
  </si>
  <si>
    <t>4506543322</t>
  </si>
  <si>
    <t>Yasso Coffee Chocolate Chip 8-14z</t>
  </si>
  <si>
    <t>4506543319</t>
  </si>
  <si>
    <t>Yasso Caramel Chocolate Crunch 8-4pk</t>
  </si>
  <si>
    <t>51655114</t>
  </si>
  <si>
    <t>Caspers Ice Cream   LLC</t>
  </si>
  <si>
    <t>4506545142</t>
  </si>
  <si>
    <t>GH Giant Cookies and Cream Cone 1-12PK</t>
  </si>
  <si>
    <t>4506583061</t>
  </si>
  <si>
    <t>4506545140</t>
  </si>
  <si>
    <t>4506545136</t>
  </si>
  <si>
    <t>4506603055</t>
  </si>
  <si>
    <t>GH Giant King Cone 1-12PK</t>
  </si>
  <si>
    <t>4506583060</t>
  </si>
  <si>
    <t>GH King Cone Giant VAN CHOC 1-12PK</t>
  </si>
  <si>
    <t>4506613088</t>
  </si>
  <si>
    <t>4506545141</t>
  </si>
  <si>
    <t>COR 1-15PK YSO Club _Mint Choc Chip</t>
  </si>
  <si>
    <t>51796934</t>
  </si>
  <si>
    <t>GREEN BAY PACKAGING INC</t>
  </si>
  <si>
    <t>4506612935</t>
  </si>
  <si>
    <t>4506612936</t>
  </si>
  <si>
    <t>BR Carbsmart IC Bars For CS 1(3)6-PK</t>
  </si>
  <si>
    <t>50480866</t>
  </si>
  <si>
    <t>UNITED STATES COLD STORAGE INC.</t>
  </si>
  <si>
    <t>4506562818</t>
  </si>
  <si>
    <t>MG Double Caramel RFA 8(3) 3PK</t>
  </si>
  <si>
    <t>4506562862</t>
  </si>
  <si>
    <t>4506562861</t>
  </si>
  <si>
    <t>COR TRAY 8-9PK MG Dbl Caramel IH Global</t>
  </si>
  <si>
    <t>50016156</t>
  </si>
  <si>
    <t>PACKAGING CORPORATION OF AMERICA</t>
  </si>
  <si>
    <t>4506583706</t>
  </si>
  <si>
    <t>4506591597</t>
  </si>
  <si>
    <t>4506591596</t>
  </si>
  <si>
    <t>4506604786</t>
  </si>
  <si>
    <t>COR RSC BR Carbsmart 18ct Club</t>
  </si>
  <si>
    <t>50015500</t>
  </si>
  <si>
    <t>4506583704</t>
  </si>
  <si>
    <t>COR RSC MG Mini Double Caramel 18ct Club</t>
  </si>
  <si>
    <t>4506583700</t>
  </si>
  <si>
    <t>4506614016</t>
  </si>
  <si>
    <t>YSO Mint Chocolate Chip Club 1-15pk</t>
  </si>
  <si>
    <t>4506612938</t>
  </si>
  <si>
    <t>4506614997</t>
  </si>
  <si>
    <t>4506612937</t>
  </si>
  <si>
    <t>4506588929</t>
  </si>
  <si>
    <t>4506555165</t>
  </si>
  <si>
    <t>4506563424</t>
  </si>
  <si>
    <t>4506563425</t>
  </si>
  <si>
    <t>4506546104</t>
  </si>
  <si>
    <t>4506546107</t>
  </si>
  <si>
    <t>4506562612</t>
  </si>
  <si>
    <t>4506563419</t>
  </si>
  <si>
    <t>4506563420</t>
  </si>
  <si>
    <t>4506563422</t>
  </si>
  <si>
    <t>4506563426</t>
  </si>
  <si>
    <t>4506573714</t>
  </si>
  <si>
    <t>4506563417</t>
  </si>
  <si>
    <t>4506563423</t>
  </si>
  <si>
    <t>4506563413</t>
  </si>
  <si>
    <t>4506563414</t>
  </si>
  <si>
    <t>4506563415</t>
  </si>
  <si>
    <t>4506563418</t>
  </si>
  <si>
    <t>4506573713</t>
  </si>
  <si>
    <t>4506573717</t>
  </si>
  <si>
    <t>4506563416</t>
  </si>
  <si>
    <t>4506573715</t>
  </si>
  <si>
    <t>4506563421</t>
  </si>
  <si>
    <t>4506572797</t>
  </si>
  <si>
    <t>4506572798</t>
  </si>
  <si>
    <t>4506572799</t>
  </si>
  <si>
    <t>4506572801</t>
  </si>
  <si>
    <t>4506572802</t>
  </si>
  <si>
    <t>4506572803</t>
  </si>
  <si>
    <t>4506572804</t>
  </si>
  <si>
    <t>4506572805</t>
  </si>
  <si>
    <t>4506572806</t>
  </si>
  <si>
    <t>4506573716</t>
  </si>
  <si>
    <t>4506572800</t>
  </si>
  <si>
    <t>Tultitlan</t>
  </si>
  <si>
    <t>KLONDIKE REESES CONE MPK 6X8X111ML</t>
  </si>
  <si>
    <t>PL1558</t>
  </si>
  <si>
    <t>UNILEVER DE MEXICO S R L DE C V</t>
  </si>
  <si>
    <t>4202233875</t>
  </si>
  <si>
    <t>Holanda Chem Pineap-Cocon USA 8x4x65ml</t>
  </si>
  <si>
    <t>4506579022</t>
  </si>
  <si>
    <t>4506579037</t>
  </si>
  <si>
    <t>4506579038</t>
  </si>
  <si>
    <t>Holanda Chem Straw-Cocon USA 8x4x65ml</t>
  </si>
  <si>
    <t>4506579017</t>
  </si>
  <si>
    <t>4506579018</t>
  </si>
  <si>
    <t>4506579019</t>
  </si>
  <si>
    <t>4506579020</t>
  </si>
  <si>
    <t>4506579021</t>
  </si>
  <si>
    <t>4506579015</t>
  </si>
  <si>
    <t>4506579016</t>
  </si>
  <si>
    <t>4506616869</t>
  </si>
  <si>
    <t>4506586608</t>
  </si>
  <si>
    <t>4506586611</t>
  </si>
  <si>
    <t>4506586610</t>
  </si>
  <si>
    <t>4506586606</t>
  </si>
  <si>
    <t>4506586607</t>
  </si>
  <si>
    <t>4506564311</t>
  </si>
  <si>
    <t>4506564312</t>
  </si>
  <si>
    <t>4506565313</t>
  </si>
  <si>
    <t>4506565314</t>
  </si>
  <si>
    <t>4506565315</t>
  </si>
  <si>
    <t>BR Chocolate 6 10CT 3z</t>
  </si>
  <si>
    <t>51400449</t>
  </si>
  <si>
    <t>AJLS Enterprises Inc dba Schoeps Ic</t>
  </si>
  <si>
    <t>4506627133</t>
  </si>
  <si>
    <t>BR Natural Vanilla 6 10CT 3z</t>
  </si>
  <si>
    <t>4506627132</t>
  </si>
  <si>
    <t>51706637</t>
  </si>
  <si>
    <t>Oregon Ice Cream  LLC</t>
  </si>
  <si>
    <t>4506596255</t>
  </si>
  <si>
    <t>4506596256</t>
  </si>
  <si>
    <t>4506596257</t>
  </si>
  <si>
    <t>GH Giant Vanilla Sandwich 1-24BK</t>
  </si>
  <si>
    <t>51714297</t>
  </si>
  <si>
    <t>Ice Cream Specialties  Inc</t>
  </si>
  <si>
    <t>4506613445</t>
  </si>
  <si>
    <t>4506431704</t>
  </si>
  <si>
    <t>4506431705</t>
  </si>
  <si>
    <t>51714298</t>
  </si>
  <si>
    <t>4506614933</t>
  </si>
  <si>
    <t>4506642923</t>
  </si>
  <si>
    <t>05</t>
  </si>
  <si>
    <t>CA is for US</t>
  </si>
  <si>
    <t>Ind. Std Desc.</t>
  </si>
  <si>
    <t>Material Type</t>
  </si>
  <si>
    <t>X-DChain status</t>
  </si>
  <si>
    <t>Valid from</t>
  </si>
  <si>
    <t>EAN/UPC</t>
  </si>
  <si>
    <t>Created On</t>
  </si>
  <si>
    <t>Last Change</t>
  </si>
  <si>
    <t>Changed by</t>
  </si>
  <si>
    <t>BJ US-NDO-LightsCaramelAction-8 1PT</t>
  </si>
  <si>
    <t>NA</t>
  </si>
  <si>
    <t>FERT</t>
  </si>
  <si>
    <t>20</t>
  </si>
  <si>
    <t>10076840003928</t>
  </si>
  <si>
    <t>PUJARI_B705</t>
  </si>
  <si>
    <t>BJ US-NDO-TonightDough-8 1PT</t>
  </si>
  <si>
    <t>10076840002884</t>
  </si>
  <si>
    <t>BJ US-NDO-Milk+Cookies-8 1PT</t>
  </si>
  <si>
    <t>10076840002280</t>
  </si>
  <si>
    <t>BJ US-NDO-COR-KaramelSutra-8 1PT</t>
  </si>
  <si>
    <t>10076840002891</t>
  </si>
  <si>
    <t>BJ US-NDO-MintChocCookie-8 1PT</t>
  </si>
  <si>
    <t>10076840002273</t>
  </si>
  <si>
    <t>BATCH_FI</t>
  </si>
  <si>
    <t>MG Cookie Duet 1-12BK</t>
  </si>
  <si>
    <t>10058779143005</t>
  </si>
  <si>
    <t>BPMCEREMOTE</t>
  </si>
  <si>
    <t>MG Almond 1-12BK</t>
  </si>
  <si>
    <t>10058779133716</t>
  </si>
  <si>
    <t>MG Classic 1-12BK</t>
  </si>
  <si>
    <t>10058779143623</t>
  </si>
  <si>
    <t>MG Mini Almond 6-4PK</t>
  </si>
  <si>
    <t>10058779203075</t>
  </si>
  <si>
    <t>MG Mini Double Caramel 6-4PK</t>
  </si>
  <si>
    <t>10058779203068</t>
  </si>
  <si>
    <t>MG Almond 12-3PK</t>
  </si>
  <si>
    <t>10058779133457</t>
  </si>
  <si>
    <t>MG Double Caramel 12-3PK</t>
  </si>
  <si>
    <t>10058779597020</t>
  </si>
  <si>
    <t>MG Double Raspberry 12-3PK</t>
  </si>
  <si>
    <t>10058779597051</t>
  </si>
  <si>
    <t>BJ R01-NDO-CHOCCHPCOOKDGH-8 458ML WIP</t>
  </si>
  <si>
    <t>10076840004147</t>
  </si>
  <si>
    <t>MG Double Chocolate 12-3PK</t>
  </si>
  <si>
    <t>10058779597037</t>
  </si>
  <si>
    <t>BJ US-NDO-ChocChpCookDgh-1 2.4g</t>
  </si>
  <si>
    <t>10076840001917</t>
  </si>
  <si>
    <t>BR CS Chocolate Peanut Butter 6 1.5QT</t>
  </si>
  <si>
    <t>10077567003529</t>
  </si>
  <si>
    <t>BR Pistachio Almond 6 1.5QT</t>
  </si>
  <si>
    <t>10077567003512</t>
  </si>
  <si>
    <t>10077567193428</t>
  </si>
  <si>
    <t>HAMZA_M515</t>
  </si>
  <si>
    <t>10077567132281</t>
  </si>
  <si>
    <t>HAUG_T001</t>
  </si>
  <si>
    <t>MG Double Caramel Bar 1-12PK OOH</t>
  </si>
  <si>
    <t>10077567158939</t>
  </si>
  <si>
    <t>NPD_ROBO_807</t>
  </si>
  <si>
    <t>10077567085167</t>
  </si>
  <si>
    <t>10077567603323</t>
  </si>
  <si>
    <t>X6PREMOTE</t>
  </si>
  <si>
    <t>10077567265309</t>
  </si>
  <si>
    <t>PS Creamsicle Cream Bars 12-12PK</t>
  </si>
  <si>
    <t>10058779399839</t>
  </si>
  <si>
    <t>SCHEERS_A001</t>
  </si>
  <si>
    <t>BJ CA-NDO-CHOCCHPCOOKDGH-8 473ml</t>
  </si>
  <si>
    <t>23</t>
  </si>
  <si>
    <t>10058779142664</t>
  </si>
  <si>
    <t>TAL LYR CHOC Chip CKE Batter 8p 311.3g</t>
  </si>
  <si>
    <t>10186852001796</t>
  </si>
  <si>
    <t>TAL Strawberry Sorbetto 8 1PT</t>
  </si>
  <si>
    <t>10186852001703</t>
  </si>
  <si>
    <t>TAL ND Caramel Toffee Crunch 8 1PT</t>
  </si>
  <si>
    <t>10186852001628</t>
  </si>
  <si>
    <t>10075856001065</t>
  </si>
  <si>
    <t>10077567271058</t>
  </si>
  <si>
    <t>10077567132298</t>
  </si>
  <si>
    <t>BJ US-SUN-CookieVermontster-8 427ML</t>
  </si>
  <si>
    <t>10076840004291</t>
  </si>
  <si>
    <t>BJ CA-COR-BrownieBatter-8 473ML</t>
  </si>
  <si>
    <t>10058779141834</t>
  </si>
  <si>
    <t>PRAVEEN_P705</t>
  </si>
  <si>
    <t>10077567003192</t>
  </si>
  <si>
    <t>10077567001570</t>
  </si>
  <si>
    <t>MG Milk Chocolate 8-3PK</t>
  </si>
  <si>
    <t>10077567004229</t>
  </si>
  <si>
    <t>GH Cookies and Creme Bar 8-6PK</t>
  </si>
  <si>
    <t>10041000576239</t>
  </si>
  <si>
    <t>BEARD_D003</t>
  </si>
  <si>
    <t>GH Chocolate Eclair Bar 8-6PK</t>
  </si>
  <si>
    <t>10041000576628</t>
  </si>
  <si>
    <t>GH Cookies+Cream 1-24BK OOH</t>
  </si>
  <si>
    <t>10077567028744</t>
  </si>
  <si>
    <t>BJ CA-IC-CherryGarcia-8 473ML</t>
  </si>
  <si>
    <t>10058779142763</t>
  </si>
  <si>
    <t>BJ CA-IC-ChocChpCookDgh-8 473ML</t>
  </si>
  <si>
    <t>10058779142800</t>
  </si>
  <si>
    <t>BJ CA-IC-PBHalfBaked-8 473ML</t>
  </si>
  <si>
    <t>10058779142701</t>
  </si>
  <si>
    <t>BJ CA-IC-SaltedCaramelAlmond-8 473ML</t>
  </si>
  <si>
    <t>10058779142725</t>
  </si>
  <si>
    <t>PS Firecracker 6-18PK</t>
  </si>
  <si>
    <t>10058779144057</t>
  </si>
  <si>
    <t>10058779144064</t>
  </si>
  <si>
    <t>BJ US-NDO MochaccinoChip-1 2.4Gal</t>
  </si>
  <si>
    <t>10076840004420</t>
  </si>
  <si>
    <t>BJ US-NDOStrawbSwirl-1 2.4Gal</t>
  </si>
  <si>
    <t>10076840004437</t>
  </si>
  <si>
    <t>BR BL Reese Peanut Butter Cup 4 1.41L</t>
  </si>
  <si>
    <t>10058779144118</t>
  </si>
  <si>
    <t>BJ CA-IC Sammie-8 473ml</t>
  </si>
  <si>
    <t>10058779010154</t>
  </si>
  <si>
    <t>BJ CA-IC-ChocTherapy-8 473ml</t>
  </si>
  <si>
    <t>10058779142695</t>
  </si>
  <si>
    <t>BR CS Rocky Road 4 1.41L</t>
  </si>
  <si>
    <t>10058779144149</t>
  </si>
  <si>
    <t>BR CS Neapolitan 4 1.41L</t>
  </si>
  <si>
    <t>10058779144187</t>
  </si>
  <si>
    <t>BR CS French Vanilla 4 1.41L</t>
  </si>
  <si>
    <t>10058779144194</t>
  </si>
  <si>
    <t>BR CS Natural Vanilla 4 1.41L</t>
  </si>
  <si>
    <t>10058779144200</t>
  </si>
  <si>
    <t>BR CS Butterscotch Ripple Plus 4 1.41L</t>
  </si>
  <si>
    <t>10058779144231</t>
  </si>
  <si>
    <t>BR CS Dark Cherry Vanilla Plus 4 1.41L</t>
  </si>
  <si>
    <t>10058779144248</t>
  </si>
  <si>
    <t>BR CL Vanilla 4 1.41L</t>
  </si>
  <si>
    <t>10058779144255</t>
  </si>
  <si>
    <t>BR CL Neapolitan 4 1.41L</t>
  </si>
  <si>
    <t>10058779144279</t>
  </si>
  <si>
    <t>BR CL French Vanilla 4 1.41L</t>
  </si>
  <si>
    <t>10058779144293</t>
  </si>
  <si>
    <t>KL Cookies and Creme IC SW 6-4PK</t>
  </si>
  <si>
    <t>10075856078708</t>
  </si>
  <si>
    <t>10075856055396</t>
  </si>
  <si>
    <t>10851035003248</t>
  </si>
  <si>
    <t>10851035003224</t>
  </si>
  <si>
    <t>10851035003323</t>
  </si>
  <si>
    <t>10851035003231</t>
  </si>
  <si>
    <t>BR NSA Chocolate 4p 1.41L</t>
  </si>
  <si>
    <t>10058779144361</t>
  </si>
  <si>
    <t>BR CS Strawberry 4p 1.4L</t>
  </si>
  <si>
    <t>10058779144378</t>
  </si>
  <si>
    <t>BR CS Salted Caramel 4p 1.4L</t>
  </si>
  <si>
    <t>10058779144385</t>
  </si>
  <si>
    <t>MG Mini Classic 6-4PK</t>
  </si>
  <si>
    <t>10058779144484</t>
  </si>
  <si>
    <t>MG Mini Raspberry 6-4PK</t>
  </si>
  <si>
    <t>10058779144491</t>
  </si>
  <si>
    <t>10840473400191</t>
  </si>
  <si>
    <t>10850001974575</t>
  </si>
  <si>
    <t>10840473400252</t>
  </si>
  <si>
    <t>BR Chocolate Lava Cake 6p 1.5QT</t>
  </si>
  <si>
    <t>10840473400276</t>
  </si>
  <si>
    <t>10840473400283</t>
  </si>
  <si>
    <t>BJ US-SUN-PBBlondie-8 427ml</t>
  </si>
  <si>
    <t>10076840004499</t>
  </si>
  <si>
    <t>10076840004505</t>
  </si>
  <si>
    <t>10077567349801</t>
  </si>
  <si>
    <t>NPD_ROBO_805</t>
  </si>
  <si>
    <t>10077567254402</t>
  </si>
  <si>
    <t>BJ R01-SUN-CookieVermontster-8 427ml</t>
  </si>
  <si>
    <t>08711327616530</t>
  </si>
  <si>
    <t>10840473400368</t>
  </si>
  <si>
    <t>BJ-CA-IC-PeanutButterCup-8 473ml</t>
  </si>
  <si>
    <t>10058779144514</t>
  </si>
  <si>
    <t>BJ-CA-IC-ChunkyMonkey-8 473ml</t>
  </si>
  <si>
    <t>10058779144521</t>
  </si>
  <si>
    <t>BJ-CA-IC-ColdBrewCaramelLatte-8 473ml</t>
  </si>
  <si>
    <t>10058779144538</t>
  </si>
  <si>
    <t>10186852001871</t>
  </si>
  <si>
    <t>10186852001888</t>
  </si>
  <si>
    <t>BJ US-NDO Key Lime Pie-1 2.4Gal</t>
  </si>
  <si>
    <t>10076840004628</t>
  </si>
  <si>
    <t>BR Strawberry Shortcake 8 1PT</t>
  </si>
  <si>
    <t>10077567004793</t>
  </si>
  <si>
    <t>BR Almond Joy 8 1PT</t>
  </si>
  <si>
    <t>10077567004809</t>
  </si>
  <si>
    <t>BR Creamsicle 8 1PT</t>
  </si>
  <si>
    <t>10077567004816</t>
  </si>
  <si>
    <t>PS SF OCG 1-32PK</t>
  </si>
  <si>
    <t>10840473400559</t>
  </si>
  <si>
    <t>BJ US-IC Black RASP Fudge Chunk-1 2.4gal</t>
  </si>
  <si>
    <t>10076840004666</t>
  </si>
  <si>
    <t>10076840002365</t>
  </si>
  <si>
    <t>10076840485113</t>
  </si>
  <si>
    <t>BHARDWA_S702</t>
  </si>
  <si>
    <t>BJ US-IC-Milk+Cookies-FTNG-1 2.4G</t>
  </si>
  <si>
    <t>10076840085764</t>
  </si>
  <si>
    <t>10076840100351</t>
  </si>
  <si>
    <t>10076840000712</t>
  </si>
  <si>
    <t>10076840529879</t>
  </si>
  <si>
    <t>BJ SORV-COR-DoceDeleite-8 458ML</t>
  </si>
  <si>
    <t>10076840002600</t>
  </si>
  <si>
    <t>FERNAND_C113</t>
  </si>
  <si>
    <t>10075856024156</t>
  </si>
  <si>
    <t>BJ US-IC-HalfBaked-1 2.4G</t>
  </si>
  <si>
    <t>10076840002983</t>
  </si>
  <si>
    <t>10076840003034</t>
  </si>
  <si>
    <t>10076840003058</t>
  </si>
  <si>
    <t>BJ US-IC-MarshmallowSky-1 2.4gal</t>
  </si>
  <si>
    <t>10076840003300</t>
  </si>
  <si>
    <t>10076840003546</t>
  </si>
  <si>
    <t>BJ US-IC-DublinMudslide-8 1PT</t>
  </si>
  <si>
    <t>10076840003614</t>
  </si>
  <si>
    <t>10075856001102</t>
  </si>
  <si>
    <t>KL SAB RF NSA Vanilla Bar 12-6PK</t>
  </si>
  <si>
    <t>10075856011200</t>
  </si>
  <si>
    <t>KL Chocolate/Chocolate Bar 12-6PK</t>
  </si>
  <si>
    <t>10075856001300</t>
  </si>
  <si>
    <t>10075856001201</t>
  </si>
  <si>
    <t>10077567224801</t>
  </si>
  <si>
    <t>BA_S705</t>
  </si>
  <si>
    <t>10041000054140</t>
  </si>
  <si>
    <t>GMO</t>
  </si>
  <si>
    <t>10041000576505</t>
  </si>
  <si>
    <t>10075856139010</t>
  </si>
  <si>
    <t>BR CO-B Reeses Chocolate 6 1.5QT</t>
  </si>
  <si>
    <t>10077567205183</t>
  </si>
  <si>
    <t>ANANDAS_V001</t>
  </si>
  <si>
    <t>FS Fudge Bars 12-12PK</t>
  </si>
  <si>
    <t>10058779399822</t>
  </si>
  <si>
    <t>10077567254242</t>
  </si>
  <si>
    <t>10077567250046</t>
  </si>
  <si>
    <t>BR HA French Vanilla 6 1.5QT</t>
  </si>
  <si>
    <t>10077567254389</t>
  </si>
  <si>
    <t>BR Strawberry 6 1.5QT</t>
  </si>
  <si>
    <t>10077567254341</t>
  </si>
  <si>
    <t>BR Coffee 6 1.5QT</t>
  </si>
  <si>
    <t>10077567254211</t>
  </si>
  <si>
    <t>BR Rocky Road 6 1.5QT</t>
  </si>
  <si>
    <t>10077567254433</t>
  </si>
  <si>
    <t>10077567254259</t>
  </si>
  <si>
    <t>10077567227000</t>
  </si>
  <si>
    <t>10077567226003</t>
  </si>
  <si>
    <t>10077567254204</t>
  </si>
  <si>
    <t>BR HA VAN CHOC STRAW 6-1.5QT</t>
  </si>
  <si>
    <t>10077567254266</t>
  </si>
  <si>
    <t>10077567254235</t>
  </si>
  <si>
    <t>KL Cookies and Creme Bar 12-6PK</t>
  </si>
  <si>
    <t>10075856024095</t>
  </si>
  <si>
    <t>10075856011132</t>
  </si>
  <si>
    <t>Talenti LYR Cookies and Cream 8 303.3g</t>
  </si>
  <si>
    <t>10186852001451</t>
  </si>
  <si>
    <t>Talenti Raspberry Cheesecake 8 1PT</t>
  </si>
  <si>
    <t>20816680010116</t>
  </si>
  <si>
    <t>Talenti Sea Salt Caramel 8 1PT</t>
  </si>
  <si>
    <t>20186852000277</t>
  </si>
  <si>
    <t>20186852000604</t>
  </si>
  <si>
    <t>20186852000116</t>
  </si>
  <si>
    <t>Talenti Vanilla Caramel Swirl 8 1PT</t>
  </si>
  <si>
    <t>20816680010314</t>
  </si>
  <si>
    <t>Talenti CHOC Chip Cookie Dough 8 1PT</t>
  </si>
  <si>
    <t>20816680010130</t>
  </si>
  <si>
    <t>Talenti Cold Brew Coffee Sorbetto 8 1PT</t>
  </si>
  <si>
    <t>10076840000767</t>
  </si>
  <si>
    <t>Talenti Double Dark Chocolate 8 1PT</t>
  </si>
  <si>
    <t>20186852000055</t>
  </si>
  <si>
    <t>Talenti Belgian Chocolate 8 1PT</t>
  </si>
  <si>
    <t>20186852000017</t>
  </si>
  <si>
    <t>10186852001079</t>
  </si>
  <si>
    <t>10186852001093</t>
  </si>
  <si>
    <t>BR CS Mint Cookie Fudge 6 1.5QT</t>
  </si>
  <si>
    <t>10077567003208</t>
  </si>
  <si>
    <t>BR Cookies and Cream 6 1.5QT</t>
  </si>
  <si>
    <t>10077567224825</t>
  </si>
  <si>
    <t>10077567254426</t>
  </si>
  <si>
    <t>10075856001706</t>
  </si>
  <si>
    <t>20186852000031</t>
  </si>
  <si>
    <t>GOOD HUMOR REESE BAR 6CT</t>
  </si>
  <si>
    <t>10041000004268</t>
  </si>
  <si>
    <t>10077567003390</t>
  </si>
  <si>
    <t>10077567283235</t>
  </si>
  <si>
    <t>BR NSA Vanilla 6 1.5QT</t>
  </si>
  <si>
    <t>10077567281903</t>
  </si>
  <si>
    <t>BR CO-B HA Reeses 6 1.5QT</t>
  </si>
  <si>
    <t>BJ US-IC-ChocolatePBChunk-1 2.4G</t>
  </si>
  <si>
    <t>10076840003966</t>
  </si>
  <si>
    <t>10077567001587</t>
  </si>
  <si>
    <t>KL Cookies and Cream Sandwich 1-24BK</t>
  </si>
  <si>
    <t>10058779141025</t>
  </si>
  <si>
    <t>10077567721836</t>
  </si>
  <si>
    <t>10077567721102</t>
  </si>
  <si>
    <t>10077567001549</t>
  </si>
  <si>
    <t>BJ US-NDO-Strawberry Chscake-8 1PT</t>
  </si>
  <si>
    <t>10076840004031</t>
  </si>
  <si>
    <t>GH Creamsicle Bar 100 CAL 8-6PK</t>
  </si>
  <si>
    <t>10041000007672</t>
  </si>
  <si>
    <t>GH Cremsicle 1-24PK</t>
  </si>
  <si>
    <t>10041000007689</t>
  </si>
  <si>
    <t>BJ US-NDO-CherryGarcia-8 1PT</t>
  </si>
  <si>
    <t>10076840674449</t>
  </si>
  <si>
    <t>BJ US-NDO-CHOC CHP COOK DGH-8 1PT</t>
  </si>
  <si>
    <t>10076840001740</t>
  </si>
  <si>
    <t>BJ US-NDO-CHC FG BRWN-8 1PT</t>
  </si>
  <si>
    <t>10076840580740</t>
  </si>
  <si>
    <t>BJ US-NDO-PhishFood-8 1PT</t>
  </si>
  <si>
    <t>10076840002914</t>
  </si>
  <si>
    <t>BJ CA-IC-Smoreplease-8 473ml</t>
  </si>
  <si>
    <t>10058779142718</t>
  </si>
  <si>
    <t>10076840002358</t>
  </si>
  <si>
    <t>10076840400215</t>
  </si>
  <si>
    <t>DELOSSA_K001</t>
  </si>
  <si>
    <t>10076840100580</t>
  </si>
  <si>
    <t>BJ US-IC-PistachioPistachio-FTNG-8 1PT</t>
  </si>
  <si>
    <t>10076840101181</t>
  </si>
  <si>
    <t>10076840400055</t>
  </si>
  <si>
    <t>BJ US-IC-Chocolate-FTNG-1 2.4G</t>
  </si>
  <si>
    <t>10076840104151</t>
  </si>
  <si>
    <t>BJ US-IC-ChocChpCookDgh-FTNG-1 2.4G</t>
  </si>
  <si>
    <t>10076840832009</t>
  </si>
  <si>
    <t>BJ US-COR-KaramelSutra-FTNG-8 1PT</t>
  </si>
  <si>
    <t>10076840101549</t>
  </si>
  <si>
    <t>BJ US-IC-NewYrkSprFdgChnk-FTNG-8 1PT</t>
  </si>
  <si>
    <t>10076840100146</t>
  </si>
  <si>
    <t>BJ US-IC-EverythingButThe-FTNG-8 1PT</t>
  </si>
  <si>
    <t>10076840101341</t>
  </si>
  <si>
    <t>10076840100153</t>
  </si>
  <si>
    <t>10076840100986</t>
  </si>
  <si>
    <t>10076840390004</t>
  </si>
  <si>
    <t>BJ US-IC-CoffeeToffeeCrunch-FTNG-8 1PT</t>
  </si>
  <si>
    <t>10076840100115</t>
  </si>
  <si>
    <t>10076840820600</t>
  </si>
  <si>
    <t>BJ US-IC-ChocFudgBrownie-FTNG-1 2.4G</t>
  </si>
  <si>
    <t>10076840832108</t>
  </si>
  <si>
    <t>10076840102072</t>
  </si>
  <si>
    <t>10076840100474</t>
  </si>
  <si>
    <t>10076840101327</t>
  </si>
  <si>
    <t>WF-BATCH</t>
  </si>
  <si>
    <t>10076840400079</t>
  </si>
  <si>
    <t>BJ AMET-IC-ChocFudgeBrwn-FTNG-8 458ML</t>
  </si>
  <si>
    <t>10076840055309</t>
  </si>
  <si>
    <t>10076840363954</t>
  </si>
  <si>
    <t>BJ SORV-IC-ChocFdgBrownie-8 458ML</t>
  </si>
  <si>
    <t>10076840376305</t>
  </si>
  <si>
    <t>BJ US-IC-ChocTherapy-FTNG-8 1PT</t>
  </si>
  <si>
    <t>10076840220318</t>
  </si>
  <si>
    <t>BJ US-IC-MintChocCookie-8 1PT</t>
  </si>
  <si>
    <t>10076840100047</t>
  </si>
  <si>
    <t>BJ US-IC-SweetCrm+Cookies-FTNG-1 2.4G</t>
  </si>
  <si>
    <t>10076840821256</t>
  </si>
  <si>
    <t>1419 </t>
  </si>
  <si>
    <t>3989 </t>
  </si>
  <si>
    <t>3983 </t>
  </si>
  <si>
    <t>3984 </t>
  </si>
  <si>
    <t>3961 </t>
  </si>
  <si>
    <t>3962 </t>
  </si>
  <si>
    <t>6706 </t>
  </si>
  <si>
    <t>2600 </t>
  </si>
  <si>
    <t>3985 </t>
  </si>
  <si>
    <t>3938 </t>
  </si>
  <si>
    <t>1461 </t>
  </si>
  <si>
    <t>1712 </t>
  </si>
  <si>
    <t>1714 </t>
  </si>
  <si>
    <t>1713 </t>
  </si>
  <si>
    <t>1715 </t>
  </si>
  <si>
    <t>1716 </t>
  </si>
  <si>
    <t>1717 </t>
  </si>
  <si>
    <t>6757 </t>
  </si>
  <si>
    <t>6764 </t>
  </si>
  <si>
    <t>6765 </t>
  </si>
  <si>
    <t>Yasso Vanilla Bean Sandwich 8-3pk</t>
  </si>
  <si>
    <t>BJ US-IC-Mixed 12PK</t>
  </si>
  <si>
    <t>BJ US-Bar-Cookie Dough 8-4pk</t>
  </si>
  <si>
    <t>BJ US-Bar-CHOCFUDGBrownie 8-4pk</t>
  </si>
  <si>
    <t>BJ US-Bar-PB Pretzel 8-4pk</t>
  </si>
  <si>
    <t>Incom d o o</t>
  </si>
  <si>
    <t>PS Hello Kitty Facepiece IH 6-6PK</t>
  </si>
  <si>
    <t>BJ US-PUP-PumpkinCookie 6-4PK</t>
  </si>
  <si>
    <t>Yasso Creamy Mango 8-4pk</t>
  </si>
  <si>
    <t>GH Reeses Candy Bar 8-6PK</t>
  </si>
  <si>
    <t>PS Bluey Facepiece IH 6-6PK</t>
  </si>
  <si>
    <t>BJ US-Bar-Caramel Blondie 8-4pk</t>
  </si>
  <si>
    <t>BJ US-CD-PBMix-8 8z</t>
  </si>
  <si>
    <t>PS Grogu Facepiece IH 6-6PK</t>
  </si>
  <si>
    <t>COR TRAY BJ IC Mixed 12-1PT</t>
  </si>
  <si>
    <t>GH King Cone GINT Cookies and CRM 1-12PK</t>
  </si>
  <si>
    <t>Yasso Choc Chip VAN CRML Cups 1-12ct</t>
  </si>
  <si>
    <t>G02</t>
  </si>
  <si>
    <t>S-02</t>
  </si>
  <si>
    <t>R01</t>
  </si>
  <si>
    <t>L02</t>
  </si>
  <si>
    <t>SP2</t>
  </si>
  <si>
    <t>S-1</t>
  </si>
  <si>
    <t>C-02</t>
  </si>
  <si>
    <t>Magnum White Chocolate Almond 12-3PK</t>
  </si>
  <si>
    <t>10058779143807</t>
  </si>
  <si>
    <t>Magnum Dark Chocolate Classic 12-3PK</t>
  </si>
  <si>
    <t>10058779143814</t>
  </si>
  <si>
    <t>MG Strawberry n Cream 1-12BK</t>
  </si>
  <si>
    <t>10058779141766</t>
  </si>
  <si>
    <t>MG Double Caramel 1-12 BK</t>
  </si>
  <si>
    <t>10058779594890</t>
  </si>
  <si>
    <t>MG Mini Dark 6-4PK</t>
  </si>
  <si>
    <t>10058779203082</t>
  </si>
  <si>
    <t>MG Strawberry n Cream 12-3PK</t>
  </si>
  <si>
    <t>10058779141735</t>
  </si>
  <si>
    <t>MG Classic 12-3PK</t>
  </si>
  <si>
    <t>10058779132849</t>
  </si>
  <si>
    <t>MG Cookie Duet 12-3PK</t>
  </si>
  <si>
    <t>10058779142862</t>
  </si>
  <si>
    <t>MG Double Caramel Bar 6-6PK</t>
  </si>
  <si>
    <t>10077567003444</t>
  </si>
  <si>
    <t>BJ CA-IC-UneAffaireEclair-8 473ML</t>
  </si>
  <si>
    <t>10058779143630</t>
  </si>
  <si>
    <t>KL ORIG Club Pack 1-24PK</t>
  </si>
  <si>
    <t>10075856011392</t>
  </si>
  <si>
    <t>KL Giant Original Bar 1-24PK</t>
  </si>
  <si>
    <t>10075856011477</t>
  </si>
  <si>
    <t>10077567003901</t>
  </si>
  <si>
    <t>BJ US-SUN-DulceDelish-8 427ML</t>
  </si>
  <si>
    <t>10076840004307</t>
  </si>
  <si>
    <t>BR Smores Bar 8-6PK</t>
  </si>
  <si>
    <t>10041000009690</t>
  </si>
  <si>
    <t>BJ CA-COR-ChocolateChip-8 473ML</t>
  </si>
  <si>
    <t>10058779142312</t>
  </si>
  <si>
    <t>10077567274424</t>
  </si>
  <si>
    <t>BJ CA-IC-HalfBaked-8 473ML</t>
  </si>
  <si>
    <t>10058779142756</t>
  </si>
  <si>
    <t>BJ CA-IC-ChocFudgBrownie-8 473ML</t>
  </si>
  <si>
    <t>10058779142770</t>
  </si>
  <si>
    <t>GUILFOY_J001</t>
  </si>
  <si>
    <t>BJ CA-IC-TonightDough-8 473ML</t>
  </si>
  <si>
    <t>10058779142787</t>
  </si>
  <si>
    <t>BJ CA-IC-OhCone-ada-8 473ml</t>
  </si>
  <si>
    <t>10058779142817</t>
  </si>
  <si>
    <t>MANNEN_C001</t>
  </si>
  <si>
    <t>BR CS Cookies+Cream 4 1.41L</t>
  </si>
  <si>
    <t>10058779144125</t>
  </si>
  <si>
    <t>BR CS Mint Chocolatey Chip 4 1.41L</t>
  </si>
  <si>
    <t>10058779144132</t>
  </si>
  <si>
    <t>BR CS Chocolate Chip CookieDough 4 1.41L</t>
  </si>
  <si>
    <t>10058779144156</t>
  </si>
  <si>
    <t>BR CS Chocolate 4 1.41L</t>
  </si>
  <si>
    <t>10058779144170</t>
  </si>
  <si>
    <t>BR CS Caramel Fudge Plus 4 1.41L</t>
  </si>
  <si>
    <t>10058779144217</t>
  </si>
  <si>
    <t>BR CL Chocolate 4 1.41L</t>
  </si>
  <si>
    <t>10058779144286</t>
  </si>
  <si>
    <t>BR NSA Vanilla 4p 1.41L</t>
  </si>
  <si>
    <t>10058779144354</t>
  </si>
  <si>
    <t>10850001974797</t>
  </si>
  <si>
    <t>Yasso Mint Chocolate Crunch 8-4pk</t>
  </si>
  <si>
    <t>10850001974070</t>
  </si>
  <si>
    <t>10850001974063</t>
  </si>
  <si>
    <t>BR Strawberry Pound Cake 6p 1.5QT</t>
  </si>
  <si>
    <t>10840473400269</t>
  </si>
  <si>
    <t>10077567004502</t>
  </si>
  <si>
    <t>BJ US-SUN-StrawBaeShortcake-8 427ML</t>
  </si>
  <si>
    <t>10076840004512</t>
  </si>
  <si>
    <t>Talenti Mediterranean Mint 8p 473ml</t>
  </si>
  <si>
    <t>10058779144545</t>
  </si>
  <si>
    <t>BJ US-IC-Honey Graham Latte-8 1PT LTD</t>
  </si>
  <si>
    <t>10076840036742</t>
  </si>
  <si>
    <t>BJ R01-SUN-StrawBaeShortcake-8 427ML</t>
  </si>
  <si>
    <t>10076840004642</t>
  </si>
  <si>
    <t>MG Bars Dubai Chocolate 1-12pk</t>
  </si>
  <si>
    <t>10077567004953</t>
  </si>
  <si>
    <t>10076840100818</t>
  </si>
  <si>
    <t>10076840001771</t>
  </si>
  <si>
    <t>10076840100771</t>
  </si>
  <si>
    <t>10076840076571</t>
  </si>
  <si>
    <t>BJ US-IC-PeanutButterWorld-8 1PT</t>
  </si>
  <si>
    <t>10076840161024</t>
  </si>
  <si>
    <t>10076840551962</t>
  </si>
  <si>
    <t>BJ US-TOP-TIRAMISU-8 450ml</t>
  </si>
  <si>
    <t>10076840003041</t>
  </si>
  <si>
    <t>10077567275056</t>
  </si>
  <si>
    <t>BJ MX-IC-CHOCCHPCOOKDGH-8 1PT</t>
  </si>
  <si>
    <t>10076840003461</t>
  </si>
  <si>
    <t>HAKEY_P001</t>
  </si>
  <si>
    <t>BJ MX-IC-CherryGarcia-8 1PT</t>
  </si>
  <si>
    <t>10076840003485</t>
  </si>
  <si>
    <t>BJ US-TOP-RaspCheesecake-8 450ML</t>
  </si>
  <si>
    <t>10076840003560</t>
  </si>
  <si>
    <t>KL SAB RF NSA Krunch Bar 12-6PK</t>
  </si>
  <si>
    <t>10075856012214</t>
  </si>
  <si>
    <t>PS Revello Ice Cream Bars 12-12PK</t>
  </si>
  <si>
    <t>10058779333987</t>
  </si>
  <si>
    <t>BR HA Strawberry 6 1.5QT</t>
  </si>
  <si>
    <t>10077567250053</t>
  </si>
  <si>
    <t>Talenti Mediterranean Mint 8 1PT</t>
  </si>
  <si>
    <t>20186852000079</t>
  </si>
  <si>
    <t>20186852000093</t>
  </si>
  <si>
    <t>Talenti Caribbean Coconut 8 1PT</t>
  </si>
  <si>
    <t>20186852000024</t>
  </si>
  <si>
    <t>Talenti Black Raspberry CHOC Chip 8 1PT</t>
  </si>
  <si>
    <t>20186852000611</t>
  </si>
  <si>
    <t>Talenti CHOC Peanut Butter 8 1PT</t>
  </si>
  <si>
    <t>20186852000086</t>
  </si>
  <si>
    <t>20186852000185</t>
  </si>
  <si>
    <t>Talenti Roman Raspberry SORB 8 1PT</t>
  </si>
  <si>
    <t>20186852000161</t>
  </si>
  <si>
    <t>BR HA Cookies and Cream 6 1.5QT</t>
  </si>
  <si>
    <t>10077567254440</t>
  </si>
  <si>
    <t>BR Double Cookie Crumble 6 1.5QT</t>
  </si>
  <si>
    <t>10077567254501</t>
  </si>
  <si>
    <t>BR Cherry Vanilla 6 1.5QT</t>
  </si>
  <si>
    <t>10077567254273</t>
  </si>
  <si>
    <t>10077567003277</t>
  </si>
  <si>
    <t>BJ US-TOP-BossinCreamPie-8 450ML</t>
  </si>
  <si>
    <t>10076840003829</t>
  </si>
  <si>
    <t>BJ US-IC-MoussePie-8 1PT</t>
  </si>
  <si>
    <t>10076840003850</t>
  </si>
  <si>
    <t>10077567275063</t>
  </si>
  <si>
    <t>BR CS CHOC 6 1.5QT</t>
  </si>
  <si>
    <t>10077567283204</t>
  </si>
  <si>
    <t>10077567193299</t>
  </si>
  <si>
    <t>10077567003451</t>
  </si>
  <si>
    <t>KL Vanilla Sandwich 1-24BK</t>
  </si>
  <si>
    <t>10058779393837</t>
  </si>
  <si>
    <t>10077567721621</t>
  </si>
  <si>
    <t>10077567001211</t>
  </si>
  <si>
    <t>10077567001563</t>
  </si>
  <si>
    <t>BJ US-IC-Impretzively Fudged-8 1PT</t>
  </si>
  <si>
    <t>10076840004048</t>
  </si>
  <si>
    <t>BJ US-IC-PB Smore-8 1PT</t>
  </si>
  <si>
    <t>10076840004055</t>
  </si>
  <si>
    <t>BJ CA IC Churreh For Churros-8 473ml</t>
  </si>
  <si>
    <t>10058779143647</t>
  </si>
  <si>
    <t>10076840104090</t>
  </si>
  <si>
    <t>10076840003935</t>
  </si>
  <si>
    <t>10076840003867</t>
  </si>
  <si>
    <t>10076840104144</t>
  </si>
  <si>
    <t>BJ US-IC-CherryGarcia-FTNG-1 2.4G</t>
  </si>
  <si>
    <t>10076840831903</t>
  </si>
  <si>
    <t>BJ US-IC-CoffeeBuzzBuzz-FTNG-1 2.4G</t>
  </si>
  <si>
    <t>10076840810878</t>
  </si>
  <si>
    <t>BJ US-IC-CoffeeBuzzBuzz-FTNG-8 1PT</t>
  </si>
  <si>
    <t>10076840298614</t>
  </si>
  <si>
    <t>BJ US-IC AmericoneDream-FTNG-1 2.4G</t>
  </si>
  <si>
    <t>10076840145086</t>
  </si>
  <si>
    <t>10076840810403</t>
  </si>
  <si>
    <t>10076840055354</t>
  </si>
  <si>
    <t>10076840100122</t>
  </si>
  <si>
    <t>Yasso Strawberry Chocolate Crunch 8-4pk</t>
  </si>
  <si>
    <t>Yasso Pistachio 8-4pk</t>
  </si>
  <si>
    <t>Yasso Black Raspberry Chip 8-4pk</t>
  </si>
  <si>
    <t>Yasso Creamy Pineapple Coconut 8-4pk</t>
  </si>
  <si>
    <t>Yasso Peanut Butter Chip 8-4pk</t>
  </si>
  <si>
    <t>PS SF Cherry IH 6-12pk</t>
  </si>
  <si>
    <t>PS Orange Regular IH 6-12pk</t>
  </si>
  <si>
    <t>BJ US-Bar-StrawberryCHSCAKE 8-4pk</t>
  </si>
  <si>
    <t>BR HA Natural Vanilla 6 10CT 3z</t>
  </si>
  <si>
    <t>COR RSC PS Twister 15pk Club Banino</t>
  </si>
  <si>
    <t>Schwan s Sales Co   Inc    Foodserv</t>
  </si>
  <si>
    <t>BJ US-IC-AmericoneDream-FTNG-12 4FOZ</t>
  </si>
  <si>
    <t>BJ US-PUP-PB Pretzel 108p 4FOZ</t>
  </si>
  <si>
    <t>MG Mini Double Caramel RFA 1(3) 6PK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</si>
</sst>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#,##0.000"/>
  </numFmts>
  <fonts count="5" x14ac:knownFonts="1">
    <font>
      <sz val="11"/>
      <color theme="1"/>
      <name val="Aptos Narrow"/>
      <family val="2"/>
      <scheme val="minor"/>
    </font>
    <font>
      <sz val="9"/>
      <name val="Segoe UI"/>
      <family val="2"/>
    </font>
    <font>
      <b/>
      <sz val="9"/>
      <name val="Segoe UI"/>
      <family val="2"/>
    </font>
    <font>
      <sz val="11"/>
      <name val="Calibri"/>
      <family val="2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0" fontId="0" fillId="3" borderId="0" xfId="0" applyFill="1" applyAlignment="1">
      <alignment horizontal="left"/>
    </xf>
    <xf numFmtId="49" fontId="0" fillId="3" borderId="0" xfId="0" applyNumberFormat="1" applyFill="1"/>
    <xf numFmtId="164" fontId="0" fillId="0" borderId="0" xfId="0" applyNumberFormat="1"/>
    <xf numFmtId="49" fontId="0" fillId="0" borderId="0" xfId="0" applyNumberFormat="1"/>
    <xf numFmtId="1" fontId="1" fillId="0" borderId="1" xfId="0" applyNumberFormat="1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1" fontId="1" fillId="0" borderId="3" xfId="0" applyNumberFormat="1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1" fontId="2" fillId="0" borderId="3" xfId="0" applyNumberFormat="1" applyFont="1" applyBorder="1" applyAlignment="1">
      <alignment horizontal="left" vertical="center" wrapText="1"/>
    </xf>
    <xf numFmtId="1" fontId="3" fillId="0" borderId="3" xfId="0" applyNumberFormat="1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1" fontId="4" fillId="0" borderId="3" xfId="0" applyNumberFormat="1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1" fontId="3" fillId="0" borderId="5" xfId="0" applyNumberFormat="1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1" fontId="0" fillId="0" borderId="0" xfId="0" applyNumberFormat="1"/>
    <xf numFmtId="4" fontId="0" fillId="0" borderId="0" xfId="0" applyNumberFormat="1"/>
    <xf numFmtId="14" fontId="0" fillId="0" borderId="0" xfId="0" applyNumberFormat="1"/>
    <xf numFmtId="0" fontId="3" fillId="0" borderId="7" xfId="0" applyFont="1" applyBorder="1" applyAlignment="1">
      <alignment horizontal="right" vertical="center" wrapText="1"/>
    </xf>
    <xf numFmtId="0" fontId="3" fillId="0" borderId="8" xfId="0" applyFont="1" applyBorder="1" applyAlignment="1">
      <alignment horizontal="right" vertical="center" wrapText="1"/>
    </xf>
    <xf numFmtId="0" fontId="3" fillId="0" borderId="9" xfId="0" applyFont="1" applyBorder="1" applyAlignment="1">
      <alignment horizontal="right" vertical="center" wrapText="1"/>
    </xf>
    <xf numFmtId="0" fontId="0" fillId="4" borderId="0" xfId="0" applyFill="1"/>
    <xf numFmtId="165" fontId="0" fillId="0" borderId="0" xfId="0" applyNumberFormat="1"/>
    <xf numFmtId="14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6D332-4A98-49B5-ACE2-75BAFF176BF0}">
  <dimension ref="B3:B22"/>
  <sheetViews>
    <sheetView workbookViewId="0">
      <selection activeCell="B3" sqref="B3:B22"/>
    </sheetView>
  </sheetViews>
  <sheetFormatPr defaultRowHeight="15" x14ac:dyDescent="0.25"/>
  <sheetData>
    <row r="3" spans="2:2" ht="15.75" thickBot="1" x14ac:dyDescent="0.3">
      <c r="B3" s="20" t="s">
        <v>806</v>
      </c>
    </row>
    <row r="4" spans="2:2" ht="15.75" thickBot="1" x14ac:dyDescent="0.3">
      <c r="B4" s="21" t="s">
        <v>807</v>
      </c>
    </row>
    <row r="5" spans="2:2" ht="15.75" thickBot="1" x14ac:dyDescent="0.3">
      <c r="B5" s="21" t="s">
        <v>808</v>
      </c>
    </row>
    <row r="6" spans="2:2" ht="15.75" thickBot="1" x14ac:dyDescent="0.3">
      <c r="B6" s="21" t="s">
        <v>809</v>
      </c>
    </row>
    <row r="7" spans="2:2" ht="15.75" thickBot="1" x14ac:dyDescent="0.3">
      <c r="B7" s="21" t="s">
        <v>810</v>
      </c>
    </row>
    <row r="8" spans="2:2" ht="15.75" thickBot="1" x14ac:dyDescent="0.3">
      <c r="B8" s="21" t="s">
        <v>811</v>
      </c>
    </row>
    <row r="9" spans="2:2" ht="15.75" thickBot="1" x14ac:dyDescent="0.3">
      <c r="B9" s="21" t="s">
        <v>812</v>
      </c>
    </row>
    <row r="10" spans="2:2" ht="15.75" thickBot="1" x14ac:dyDescent="0.3">
      <c r="B10" s="21" t="s">
        <v>813</v>
      </c>
    </row>
    <row r="11" spans="2:2" ht="15.75" thickBot="1" x14ac:dyDescent="0.3">
      <c r="B11" s="21" t="s">
        <v>814</v>
      </c>
    </row>
    <row r="12" spans="2:2" ht="15.75" thickBot="1" x14ac:dyDescent="0.3">
      <c r="B12" s="21" t="s">
        <v>815</v>
      </c>
    </row>
    <row r="13" spans="2:2" ht="15.75" thickBot="1" x14ac:dyDescent="0.3">
      <c r="B13" s="21" t="s">
        <v>816</v>
      </c>
    </row>
    <row r="14" spans="2:2" ht="15.75" thickBot="1" x14ac:dyDescent="0.3">
      <c r="B14" s="21" t="s">
        <v>817</v>
      </c>
    </row>
    <row r="15" spans="2:2" ht="15.75" thickBot="1" x14ac:dyDescent="0.3">
      <c r="B15" s="21" t="s">
        <v>818</v>
      </c>
    </row>
    <row r="16" spans="2:2" ht="15.75" thickBot="1" x14ac:dyDescent="0.3">
      <c r="B16" s="21" t="s">
        <v>819</v>
      </c>
    </row>
    <row r="17" spans="2:2" ht="15.75" thickBot="1" x14ac:dyDescent="0.3">
      <c r="B17" s="21" t="s">
        <v>820</v>
      </c>
    </row>
    <row r="18" spans="2:2" ht="15.75" thickBot="1" x14ac:dyDescent="0.3">
      <c r="B18" s="21" t="s">
        <v>821</v>
      </c>
    </row>
    <row r="19" spans="2:2" ht="15.75" thickBot="1" x14ac:dyDescent="0.3">
      <c r="B19" s="21" t="s">
        <v>822</v>
      </c>
    </row>
    <row r="20" spans="2:2" ht="15.75" thickBot="1" x14ac:dyDescent="0.3">
      <c r="B20" s="21" t="s">
        <v>823</v>
      </c>
    </row>
    <row r="21" spans="2:2" ht="15.75" thickBot="1" x14ac:dyDescent="0.3">
      <c r="B21" s="21" t="s">
        <v>824</v>
      </c>
    </row>
    <row r="22" spans="2:2" x14ac:dyDescent="0.25">
      <c r="B22" s="22" t="s">
        <v>825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B0500-6315-4929-BA8C-1FAC2497ED49}">
  <dimension ref="A1:H1790"/>
  <sheetViews>
    <sheetView workbookViewId="0">
      <selection activeCell="E37" sqref="E37"/>
    </sheetView>
  </sheetViews>
  <sheetFormatPr defaultRowHeight="15" x14ac:dyDescent="0.25"/>
  <cols>
    <col min="1" max="1" width="9" bestFit="1" customWidth="1"/>
    <col min="2" max="2" width="5.5703125" bestFit="1" customWidth="1"/>
    <col min="3" max="3" width="8.42578125" bestFit="1" customWidth="1"/>
    <col min="4" max="4" width="10.28515625" style="19" bestFit="1" customWidth="1"/>
    <col min="5" max="5" width="42.140625" bestFit="1" customWidth="1"/>
    <col min="6" max="6" width="5.28515625" bestFit="1" customWidth="1"/>
    <col min="7" max="7" width="10.85546875" bestFit="1" customWidth="1"/>
    <col min="8" max="8" width="10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s="19" t="s">
        <v>3</v>
      </c>
      <c r="E1" t="s">
        <v>4</v>
      </c>
      <c r="F1" t="s">
        <v>5</v>
      </c>
      <c r="G1" t="s">
        <v>465</v>
      </c>
      <c r="H1" t="s">
        <v>6</v>
      </c>
    </row>
    <row r="2" spans="1:8" x14ac:dyDescent="0.25">
      <c r="A2">
        <v>64315721</v>
      </c>
      <c r="B2">
        <v>1352</v>
      </c>
      <c r="C2">
        <v>22</v>
      </c>
      <c r="D2" s="19">
        <v>46076</v>
      </c>
      <c r="E2" t="s">
        <v>512</v>
      </c>
      <c r="F2" t="s">
        <v>35</v>
      </c>
      <c r="G2" t="e">
        <f>VLOOKUP($A2,'CA-US List'!$A:$C,3,0)</f>
        <v>#N/A</v>
      </c>
      <c r="H2" t="s">
        <v>9</v>
      </c>
    </row>
    <row r="3" spans="1:8" x14ac:dyDescent="0.25">
      <c r="A3">
        <v>64315721</v>
      </c>
      <c r="B3">
        <v>1352</v>
      </c>
      <c r="C3">
        <v>3344</v>
      </c>
      <c r="D3" s="19">
        <v>46077</v>
      </c>
      <c r="E3" t="s">
        <v>512</v>
      </c>
      <c r="F3" t="s">
        <v>35</v>
      </c>
      <c r="G3" t="e">
        <f>VLOOKUP($A3,'CA-US List'!$A:$C,3,0)</f>
        <v>#N/A</v>
      </c>
      <c r="H3" t="s">
        <v>9</v>
      </c>
    </row>
    <row r="4" spans="1:8" x14ac:dyDescent="0.25">
      <c r="A4">
        <v>64315721</v>
      </c>
      <c r="B4">
        <v>1352</v>
      </c>
      <c r="C4">
        <v>7920</v>
      </c>
      <c r="D4" s="19">
        <v>46078</v>
      </c>
      <c r="E4" t="s">
        <v>512</v>
      </c>
      <c r="F4" t="s">
        <v>35</v>
      </c>
      <c r="G4" t="e">
        <f>VLOOKUP($A4,'CA-US List'!$A:$C,3,0)</f>
        <v>#N/A</v>
      </c>
      <c r="H4" t="s">
        <v>9</v>
      </c>
    </row>
    <row r="5" spans="1:8" x14ac:dyDescent="0.25">
      <c r="A5">
        <v>64315721</v>
      </c>
      <c r="B5">
        <v>1352</v>
      </c>
      <c r="C5">
        <v>3001</v>
      </c>
      <c r="D5" s="19">
        <v>46077</v>
      </c>
      <c r="E5" t="s">
        <v>512</v>
      </c>
      <c r="F5" t="s">
        <v>35</v>
      </c>
      <c r="G5" t="e">
        <f>VLOOKUP($A5,'CA-US List'!$A:$C,3,0)</f>
        <v>#N/A</v>
      </c>
      <c r="H5" t="s">
        <v>9</v>
      </c>
    </row>
    <row r="6" spans="1:8" x14ac:dyDescent="0.25">
      <c r="A6">
        <v>64315721</v>
      </c>
      <c r="B6">
        <v>1352</v>
      </c>
      <c r="C6">
        <v>3872</v>
      </c>
      <c r="D6" s="19">
        <v>46076</v>
      </c>
      <c r="E6" t="s">
        <v>512</v>
      </c>
      <c r="F6" t="s">
        <v>35</v>
      </c>
      <c r="G6" t="e">
        <f>VLOOKUP($A6,'CA-US List'!$A:$C,3,0)</f>
        <v>#N/A</v>
      </c>
      <c r="H6" t="s">
        <v>9</v>
      </c>
    </row>
    <row r="7" spans="1:8" x14ac:dyDescent="0.25">
      <c r="A7">
        <v>64315721</v>
      </c>
      <c r="B7">
        <v>1352</v>
      </c>
      <c r="C7">
        <v>11</v>
      </c>
      <c r="D7" s="19">
        <v>46078</v>
      </c>
      <c r="E7" t="s">
        <v>512</v>
      </c>
      <c r="F7" t="s">
        <v>35</v>
      </c>
      <c r="G7" t="e">
        <f>VLOOKUP($A7,'CA-US List'!$A:$C,3,0)</f>
        <v>#N/A</v>
      </c>
      <c r="H7" t="s">
        <v>9</v>
      </c>
    </row>
    <row r="8" spans="1:8" x14ac:dyDescent="0.25">
      <c r="A8">
        <v>64315721</v>
      </c>
      <c r="B8">
        <v>1352</v>
      </c>
      <c r="C8">
        <v>0</v>
      </c>
      <c r="D8" s="19">
        <v>46079</v>
      </c>
      <c r="E8" t="s">
        <v>512</v>
      </c>
      <c r="F8" t="s">
        <v>35</v>
      </c>
      <c r="G8" t="e">
        <f>VLOOKUP($A8,'CA-US List'!$A:$C,3,0)</f>
        <v>#N/A</v>
      </c>
      <c r="H8" t="s">
        <v>9</v>
      </c>
    </row>
    <row r="9" spans="1:8" x14ac:dyDescent="0.25">
      <c r="A9">
        <v>64315721</v>
      </c>
      <c r="B9">
        <v>1352</v>
      </c>
      <c r="C9">
        <v>176</v>
      </c>
      <c r="D9" s="19">
        <v>46079</v>
      </c>
      <c r="E9" t="s">
        <v>512</v>
      </c>
      <c r="F9" t="s">
        <v>35</v>
      </c>
      <c r="G9" t="e">
        <f>VLOOKUP($A9,'CA-US List'!$A:$C,3,0)</f>
        <v>#N/A</v>
      </c>
      <c r="H9" t="s">
        <v>9</v>
      </c>
    </row>
    <row r="10" spans="1:8" x14ac:dyDescent="0.25">
      <c r="A10">
        <v>64315721</v>
      </c>
      <c r="B10">
        <v>1352</v>
      </c>
      <c r="C10">
        <v>478</v>
      </c>
      <c r="D10" s="19">
        <v>46078</v>
      </c>
      <c r="E10" t="s">
        <v>512</v>
      </c>
      <c r="F10" t="s">
        <v>35</v>
      </c>
      <c r="G10" t="e">
        <f>VLOOKUP($A10,'CA-US List'!$A:$C,3,0)</f>
        <v>#N/A</v>
      </c>
      <c r="H10" t="s">
        <v>9</v>
      </c>
    </row>
    <row r="11" spans="1:8" x14ac:dyDescent="0.25">
      <c r="A11">
        <v>64315721</v>
      </c>
      <c r="B11">
        <v>1352</v>
      </c>
      <c r="C11">
        <v>4414</v>
      </c>
      <c r="D11" s="19">
        <v>46079</v>
      </c>
      <c r="E11" t="s">
        <v>512</v>
      </c>
      <c r="F11" t="s">
        <v>35</v>
      </c>
      <c r="G11" t="e">
        <f>VLOOKUP($A11,'CA-US List'!$A:$C,3,0)</f>
        <v>#N/A</v>
      </c>
      <c r="H11" t="s">
        <v>9</v>
      </c>
    </row>
    <row r="12" spans="1:8" x14ac:dyDescent="0.25">
      <c r="A12">
        <v>64341967</v>
      </c>
      <c r="B12">
        <v>1352</v>
      </c>
      <c r="C12">
        <v>4045</v>
      </c>
      <c r="D12" s="19">
        <v>46102</v>
      </c>
      <c r="E12" t="s">
        <v>115</v>
      </c>
      <c r="F12" t="s">
        <v>35</v>
      </c>
      <c r="G12" t="e">
        <f>VLOOKUP($A12,'CA-US List'!$A:$C,3,0)</f>
        <v>#N/A</v>
      </c>
      <c r="H12" t="s">
        <v>9</v>
      </c>
    </row>
    <row r="13" spans="1:8" x14ac:dyDescent="0.25">
      <c r="A13">
        <v>64341967</v>
      </c>
      <c r="B13">
        <v>1352</v>
      </c>
      <c r="C13">
        <v>4909</v>
      </c>
      <c r="D13" s="19">
        <v>46103</v>
      </c>
      <c r="E13" t="s">
        <v>115</v>
      </c>
      <c r="F13" t="s">
        <v>35</v>
      </c>
      <c r="G13" t="e">
        <f>VLOOKUP($A13,'CA-US List'!$A:$C,3,0)</f>
        <v>#N/A</v>
      </c>
      <c r="H13" t="s">
        <v>9</v>
      </c>
    </row>
    <row r="14" spans="1:8" x14ac:dyDescent="0.25">
      <c r="A14">
        <v>64341967</v>
      </c>
      <c r="B14">
        <v>1352</v>
      </c>
      <c r="C14">
        <v>4576</v>
      </c>
      <c r="D14" s="19">
        <v>46103</v>
      </c>
      <c r="E14" t="s">
        <v>115</v>
      </c>
      <c r="F14" t="s">
        <v>35</v>
      </c>
      <c r="G14" t="e">
        <f>VLOOKUP($A14,'CA-US List'!$A:$C,3,0)</f>
        <v>#N/A</v>
      </c>
      <c r="H14" t="s">
        <v>9</v>
      </c>
    </row>
    <row r="15" spans="1:8" x14ac:dyDescent="0.25">
      <c r="A15">
        <v>64341967</v>
      </c>
      <c r="B15">
        <v>1352</v>
      </c>
      <c r="C15">
        <v>4723</v>
      </c>
      <c r="D15" s="19">
        <v>46104</v>
      </c>
      <c r="E15" t="s">
        <v>115</v>
      </c>
      <c r="F15" t="s">
        <v>35</v>
      </c>
      <c r="G15" t="e">
        <f>VLOOKUP($A15,'CA-US List'!$A:$C,3,0)</f>
        <v>#N/A</v>
      </c>
      <c r="H15" t="s">
        <v>9</v>
      </c>
    </row>
    <row r="16" spans="1:8" x14ac:dyDescent="0.25">
      <c r="A16">
        <v>64341967</v>
      </c>
      <c r="B16">
        <v>1352</v>
      </c>
      <c r="C16">
        <v>4576</v>
      </c>
      <c r="D16" s="19">
        <v>46104</v>
      </c>
      <c r="E16" t="s">
        <v>115</v>
      </c>
      <c r="F16" t="s">
        <v>35</v>
      </c>
      <c r="G16" t="e">
        <f>VLOOKUP($A16,'CA-US List'!$A:$C,3,0)</f>
        <v>#N/A</v>
      </c>
      <c r="H16" t="s">
        <v>9</v>
      </c>
    </row>
    <row r="17" spans="1:8" x14ac:dyDescent="0.25">
      <c r="A17">
        <v>64341967</v>
      </c>
      <c r="B17">
        <v>1352</v>
      </c>
      <c r="C17">
        <v>7633</v>
      </c>
      <c r="D17" s="19">
        <v>46105</v>
      </c>
      <c r="E17" t="s">
        <v>115</v>
      </c>
      <c r="F17" t="s">
        <v>35</v>
      </c>
      <c r="G17" t="e">
        <f>VLOOKUP($A17,'CA-US List'!$A:$C,3,0)</f>
        <v>#N/A</v>
      </c>
      <c r="H17" t="s">
        <v>9</v>
      </c>
    </row>
    <row r="18" spans="1:8" x14ac:dyDescent="0.25">
      <c r="A18">
        <v>64341967</v>
      </c>
      <c r="B18">
        <v>1352</v>
      </c>
      <c r="C18">
        <v>5244</v>
      </c>
      <c r="D18" s="19">
        <v>46105</v>
      </c>
      <c r="E18" t="s">
        <v>115</v>
      </c>
      <c r="F18" t="s">
        <v>35</v>
      </c>
      <c r="G18" t="e">
        <f>VLOOKUP($A18,'CA-US List'!$A:$C,3,0)</f>
        <v>#N/A</v>
      </c>
      <c r="H18" t="s">
        <v>9</v>
      </c>
    </row>
    <row r="19" spans="1:8" x14ac:dyDescent="0.25">
      <c r="A19">
        <v>64341968</v>
      </c>
      <c r="B19">
        <v>1352</v>
      </c>
      <c r="C19">
        <v>3983</v>
      </c>
      <c r="D19" s="19">
        <v>46080</v>
      </c>
      <c r="E19" t="s">
        <v>132</v>
      </c>
      <c r="F19" t="s">
        <v>35</v>
      </c>
      <c r="G19" t="e">
        <f>VLOOKUP($A19,'CA-US List'!$A:$C,3,0)</f>
        <v>#N/A</v>
      </c>
      <c r="H19" t="s">
        <v>9</v>
      </c>
    </row>
    <row r="20" spans="1:8" x14ac:dyDescent="0.25">
      <c r="A20">
        <v>64341968</v>
      </c>
      <c r="B20">
        <v>1352</v>
      </c>
      <c r="C20">
        <v>3928</v>
      </c>
      <c r="D20" s="19">
        <v>46080</v>
      </c>
      <c r="E20" t="s">
        <v>132</v>
      </c>
      <c r="F20" t="s">
        <v>35</v>
      </c>
      <c r="G20" t="e">
        <f>VLOOKUP($A20,'CA-US List'!$A:$C,3,0)</f>
        <v>#N/A</v>
      </c>
      <c r="H20" t="s">
        <v>9</v>
      </c>
    </row>
    <row r="21" spans="1:8" x14ac:dyDescent="0.25">
      <c r="A21">
        <v>64341968</v>
      </c>
      <c r="B21">
        <v>1352</v>
      </c>
      <c r="C21">
        <v>6018</v>
      </c>
      <c r="D21" s="19">
        <v>46081</v>
      </c>
      <c r="E21" t="s">
        <v>132</v>
      </c>
      <c r="F21" t="s">
        <v>35</v>
      </c>
      <c r="G21" t="e">
        <f>VLOOKUP($A21,'CA-US List'!$A:$C,3,0)</f>
        <v>#N/A</v>
      </c>
      <c r="H21" t="s">
        <v>9</v>
      </c>
    </row>
    <row r="22" spans="1:8" x14ac:dyDescent="0.25">
      <c r="A22">
        <v>64341968</v>
      </c>
      <c r="B22">
        <v>1352</v>
      </c>
      <c r="C22">
        <v>176</v>
      </c>
      <c r="D22" s="19">
        <v>46086</v>
      </c>
      <c r="E22" t="s">
        <v>132</v>
      </c>
      <c r="F22" t="s">
        <v>35</v>
      </c>
      <c r="G22" t="e">
        <f>VLOOKUP($A22,'CA-US List'!$A:$C,3,0)</f>
        <v>#N/A</v>
      </c>
      <c r="H22" t="s">
        <v>9</v>
      </c>
    </row>
    <row r="23" spans="1:8" x14ac:dyDescent="0.25">
      <c r="A23">
        <v>64341968</v>
      </c>
      <c r="B23">
        <v>1352</v>
      </c>
      <c r="C23">
        <v>5632</v>
      </c>
      <c r="D23" s="19">
        <v>46081</v>
      </c>
      <c r="E23" t="s">
        <v>132</v>
      </c>
      <c r="F23" t="s">
        <v>35</v>
      </c>
      <c r="G23" t="e">
        <f>VLOOKUP($A23,'CA-US List'!$A:$C,3,0)</f>
        <v>#N/A</v>
      </c>
      <c r="H23" t="s">
        <v>9</v>
      </c>
    </row>
    <row r="24" spans="1:8" x14ac:dyDescent="0.25">
      <c r="A24">
        <v>64341968</v>
      </c>
      <c r="B24">
        <v>1352</v>
      </c>
      <c r="C24">
        <v>6158</v>
      </c>
      <c r="D24" s="19">
        <v>46082</v>
      </c>
      <c r="E24" t="s">
        <v>132</v>
      </c>
      <c r="F24" t="s">
        <v>35</v>
      </c>
      <c r="G24" t="e">
        <f>VLOOKUP($A24,'CA-US List'!$A:$C,3,0)</f>
        <v>#N/A</v>
      </c>
      <c r="H24" t="s">
        <v>9</v>
      </c>
    </row>
    <row r="25" spans="1:8" x14ac:dyDescent="0.25">
      <c r="A25">
        <v>64341968</v>
      </c>
      <c r="B25">
        <v>1352</v>
      </c>
      <c r="C25">
        <v>176</v>
      </c>
      <c r="D25" s="19">
        <v>46093</v>
      </c>
      <c r="E25" t="s">
        <v>132</v>
      </c>
      <c r="F25" t="s">
        <v>35</v>
      </c>
      <c r="G25" t="e">
        <f>VLOOKUP($A25,'CA-US List'!$A:$C,3,0)</f>
        <v>#N/A</v>
      </c>
      <c r="H25" t="s">
        <v>9</v>
      </c>
    </row>
    <row r="26" spans="1:8" x14ac:dyDescent="0.25">
      <c r="A26">
        <v>64341968</v>
      </c>
      <c r="B26">
        <v>1352</v>
      </c>
      <c r="C26">
        <v>4928</v>
      </c>
      <c r="D26" s="19">
        <v>46082</v>
      </c>
      <c r="E26" t="s">
        <v>132</v>
      </c>
      <c r="F26" t="s">
        <v>35</v>
      </c>
      <c r="G26" t="e">
        <f>VLOOKUP($A26,'CA-US List'!$A:$C,3,0)</f>
        <v>#N/A</v>
      </c>
      <c r="H26" t="s">
        <v>9</v>
      </c>
    </row>
    <row r="27" spans="1:8" x14ac:dyDescent="0.25">
      <c r="A27">
        <v>64341968</v>
      </c>
      <c r="B27">
        <v>1352</v>
      </c>
      <c r="C27">
        <v>9046</v>
      </c>
      <c r="D27" s="19">
        <v>46083</v>
      </c>
      <c r="E27" t="s">
        <v>132</v>
      </c>
      <c r="F27" t="s">
        <v>35</v>
      </c>
      <c r="G27" t="e">
        <f>VLOOKUP($A27,'CA-US List'!$A:$C,3,0)</f>
        <v>#N/A</v>
      </c>
      <c r="H27" t="s">
        <v>9</v>
      </c>
    </row>
    <row r="28" spans="1:8" x14ac:dyDescent="0.25">
      <c r="A28">
        <v>64341968</v>
      </c>
      <c r="B28">
        <v>1352</v>
      </c>
      <c r="C28">
        <v>154</v>
      </c>
      <c r="D28" s="19">
        <v>46084</v>
      </c>
      <c r="E28" t="s">
        <v>132</v>
      </c>
      <c r="F28" t="s">
        <v>35</v>
      </c>
      <c r="G28" t="e">
        <f>VLOOKUP($A28,'CA-US List'!$A:$C,3,0)</f>
        <v>#N/A</v>
      </c>
      <c r="H28" t="s">
        <v>9</v>
      </c>
    </row>
    <row r="29" spans="1:8" x14ac:dyDescent="0.25">
      <c r="A29">
        <v>64341968</v>
      </c>
      <c r="B29">
        <v>1352</v>
      </c>
      <c r="C29">
        <v>3696</v>
      </c>
      <c r="D29" s="19">
        <v>46083</v>
      </c>
      <c r="E29" t="s">
        <v>132</v>
      </c>
      <c r="F29" t="s">
        <v>35</v>
      </c>
      <c r="G29" t="e">
        <f>VLOOKUP($A29,'CA-US List'!$A:$C,3,0)</f>
        <v>#N/A</v>
      </c>
      <c r="H29" t="s">
        <v>9</v>
      </c>
    </row>
    <row r="30" spans="1:8" x14ac:dyDescent="0.25">
      <c r="A30">
        <v>64341968</v>
      </c>
      <c r="B30">
        <v>1352</v>
      </c>
      <c r="C30">
        <v>1701</v>
      </c>
      <c r="D30" s="19">
        <v>46084</v>
      </c>
      <c r="E30" t="s">
        <v>132</v>
      </c>
      <c r="F30" t="s">
        <v>35</v>
      </c>
      <c r="G30" t="e">
        <f>VLOOKUP($A30,'CA-US List'!$A:$C,3,0)</f>
        <v>#N/A</v>
      </c>
      <c r="H30" t="s">
        <v>9</v>
      </c>
    </row>
    <row r="31" spans="1:8" x14ac:dyDescent="0.25">
      <c r="A31">
        <v>64341968</v>
      </c>
      <c r="B31">
        <v>1352</v>
      </c>
      <c r="C31">
        <v>4928</v>
      </c>
      <c r="D31" s="19">
        <v>46084</v>
      </c>
      <c r="E31" t="s">
        <v>132</v>
      </c>
      <c r="F31" t="s">
        <v>35</v>
      </c>
      <c r="G31" t="e">
        <f>VLOOKUP($A31,'CA-US List'!$A:$C,3,0)</f>
        <v>#N/A</v>
      </c>
      <c r="H31" t="s">
        <v>9</v>
      </c>
    </row>
    <row r="32" spans="1:8" x14ac:dyDescent="0.25">
      <c r="A32">
        <v>64341968</v>
      </c>
      <c r="B32">
        <v>1352</v>
      </c>
      <c r="C32">
        <v>7860</v>
      </c>
      <c r="D32" s="19">
        <v>46085</v>
      </c>
      <c r="E32" t="s">
        <v>132</v>
      </c>
      <c r="F32" t="s">
        <v>35</v>
      </c>
      <c r="G32" t="e">
        <f>VLOOKUP($A32,'CA-US List'!$A:$C,3,0)</f>
        <v>#N/A</v>
      </c>
      <c r="H32" t="s">
        <v>9</v>
      </c>
    </row>
    <row r="33" spans="1:8" x14ac:dyDescent="0.25">
      <c r="A33">
        <v>64341968</v>
      </c>
      <c r="B33">
        <v>1352</v>
      </c>
      <c r="C33">
        <v>4224</v>
      </c>
      <c r="D33" s="19">
        <v>46085</v>
      </c>
      <c r="E33" t="s">
        <v>132</v>
      </c>
      <c r="F33" t="s">
        <v>35</v>
      </c>
      <c r="G33" t="e">
        <f>VLOOKUP($A33,'CA-US List'!$A:$C,3,0)</f>
        <v>#N/A</v>
      </c>
      <c r="H33" t="s">
        <v>9</v>
      </c>
    </row>
    <row r="34" spans="1:8" x14ac:dyDescent="0.25">
      <c r="A34">
        <v>64341968</v>
      </c>
      <c r="B34">
        <v>1352</v>
      </c>
      <c r="C34">
        <v>9338</v>
      </c>
      <c r="D34" s="19">
        <v>46086</v>
      </c>
      <c r="E34" t="s">
        <v>132</v>
      </c>
      <c r="F34" t="s">
        <v>35</v>
      </c>
      <c r="G34" t="e">
        <f>VLOOKUP($A34,'CA-US List'!$A:$C,3,0)</f>
        <v>#N/A</v>
      </c>
      <c r="H34" t="s">
        <v>9</v>
      </c>
    </row>
    <row r="35" spans="1:8" x14ac:dyDescent="0.25">
      <c r="A35">
        <v>64341968</v>
      </c>
      <c r="B35">
        <v>1352</v>
      </c>
      <c r="C35">
        <v>1523</v>
      </c>
      <c r="D35" s="19">
        <v>46086</v>
      </c>
      <c r="E35" t="s">
        <v>132</v>
      </c>
      <c r="F35" t="s">
        <v>35</v>
      </c>
      <c r="G35" t="e">
        <f>VLOOKUP($A35,'CA-US List'!$A:$C,3,0)</f>
        <v>#N/A</v>
      </c>
      <c r="H35" t="s">
        <v>9</v>
      </c>
    </row>
    <row r="36" spans="1:8" x14ac:dyDescent="0.25">
      <c r="A36">
        <v>64341968</v>
      </c>
      <c r="B36">
        <v>1352</v>
      </c>
      <c r="C36">
        <v>8487</v>
      </c>
      <c r="D36" s="19">
        <v>46087</v>
      </c>
      <c r="E36" t="s">
        <v>132</v>
      </c>
      <c r="F36" t="s">
        <v>35</v>
      </c>
      <c r="G36" t="e">
        <f>VLOOKUP($A36,'CA-US List'!$A:$C,3,0)</f>
        <v>#N/A</v>
      </c>
      <c r="H36" t="s">
        <v>9</v>
      </c>
    </row>
    <row r="37" spans="1:8" x14ac:dyDescent="0.25">
      <c r="A37">
        <v>64341968</v>
      </c>
      <c r="B37">
        <v>1352</v>
      </c>
      <c r="C37">
        <v>0</v>
      </c>
      <c r="D37" s="19">
        <v>46079</v>
      </c>
      <c r="E37" t="s">
        <v>132</v>
      </c>
      <c r="F37" t="s">
        <v>35</v>
      </c>
      <c r="G37" t="e">
        <f>VLOOKUP($A37,'CA-US List'!$A:$C,3,0)</f>
        <v>#N/A</v>
      </c>
      <c r="H37" t="s">
        <v>9</v>
      </c>
    </row>
    <row r="38" spans="1:8" x14ac:dyDescent="0.25">
      <c r="A38">
        <v>64341968</v>
      </c>
      <c r="B38">
        <v>1352</v>
      </c>
      <c r="C38">
        <v>1185</v>
      </c>
      <c r="D38" s="19">
        <v>46096</v>
      </c>
      <c r="E38" t="s">
        <v>132</v>
      </c>
      <c r="F38" t="s">
        <v>35</v>
      </c>
      <c r="G38" t="e">
        <f>VLOOKUP($A38,'CA-US List'!$A:$C,3,0)</f>
        <v>#N/A</v>
      </c>
      <c r="H38" t="s">
        <v>9</v>
      </c>
    </row>
    <row r="39" spans="1:8" x14ac:dyDescent="0.25">
      <c r="A39">
        <v>64341968</v>
      </c>
      <c r="B39">
        <v>1352</v>
      </c>
      <c r="C39">
        <v>4375</v>
      </c>
      <c r="D39" s="19">
        <v>46096</v>
      </c>
      <c r="E39" t="s">
        <v>132</v>
      </c>
      <c r="F39" t="s">
        <v>35</v>
      </c>
      <c r="G39" t="e">
        <f>VLOOKUP($A39,'CA-US List'!$A:$C,3,0)</f>
        <v>#N/A</v>
      </c>
      <c r="H39" t="s">
        <v>9</v>
      </c>
    </row>
    <row r="40" spans="1:8" x14ac:dyDescent="0.25">
      <c r="A40">
        <v>64341968</v>
      </c>
      <c r="B40">
        <v>1352</v>
      </c>
      <c r="C40">
        <v>4160</v>
      </c>
      <c r="D40" s="19">
        <v>46097</v>
      </c>
      <c r="E40" t="s">
        <v>132</v>
      </c>
      <c r="F40" t="s">
        <v>35</v>
      </c>
      <c r="G40" t="e">
        <f>VLOOKUP($A40,'CA-US List'!$A:$C,3,0)</f>
        <v>#N/A</v>
      </c>
      <c r="H40" t="s">
        <v>9</v>
      </c>
    </row>
    <row r="41" spans="1:8" x14ac:dyDescent="0.25">
      <c r="A41">
        <v>64341968</v>
      </c>
      <c r="B41">
        <v>1352</v>
      </c>
      <c r="C41">
        <v>3872</v>
      </c>
      <c r="D41" s="19">
        <v>46097</v>
      </c>
      <c r="E41" t="s">
        <v>132</v>
      </c>
      <c r="F41" t="s">
        <v>35</v>
      </c>
      <c r="G41" t="e">
        <f>VLOOKUP($A41,'CA-US List'!$A:$C,3,0)</f>
        <v>#N/A</v>
      </c>
      <c r="H41" t="s">
        <v>9</v>
      </c>
    </row>
    <row r="42" spans="1:8" x14ac:dyDescent="0.25">
      <c r="A42">
        <v>64341968</v>
      </c>
      <c r="B42">
        <v>1352</v>
      </c>
      <c r="C42">
        <v>8294</v>
      </c>
      <c r="D42" s="19">
        <v>46098</v>
      </c>
      <c r="E42" t="s">
        <v>132</v>
      </c>
      <c r="F42" t="s">
        <v>35</v>
      </c>
      <c r="G42" t="e">
        <f>VLOOKUP($A42,'CA-US List'!$A:$C,3,0)</f>
        <v>#N/A</v>
      </c>
      <c r="H42" t="s">
        <v>9</v>
      </c>
    </row>
    <row r="43" spans="1:8" x14ac:dyDescent="0.25">
      <c r="A43">
        <v>64341968</v>
      </c>
      <c r="B43">
        <v>1352</v>
      </c>
      <c r="C43">
        <v>5280</v>
      </c>
      <c r="D43" s="19">
        <v>46098</v>
      </c>
      <c r="E43" t="s">
        <v>132</v>
      </c>
      <c r="F43" t="s">
        <v>35</v>
      </c>
      <c r="G43" t="e">
        <f>VLOOKUP($A43,'CA-US List'!$A:$C,3,0)</f>
        <v>#N/A</v>
      </c>
      <c r="H43" t="s">
        <v>9</v>
      </c>
    </row>
    <row r="44" spans="1:8" x14ac:dyDescent="0.25">
      <c r="A44">
        <v>64341968</v>
      </c>
      <c r="B44">
        <v>1352</v>
      </c>
      <c r="C44">
        <v>6211</v>
      </c>
      <c r="D44" s="19">
        <v>46099</v>
      </c>
      <c r="E44" t="s">
        <v>132</v>
      </c>
      <c r="F44" t="s">
        <v>35</v>
      </c>
      <c r="G44" t="e">
        <f>VLOOKUP($A44,'CA-US List'!$A:$C,3,0)</f>
        <v>#N/A</v>
      </c>
      <c r="H44" t="s">
        <v>9</v>
      </c>
    </row>
    <row r="45" spans="1:8" x14ac:dyDescent="0.25">
      <c r="A45">
        <v>64341968</v>
      </c>
      <c r="B45">
        <v>1352</v>
      </c>
      <c r="C45">
        <v>4707</v>
      </c>
      <c r="D45" s="19">
        <v>46099</v>
      </c>
      <c r="E45" t="s">
        <v>132</v>
      </c>
      <c r="F45" t="s">
        <v>35</v>
      </c>
      <c r="G45" t="e">
        <f>VLOOKUP($A45,'CA-US List'!$A:$C,3,0)</f>
        <v>#N/A</v>
      </c>
      <c r="H45" t="s">
        <v>9</v>
      </c>
    </row>
    <row r="46" spans="1:8" x14ac:dyDescent="0.25">
      <c r="A46">
        <v>64341968</v>
      </c>
      <c r="B46">
        <v>1352</v>
      </c>
      <c r="C46">
        <v>6151</v>
      </c>
      <c r="D46" s="19">
        <v>46100</v>
      </c>
      <c r="E46" t="s">
        <v>132</v>
      </c>
      <c r="F46" t="s">
        <v>35</v>
      </c>
      <c r="G46" t="e">
        <f>VLOOKUP($A46,'CA-US List'!$A:$C,3,0)</f>
        <v>#N/A</v>
      </c>
      <c r="H46" t="s">
        <v>9</v>
      </c>
    </row>
    <row r="47" spans="1:8" x14ac:dyDescent="0.25">
      <c r="A47">
        <v>64341968</v>
      </c>
      <c r="B47">
        <v>1352</v>
      </c>
      <c r="C47">
        <v>4072</v>
      </c>
      <c r="D47" s="19">
        <v>46101</v>
      </c>
      <c r="E47" t="s">
        <v>132</v>
      </c>
      <c r="F47" t="s">
        <v>35</v>
      </c>
      <c r="G47" t="e">
        <f>VLOOKUP($A47,'CA-US List'!$A:$C,3,0)</f>
        <v>#N/A</v>
      </c>
      <c r="H47" t="s">
        <v>9</v>
      </c>
    </row>
    <row r="48" spans="1:8" x14ac:dyDescent="0.25">
      <c r="A48">
        <v>64341968</v>
      </c>
      <c r="B48">
        <v>1352</v>
      </c>
      <c r="C48">
        <v>1149</v>
      </c>
      <c r="D48" s="19">
        <v>46101</v>
      </c>
      <c r="E48" t="s">
        <v>132</v>
      </c>
      <c r="F48" t="s">
        <v>35</v>
      </c>
      <c r="G48" t="e">
        <f>VLOOKUP($A48,'CA-US List'!$A:$C,3,0)</f>
        <v>#N/A</v>
      </c>
      <c r="H48" t="s">
        <v>9</v>
      </c>
    </row>
    <row r="49" spans="1:8" x14ac:dyDescent="0.25">
      <c r="A49">
        <v>64399865</v>
      </c>
      <c r="B49">
        <v>1352</v>
      </c>
      <c r="C49">
        <v>1690</v>
      </c>
      <c r="D49" s="19">
        <v>46097</v>
      </c>
      <c r="E49" t="s">
        <v>877</v>
      </c>
      <c r="F49" t="s">
        <v>41</v>
      </c>
      <c r="G49" t="e">
        <f>VLOOKUP($A49,'CA-US List'!$A:$C,3,0)</f>
        <v>#N/A</v>
      </c>
      <c r="H49" t="s">
        <v>9</v>
      </c>
    </row>
    <row r="50" spans="1:8" x14ac:dyDescent="0.25">
      <c r="A50">
        <v>64399865</v>
      </c>
      <c r="B50">
        <v>1352</v>
      </c>
      <c r="C50">
        <v>2091</v>
      </c>
      <c r="D50" s="19">
        <v>46098</v>
      </c>
      <c r="E50" t="s">
        <v>877</v>
      </c>
      <c r="F50" t="s">
        <v>41</v>
      </c>
      <c r="G50" t="e">
        <f>VLOOKUP($A50,'CA-US List'!$A:$C,3,0)</f>
        <v>#N/A</v>
      </c>
      <c r="H50" t="s">
        <v>9</v>
      </c>
    </row>
    <row r="51" spans="1:8" x14ac:dyDescent="0.25">
      <c r="A51">
        <v>64399865</v>
      </c>
      <c r="B51">
        <v>1352</v>
      </c>
      <c r="C51">
        <v>1848</v>
      </c>
      <c r="D51" s="19">
        <v>46098</v>
      </c>
      <c r="E51" t="s">
        <v>877</v>
      </c>
      <c r="F51" t="s">
        <v>41</v>
      </c>
      <c r="G51" t="e">
        <f>VLOOKUP($A51,'CA-US List'!$A:$C,3,0)</f>
        <v>#N/A</v>
      </c>
      <c r="H51" t="s">
        <v>9</v>
      </c>
    </row>
    <row r="52" spans="1:8" x14ac:dyDescent="0.25">
      <c r="A52">
        <v>64399865</v>
      </c>
      <c r="B52">
        <v>1352</v>
      </c>
      <c r="C52">
        <v>1687</v>
      </c>
      <c r="D52" s="19">
        <v>46099</v>
      </c>
      <c r="E52" t="s">
        <v>877</v>
      </c>
      <c r="F52" t="s">
        <v>41</v>
      </c>
      <c r="G52" t="e">
        <f>VLOOKUP($A52,'CA-US List'!$A:$C,3,0)</f>
        <v>#N/A</v>
      </c>
      <c r="H52" t="s">
        <v>9</v>
      </c>
    </row>
    <row r="53" spans="1:8" x14ac:dyDescent="0.25">
      <c r="A53">
        <v>64399865</v>
      </c>
      <c r="B53">
        <v>1352</v>
      </c>
      <c r="C53">
        <v>1692</v>
      </c>
      <c r="D53" s="19">
        <v>46099</v>
      </c>
      <c r="E53" t="s">
        <v>877</v>
      </c>
      <c r="F53" t="s">
        <v>41</v>
      </c>
      <c r="G53" t="e">
        <f>VLOOKUP($A53,'CA-US List'!$A:$C,3,0)</f>
        <v>#N/A</v>
      </c>
      <c r="H53" t="s">
        <v>9</v>
      </c>
    </row>
    <row r="54" spans="1:8" x14ac:dyDescent="0.25">
      <c r="A54">
        <v>64399865</v>
      </c>
      <c r="B54">
        <v>1352</v>
      </c>
      <c r="C54">
        <v>2464</v>
      </c>
      <c r="D54" s="19">
        <v>46100</v>
      </c>
      <c r="E54" t="s">
        <v>877</v>
      </c>
      <c r="F54" t="s">
        <v>41</v>
      </c>
      <c r="G54" t="e">
        <f>VLOOKUP($A54,'CA-US List'!$A:$C,3,0)</f>
        <v>#N/A</v>
      </c>
      <c r="H54" t="s">
        <v>9</v>
      </c>
    </row>
    <row r="55" spans="1:8" x14ac:dyDescent="0.25">
      <c r="A55">
        <v>64399865</v>
      </c>
      <c r="B55">
        <v>1352</v>
      </c>
      <c r="C55">
        <v>2152</v>
      </c>
      <c r="D55" s="19">
        <v>46100</v>
      </c>
      <c r="E55" t="s">
        <v>877</v>
      </c>
      <c r="F55" t="s">
        <v>41</v>
      </c>
      <c r="G55" t="e">
        <f>VLOOKUP($A55,'CA-US List'!$A:$C,3,0)</f>
        <v>#N/A</v>
      </c>
      <c r="H55" t="s">
        <v>9</v>
      </c>
    </row>
    <row r="56" spans="1:8" x14ac:dyDescent="0.25">
      <c r="A56">
        <v>64399865</v>
      </c>
      <c r="B56">
        <v>1352</v>
      </c>
      <c r="C56">
        <v>99</v>
      </c>
      <c r="D56" s="19">
        <v>46101</v>
      </c>
      <c r="E56" t="s">
        <v>877</v>
      </c>
      <c r="F56" t="s">
        <v>41</v>
      </c>
      <c r="G56" t="e">
        <f>VLOOKUP($A56,'CA-US List'!$A:$C,3,0)</f>
        <v>#N/A</v>
      </c>
      <c r="H56" t="s">
        <v>9</v>
      </c>
    </row>
    <row r="57" spans="1:8" x14ac:dyDescent="0.25">
      <c r="A57">
        <v>64399865</v>
      </c>
      <c r="B57">
        <v>1352</v>
      </c>
      <c r="C57">
        <v>1</v>
      </c>
      <c r="D57" s="19">
        <v>46105</v>
      </c>
      <c r="E57" t="s">
        <v>877</v>
      </c>
      <c r="F57" t="s">
        <v>41</v>
      </c>
      <c r="G57" t="e">
        <f>VLOOKUP($A57,'CA-US List'!$A:$C,3,0)</f>
        <v>#N/A</v>
      </c>
      <c r="H57" t="s">
        <v>9</v>
      </c>
    </row>
    <row r="58" spans="1:8" x14ac:dyDescent="0.25">
      <c r="A58">
        <v>64776952</v>
      </c>
      <c r="B58">
        <v>1352</v>
      </c>
      <c r="C58">
        <v>1560</v>
      </c>
      <c r="D58" s="19">
        <v>46080</v>
      </c>
      <c r="E58" t="s">
        <v>566</v>
      </c>
      <c r="F58" t="s">
        <v>72</v>
      </c>
      <c r="G58" t="e">
        <f>VLOOKUP($A58,'CA-US List'!$A:$C,3,0)</f>
        <v>#N/A</v>
      </c>
      <c r="H58" t="s">
        <v>9</v>
      </c>
    </row>
    <row r="59" spans="1:8" x14ac:dyDescent="0.25">
      <c r="A59">
        <v>64776952</v>
      </c>
      <c r="B59">
        <v>1352</v>
      </c>
      <c r="C59">
        <v>2669</v>
      </c>
      <c r="D59" s="19">
        <v>46081</v>
      </c>
      <c r="E59" t="s">
        <v>566</v>
      </c>
      <c r="F59" t="s">
        <v>72</v>
      </c>
      <c r="G59" t="e">
        <f>VLOOKUP($A59,'CA-US List'!$A:$C,3,0)</f>
        <v>#N/A</v>
      </c>
      <c r="H59" t="s">
        <v>9</v>
      </c>
    </row>
    <row r="60" spans="1:8" x14ac:dyDescent="0.25">
      <c r="A60">
        <v>64776952</v>
      </c>
      <c r="B60">
        <v>1352</v>
      </c>
      <c r="C60">
        <v>1300</v>
      </c>
      <c r="D60" s="19">
        <v>46077</v>
      </c>
      <c r="E60" t="s">
        <v>566</v>
      </c>
      <c r="F60" t="s">
        <v>72</v>
      </c>
      <c r="G60" t="e">
        <f>VLOOKUP($A60,'CA-US List'!$A:$C,3,0)</f>
        <v>#N/A</v>
      </c>
      <c r="H60" t="s">
        <v>9</v>
      </c>
    </row>
    <row r="61" spans="1:8" x14ac:dyDescent="0.25">
      <c r="A61">
        <v>64776952</v>
      </c>
      <c r="B61">
        <v>1352</v>
      </c>
      <c r="C61">
        <v>910</v>
      </c>
      <c r="D61" s="19">
        <v>46078</v>
      </c>
      <c r="E61" t="s">
        <v>566</v>
      </c>
      <c r="F61" t="s">
        <v>72</v>
      </c>
      <c r="G61" t="e">
        <f>VLOOKUP($A61,'CA-US List'!$A:$C,3,0)</f>
        <v>#N/A</v>
      </c>
      <c r="H61" t="s">
        <v>9</v>
      </c>
    </row>
    <row r="62" spans="1:8" x14ac:dyDescent="0.25">
      <c r="A62">
        <v>64776952</v>
      </c>
      <c r="B62">
        <v>1352</v>
      </c>
      <c r="C62">
        <v>520</v>
      </c>
      <c r="D62" s="19">
        <v>46078</v>
      </c>
      <c r="E62" t="s">
        <v>566</v>
      </c>
      <c r="F62" t="s">
        <v>72</v>
      </c>
      <c r="G62" t="e">
        <f>VLOOKUP($A62,'CA-US List'!$A:$C,3,0)</f>
        <v>#N/A</v>
      </c>
      <c r="H62" t="s">
        <v>9</v>
      </c>
    </row>
    <row r="63" spans="1:8" x14ac:dyDescent="0.25">
      <c r="A63">
        <v>64776952</v>
      </c>
      <c r="B63">
        <v>1352</v>
      </c>
      <c r="C63">
        <v>1872</v>
      </c>
      <c r="D63" s="19">
        <v>46079</v>
      </c>
      <c r="E63" t="s">
        <v>566</v>
      </c>
      <c r="F63" t="s">
        <v>72</v>
      </c>
      <c r="G63" t="e">
        <f>VLOOKUP($A63,'CA-US List'!$A:$C,3,0)</f>
        <v>#N/A</v>
      </c>
      <c r="H63" t="s">
        <v>9</v>
      </c>
    </row>
    <row r="64" spans="1:8" x14ac:dyDescent="0.25">
      <c r="A64">
        <v>64776952</v>
      </c>
      <c r="B64">
        <v>1352</v>
      </c>
      <c r="C64">
        <v>910</v>
      </c>
      <c r="D64" s="19">
        <v>46079</v>
      </c>
      <c r="E64" t="s">
        <v>566</v>
      </c>
      <c r="F64" t="s">
        <v>72</v>
      </c>
      <c r="G64" t="e">
        <f>VLOOKUP($A64,'CA-US List'!$A:$C,3,0)</f>
        <v>#N/A</v>
      </c>
      <c r="H64" t="s">
        <v>9</v>
      </c>
    </row>
    <row r="65" spans="1:8" x14ac:dyDescent="0.25">
      <c r="A65">
        <v>64776952</v>
      </c>
      <c r="B65">
        <v>1352</v>
      </c>
      <c r="C65">
        <v>2274</v>
      </c>
      <c r="D65" s="19">
        <v>46080</v>
      </c>
      <c r="E65" t="s">
        <v>566</v>
      </c>
      <c r="F65" t="s">
        <v>72</v>
      </c>
      <c r="G65" t="e">
        <f>VLOOKUP($A65,'CA-US List'!$A:$C,3,0)</f>
        <v>#N/A</v>
      </c>
      <c r="H65" t="s">
        <v>9</v>
      </c>
    </row>
    <row r="66" spans="1:8" x14ac:dyDescent="0.25">
      <c r="A66">
        <v>64776952</v>
      </c>
      <c r="B66">
        <v>1352</v>
      </c>
      <c r="C66">
        <v>997</v>
      </c>
      <c r="D66" s="19">
        <v>46077</v>
      </c>
      <c r="E66" t="s">
        <v>566</v>
      </c>
      <c r="F66" t="s">
        <v>72</v>
      </c>
      <c r="G66" t="e">
        <f>VLOOKUP($A66,'CA-US List'!$A:$C,3,0)</f>
        <v>#N/A</v>
      </c>
      <c r="H66" t="s">
        <v>9</v>
      </c>
    </row>
    <row r="67" spans="1:8" x14ac:dyDescent="0.25">
      <c r="A67">
        <v>64776952</v>
      </c>
      <c r="B67">
        <v>1352</v>
      </c>
      <c r="C67">
        <v>780</v>
      </c>
      <c r="D67" s="19">
        <v>46083</v>
      </c>
      <c r="E67" t="s">
        <v>566</v>
      </c>
      <c r="F67" t="s">
        <v>72</v>
      </c>
      <c r="G67" t="e">
        <f>VLOOKUP($A67,'CA-US List'!$A:$C,3,0)</f>
        <v>#N/A</v>
      </c>
      <c r="H67" t="s">
        <v>9</v>
      </c>
    </row>
    <row r="68" spans="1:8" x14ac:dyDescent="0.25">
      <c r="A68">
        <v>64776952</v>
      </c>
      <c r="B68">
        <v>1352</v>
      </c>
      <c r="C68">
        <v>2587</v>
      </c>
      <c r="D68" s="19">
        <v>46084</v>
      </c>
      <c r="E68" t="s">
        <v>566</v>
      </c>
      <c r="F68" t="s">
        <v>72</v>
      </c>
      <c r="G68" t="e">
        <f>VLOOKUP($A68,'CA-US List'!$A:$C,3,0)</f>
        <v>#N/A</v>
      </c>
      <c r="H68" t="s">
        <v>9</v>
      </c>
    </row>
    <row r="69" spans="1:8" x14ac:dyDescent="0.25">
      <c r="A69">
        <v>64776952</v>
      </c>
      <c r="B69">
        <v>1352</v>
      </c>
      <c r="C69">
        <v>130</v>
      </c>
      <c r="D69" s="19">
        <v>46105</v>
      </c>
      <c r="E69" t="s">
        <v>566</v>
      </c>
      <c r="F69" t="s">
        <v>72</v>
      </c>
      <c r="G69" t="e">
        <f>VLOOKUP($A69,'CA-US List'!$A:$C,3,0)</f>
        <v>#N/A</v>
      </c>
      <c r="H69" t="s">
        <v>9</v>
      </c>
    </row>
    <row r="70" spans="1:8" x14ac:dyDescent="0.25">
      <c r="A70">
        <v>64776952</v>
      </c>
      <c r="B70">
        <v>1352</v>
      </c>
      <c r="C70">
        <v>1430</v>
      </c>
      <c r="D70" s="19">
        <v>46084</v>
      </c>
      <c r="E70" t="s">
        <v>566</v>
      </c>
      <c r="F70" t="s">
        <v>72</v>
      </c>
      <c r="G70" t="e">
        <f>VLOOKUP($A70,'CA-US List'!$A:$C,3,0)</f>
        <v>#N/A</v>
      </c>
      <c r="H70" t="s">
        <v>9</v>
      </c>
    </row>
    <row r="71" spans="1:8" x14ac:dyDescent="0.25">
      <c r="A71">
        <v>64776952</v>
      </c>
      <c r="B71">
        <v>1352</v>
      </c>
      <c r="C71">
        <v>1814</v>
      </c>
      <c r="D71" s="19">
        <v>46085</v>
      </c>
      <c r="E71" t="s">
        <v>566</v>
      </c>
      <c r="F71" t="s">
        <v>72</v>
      </c>
      <c r="G71" t="e">
        <f>VLOOKUP($A71,'CA-US List'!$A:$C,3,0)</f>
        <v>#N/A</v>
      </c>
      <c r="H71" t="s">
        <v>9</v>
      </c>
    </row>
    <row r="72" spans="1:8" x14ac:dyDescent="0.25">
      <c r="A72">
        <v>64776952</v>
      </c>
      <c r="B72">
        <v>1352</v>
      </c>
      <c r="C72">
        <v>1300</v>
      </c>
      <c r="D72" s="19">
        <v>46085</v>
      </c>
      <c r="E72" t="s">
        <v>566</v>
      </c>
      <c r="F72" t="s">
        <v>72</v>
      </c>
      <c r="G72" t="e">
        <f>VLOOKUP($A72,'CA-US List'!$A:$C,3,0)</f>
        <v>#N/A</v>
      </c>
      <c r="H72" t="s">
        <v>9</v>
      </c>
    </row>
    <row r="73" spans="1:8" x14ac:dyDescent="0.25">
      <c r="A73">
        <v>64776952</v>
      </c>
      <c r="B73">
        <v>1352</v>
      </c>
      <c r="C73">
        <v>2704</v>
      </c>
      <c r="D73" s="19">
        <v>46086</v>
      </c>
      <c r="E73" t="s">
        <v>566</v>
      </c>
      <c r="F73" t="s">
        <v>72</v>
      </c>
      <c r="G73" t="e">
        <f>VLOOKUP($A73,'CA-US List'!$A:$C,3,0)</f>
        <v>#N/A</v>
      </c>
      <c r="H73" t="s">
        <v>9</v>
      </c>
    </row>
    <row r="74" spans="1:8" x14ac:dyDescent="0.25">
      <c r="A74">
        <v>64776952</v>
      </c>
      <c r="B74">
        <v>1352</v>
      </c>
      <c r="C74">
        <v>1560</v>
      </c>
      <c r="D74" s="19">
        <v>46086</v>
      </c>
      <c r="E74" t="s">
        <v>566</v>
      </c>
      <c r="F74" t="s">
        <v>72</v>
      </c>
      <c r="G74" t="e">
        <f>VLOOKUP($A74,'CA-US List'!$A:$C,3,0)</f>
        <v>#N/A</v>
      </c>
      <c r="H74" t="s">
        <v>9</v>
      </c>
    </row>
    <row r="75" spans="1:8" x14ac:dyDescent="0.25">
      <c r="A75">
        <v>64776952</v>
      </c>
      <c r="B75">
        <v>1352</v>
      </c>
      <c r="C75">
        <v>2210</v>
      </c>
      <c r="D75" s="19">
        <v>46087</v>
      </c>
      <c r="E75" t="s">
        <v>566</v>
      </c>
      <c r="F75" t="s">
        <v>72</v>
      </c>
      <c r="G75" t="e">
        <f>VLOOKUP($A75,'CA-US List'!$A:$C,3,0)</f>
        <v>#N/A</v>
      </c>
      <c r="H75" t="s">
        <v>9</v>
      </c>
    </row>
    <row r="76" spans="1:8" x14ac:dyDescent="0.25">
      <c r="A76">
        <v>64776952</v>
      </c>
      <c r="B76">
        <v>1352</v>
      </c>
      <c r="C76">
        <v>1560</v>
      </c>
      <c r="D76" s="19">
        <v>46087</v>
      </c>
      <c r="E76" t="s">
        <v>566</v>
      </c>
      <c r="F76" t="s">
        <v>72</v>
      </c>
      <c r="G76" t="e">
        <f>VLOOKUP($A76,'CA-US List'!$A:$C,3,0)</f>
        <v>#N/A</v>
      </c>
      <c r="H76" t="s">
        <v>9</v>
      </c>
    </row>
    <row r="77" spans="1:8" x14ac:dyDescent="0.25">
      <c r="A77">
        <v>64776952</v>
      </c>
      <c r="B77">
        <v>1352</v>
      </c>
      <c r="C77">
        <v>2571</v>
      </c>
      <c r="D77" s="19">
        <v>46088</v>
      </c>
      <c r="E77" t="s">
        <v>566</v>
      </c>
      <c r="F77" t="s">
        <v>72</v>
      </c>
      <c r="G77" t="e">
        <f>VLOOKUP($A77,'CA-US List'!$A:$C,3,0)</f>
        <v>#N/A</v>
      </c>
      <c r="H77" t="s">
        <v>9</v>
      </c>
    </row>
    <row r="78" spans="1:8" x14ac:dyDescent="0.25">
      <c r="A78">
        <v>64776952</v>
      </c>
      <c r="B78">
        <v>1352</v>
      </c>
      <c r="C78">
        <v>1170</v>
      </c>
      <c r="D78" s="19">
        <v>46104</v>
      </c>
      <c r="E78" t="s">
        <v>566</v>
      </c>
      <c r="F78" t="s">
        <v>72</v>
      </c>
      <c r="G78" t="e">
        <f>VLOOKUP($A78,'CA-US List'!$A:$C,3,0)</f>
        <v>#N/A</v>
      </c>
      <c r="H78" t="s">
        <v>9</v>
      </c>
    </row>
    <row r="79" spans="1:8" x14ac:dyDescent="0.25">
      <c r="A79">
        <v>64776952</v>
      </c>
      <c r="B79">
        <v>1352</v>
      </c>
      <c r="C79">
        <v>427</v>
      </c>
      <c r="D79" s="19">
        <v>46105</v>
      </c>
      <c r="E79" t="s">
        <v>566</v>
      </c>
      <c r="F79" t="s">
        <v>72</v>
      </c>
      <c r="G79" t="e">
        <f>VLOOKUP($A79,'CA-US List'!$A:$C,3,0)</f>
        <v>#N/A</v>
      </c>
      <c r="H79" t="s">
        <v>9</v>
      </c>
    </row>
    <row r="80" spans="1:8" x14ac:dyDescent="0.25">
      <c r="A80">
        <v>64776952</v>
      </c>
      <c r="B80">
        <v>1352</v>
      </c>
      <c r="C80">
        <v>1170</v>
      </c>
      <c r="D80" s="19">
        <v>46105</v>
      </c>
      <c r="E80" t="s">
        <v>566</v>
      </c>
      <c r="F80" t="s">
        <v>72</v>
      </c>
      <c r="G80" t="e">
        <f>VLOOKUP($A80,'CA-US List'!$A:$C,3,0)</f>
        <v>#N/A</v>
      </c>
      <c r="H80" t="s">
        <v>9</v>
      </c>
    </row>
    <row r="81" spans="1:8" x14ac:dyDescent="0.25">
      <c r="A81">
        <v>64776954</v>
      </c>
      <c r="B81">
        <v>1352</v>
      </c>
      <c r="C81">
        <v>390</v>
      </c>
      <c r="D81" s="19">
        <v>46083</v>
      </c>
      <c r="E81" t="s">
        <v>75</v>
      </c>
      <c r="F81" t="s">
        <v>76</v>
      </c>
      <c r="G81" t="e">
        <f>VLOOKUP($A81,'CA-US List'!$A:$C,3,0)</f>
        <v>#N/A</v>
      </c>
      <c r="H81" t="s">
        <v>9</v>
      </c>
    </row>
    <row r="82" spans="1:8" x14ac:dyDescent="0.25">
      <c r="A82">
        <v>64776954</v>
      </c>
      <c r="B82">
        <v>1352</v>
      </c>
      <c r="C82">
        <v>3314</v>
      </c>
      <c r="D82" s="19">
        <v>46084</v>
      </c>
      <c r="E82" t="s">
        <v>75</v>
      </c>
      <c r="F82" t="s">
        <v>76</v>
      </c>
      <c r="G82" t="e">
        <f>VLOOKUP($A82,'CA-US List'!$A:$C,3,0)</f>
        <v>#N/A</v>
      </c>
      <c r="H82" t="s">
        <v>9</v>
      </c>
    </row>
    <row r="83" spans="1:8" x14ac:dyDescent="0.25">
      <c r="A83">
        <v>64776954</v>
      </c>
      <c r="B83">
        <v>1352</v>
      </c>
      <c r="C83">
        <v>1560</v>
      </c>
      <c r="D83" s="19">
        <v>46084</v>
      </c>
      <c r="E83" t="s">
        <v>75</v>
      </c>
      <c r="F83" t="s">
        <v>76</v>
      </c>
      <c r="G83" t="e">
        <f>VLOOKUP($A83,'CA-US List'!$A:$C,3,0)</f>
        <v>#N/A</v>
      </c>
      <c r="H83" t="s">
        <v>9</v>
      </c>
    </row>
    <row r="84" spans="1:8" x14ac:dyDescent="0.25">
      <c r="A84">
        <v>64776954</v>
      </c>
      <c r="B84">
        <v>1352</v>
      </c>
      <c r="C84">
        <v>1683</v>
      </c>
      <c r="D84" s="19">
        <v>46085</v>
      </c>
      <c r="E84" t="s">
        <v>75</v>
      </c>
      <c r="F84" t="s">
        <v>76</v>
      </c>
      <c r="G84" t="e">
        <f>VLOOKUP($A84,'CA-US List'!$A:$C,3,0)</f>
        <v>#N/A</v>
      </c>
      <c r="H84" t="s">
        <v>9</v>
      </c>
    </row>
    <row r="85" spans="1:8" x14ac:dyDescent="0.25">
      <c r="A85">
        <v>64776954</v>
      </c>
      <c r="B85">
        <v>1352</v>
      </c>
      <c r="C85">
        <v>1040</v>
      </c>
      <c r="D85" s="19">
        <v>46085</v>
      </c>
      <c r="E85" t="s">
        <v>75</v>
      </c>
      <c r="F85" t="s">
        <v>76</v>
      </c>
      <c r="G85" t="e">
        <f>VLOOKUP($A85,'CA-US List'!$A:$C,3,0)</f>
        <v>#N/A</v>
      </c>
      <c r="H85" t="s">
        <v>9</v>
      </c>
    </row>
    <row r="86" spans="1:8" x14ac:dyDescent="0.25">
      <c r="A86">
        <v>64776954</v>
      </c>
      <c r="B86">
        <v>1352</v>
      </c>
      <c r="C86">
        <v>3141</v>
      </c>
      <c r="D86" s="19">
        <v>46086</v>
      </c>
      <c r="E86" t="s">
        <v>75</v>
      </c>
      <c r="F86" t="s">
        <v>76</v>
      </c>
      <c r="G86" t="e">
        <f>VLOOKUP($A86,'CA-US List'!$A:$C,3,0)</f>
        <v>#N/A</v>
      </c>
      <c r="H86" t="s">
        <v>9</v>
      </c>
    </row>
    <row r="87" spans="1:8" x14ac:dyDescent="0.25">
      <c r="A87">
        <v>64776954</v>
      </c>
      <c r="B87">
        <v>1352</v>
      </c>
      <c r="C87">
        <v>1430</v>
      </c>
      <c r="D87" s="19">
        <v>46086</v>
      </c>
      <c r="E87" t="s">
        <v>75</v>
      </c>
      <c r="F87" t="s">
        <v>76</v>
      </c>
      <c r="G87" t="e">
        <f>VLOOKUP($A87,'CA-US List'!$A:$C,3,0)</f>
        <v>#N/A</v>
      </c>
      <c r="H87" t="s">
        <v>9</v>
      </c>
    </row>
    <row r="88" spans="1:8" x14ac:dyDescent="0.25">
      <c r="A88">
        <v>64776954</v>
      </c>
      <c r="B88">
        <v>1352</v>
      </c>
      <c r="C88">
        <v>2728</v>
      </c>
      <c r="D88" s="19">
        <v>46087</v>
      </c>
      <c r="E88" t="s">
        <v>75</v>
      </c>
      <c r="F88" t="s">
        <v>76</v>
      </c>
      <c r="G88" t="e">
        <f>VLOOKUP($A88,'CA-US List'!$A:$C,3,0)</f>
        <v>#N/A</v>
      </c>
      <c r="H88" t="s">
        <v>9</v>
      </c>
    </row>
    <row r="89" spans="1:8" x14ac:dyDescent="0.25">
      <c r="A89">
        <v>64776954</v>
      </c>
      <c r="B89">
        <v>1352</v>
      </c>
      <c r="C89">
        <v>1430</v>
      </c>
      <c r="D89" s="19">
        <v>46087</v>
      </c>
      <c r="E89" t="s">
        <v>75</v>
      </c>
      <c r="F89" t="s">
        <v>76</v>
      </c>
      <c r="G89" t="e">
        <f>VLOOKUP($A89,'CA-US List'!$A:$C,3,0)</f>
        <v>#N/A</v>
      </c>
      <c r="H89" t="s">
        <v>9</v>
      </c>
    </row>
    <row r="90" spans="1:8" x14ac:dyDescent="0.25">
      <c r="A90">
        <v>64776954</v>
      </c>
      <c r="B90">
        <v>1352</v>
      </c>
      <c r="C90">
        <v>2178</v>
      </c>
      <c r="D90" s="19">
        <v>46088</v>
      </c>
      <c r="E90" t="s">
        <v>75</v>
      </c>
      <c r="F90" t="s">
        <v>76</v>
      </c>
      <c r="G90" t="e">
        <f>VLOOKUP($A90,'CA-US List'!$A:$C,3,0)</f>
        <v>#N/A</v>
      </c>
      <c r="H90" t="s">
        <v>9</v>
      </c>
    </row>
    <row r="91" spans="1:8" x14ac:dyDescent="0.25">
      <c r="A91">
        <v>64776954</v>
      </c>
      <c r="B91">
        <v>1352</v>
      </c>
      <c r="C91">
        <v>1690</v>
      </c>
      <c r="D91" s="19">
        <v>46090</v>
      </c>
      <c r="E91" t="s">
        <v>75</v>
      </c>
      <c r="F91" t="s">
        <v>76</v>
      </c>
      <c r="G91" t="e">
        <f>VLOOKUP($A91,'CA-US List'!$A:$C,3,0)</f>
        <v>#N/A</v>
      </c>
      <c r="H91" t="s">
        <v>9</v>
      </c>
    </row>
    <row r="92" spans="1:8" x14ac:dyDescent="0.25">
      <c r="A92">
        <v>64776954</v>
      </c>
      <c r="B92">
        <v>1352</v>
      </c>
      <c r="C92">
        <v>1766</v>
      </c>
      <c r="D92" s="19">
        <v>46091</v>
      </c>
      <c r="E92" t="s">
        <v>75</v>
      </c>
      <c r="F92" t="s">
        <v>76</v>
      </c>
      <c r="G92" t="e">
        <f>VLOOKUP($A92,'CA-US List'!$A:$C,3,0)</f>
        <v>#N/A</v>
      </c>
      <c r="H92" t="s">
        <v>9</v>
      </c>
    </row>
    <row r="93" spans="1:8" x14ac:dyDescent="0.25">
      <c r="A93">
        <v>64776954</v>
      </c>
      <c r="B93">
        <v>1352</v>
      </c>
      <c r="C93">
        <v>2080</v>
      </c>
      <c r="D93" s="19">
        <v>46091</v>
      </c>
      <c r="E93" t="s">
        <v>75</v>
      </c>
      <c r="F93" t="s">
        <v>76</v>
      </c>
      <c r="G93" t="e">
        <f>VLOOKUP($A93,'CA-US List'!$A:$C,3,0)</f>
        <v>#N/A</v>
      </c>
      <c r="H93" t="s">
        <v>9</v>
      </c>
    </row>
    <row r="94" spans="1:8" x14ac:dyDescent="0.25">
      <c r="A94">
        <v>64776954</v>
      </c>
      <c r="B94">
        <v>1352</v>
      </c>
      <c r="C94">
        <v>2436</v>
      </c>
      <c r="D94" s="19">
        <v>46092</v>
      </c>
      <c r="E94" t="s">
        <v>75</v>
      </c>
      <c r="F94" t="s">
        <v>76</v>
      </c>
      <c r="G94" t="e">
        <f>VLOOKUP($A94,'CA-US List'!$A:$C,3,0)</f>
        <v>#N/A</v>
      </c>
      <c r="H94" t="s">
        <v>9</v>
      </c>
    </row>
    <row r="95" spans="1:8" x14ac:dyDescent="0.25">
      <c r="A95">
        <v>64776954</v>
      </c>
      <c r="B95">
        <v>1352</v>
      </c>
      <c r="C95">
        <v>1560</v>
      </c>
      <c r="D95" s="19">
        <v>46092</v>
      </c>
      <c r="E95" t="s">
        <v>75</v>
      </c>
      <c r="F95" t="s">
        <v>76</v>
      </c>
      <c r="G95" t="e">
        <f>VLOOKUP($A95,'CA-US List'!$A:$C,3,0)</f>
        <v>#N/A</v>
      </c>
      <c r="H95" t="s">
        <v>9</v>
      </c>
    </row>
    <row r="96" spans="1:8" x14ac:dyDescent="0.25">
      <c r="A96">
        <v>64776954</v>
      </c>
      <c r="B96">
        <v>1352</v>
      </c>
      <c r="C96">
        <v>2696</v>
      </c>
      <c r="D96" s="19">
        <v>46093</v>
      </c>
      <c r="E96" t="s">
        <v>75</v>
      </c>
      <c r="F96" t="s">
        <v>76</v>
      </c>
      <c r="G96" t="e">
        <f>VLOOKUP($A96,'CA-US List'!$A:$C,3,0)</f>
        <v>#N/A</v>
      </c>
      <c r="H96" t="s">
        <v>9</v>
      </c>
    </row>
    <row r="97" spans="1:8" x14ac:dyDescent="0.25">
      <c r="A97">
        <v>64776954</v>
      </c>
      <c r="B97">
        <v>1352</v>
      </c>
      <c r="C97">
        <v>1560</v>
      </c>
      <c r="D97" s="19">
        <v>46093</v>
      </c>
      <c r="E97" t="s">
        <v>75</v>
      </c>
      <c r="F97" t="s">
        <v>76</v>
      </c>
      <c r="G97" t="e">
        <f>VLOOKUP($A97,'CA-US List'!$A:$C,3,0)</f>
        <v>#N/A</v>
      </c>
      <c r="H97" t="s">
        <v>9</v>
      </c>
    </row>
    <row r="98" spans="1:8" x14ac:dyDescent="0.25">
      <c r="A98">
        <v>64776954</v>
      </c>
      <c r="B98">
        <v>1352</v>
      </c>
      <c r="C98">
        <v>2360</v>
      </c>
      <c r="D98" s="19">
        <v>46094</v>
      </c>
      <c r="E98" t="s">
        <v>75</v>
      </c>
      <c r="F98" t="s">
        <v>76</v>
      </c>
      <c r="G98" t="e">
        <f>VLOOKUP($A98,'CA-US List'!$A:$C,3,0)</f>
        <v>#N/A</v>
      </c>
      <c r="H98" t="s">
        <v>9</v>
      </c>
    </row>
    <row r="99" spans="1:8" x14ac:dyDescent="0.25">
      <c r="A99">
        <v>64776954</v>
      </c>
      <c r="B99">
        <v>1352</v>
      </c>
      <c r="C99">
        <v>130</v>
      </c>
      <c r="D99" s="19">
        <v>46096</v>
      </c>
      <c r="E99" t="s">
        <v>75</v>
      </c>
      <c r="F99" t="s">
        <v>76</v>
      </c>
      <c r="G99" t="e">
        <f>VLOOKUP($A99,'CA-US List'!$A:$C,3,0)</f>
        <v>#N/A</v>
      </c>
      <c r="H99" t="s">
        <v>9</v>
      </c>
    </row>
    <row r="100" spans="1:8" x14ac:dyDescent="0.25">
      <c r="A100">
        <v>64776954</v>
      </c>
      <c r="B100">
        <v>1352</v>
      </c>
      <c r="C100">
        <v>1040</v>
      </c>
      <c r="D100" s="19">
        <v>46094</v>
      </c>
      <c r="E100" t="s">
        <v>75</v>
      </c>
      <c r="F100" t="s">
        <v>76</v>
      </c>
      <c r="G100" t="e">
        <f>VLOOKUP($A100,'CA-US List'!$A:$C,3,0)</f>
        <v>#N/A</v>
      </c>
      <c r="H100" t="s">
        <v>9</v>
      </c>
    </row>
    <row r="101" spans="1:8" x14ac:dyDescent="0.25">
      <c r="A101">
        <v>64776954</v>
      </c>
      <c r="B101">
        <v>1352</v>
      </c>
      <c r="C101">
        <v>1395</v>
      </c>
      <c r="D101" s="19">
        <v>46095</v>
      </c>
      <c r="E101" t="s">
        <v>75</v>
      </c>
      <c r="F101" t="s">
        <v>76</v>
      </c>
      <c r="G101" t="e">
        <f>VLOOKUP($A101,'CA-US List'!$A:$C,3,0)</f>
        <v>#N/A</v>
      </c>
      <c r="H101" t="s">
        <v>9</v>
      </c>
    </row>
    <row r="102" spans="1:8" x14ac:dyDescent="0.25">
      <c r="A102">
        <v>64776954</v>
      </c>
      <c r="B102">
        <v>1352</v>
      </c>
      <c r="C102">
        <v>650</v>
      </c>
      <c r="D102" s="19">
        <v>46097</v>
      </c>
      <c r="E102" t="s">
        <v>75</v>
      </c>
      <c r="F102" t="s">
        <v>76</v>
      </c>
      <c r="G102" t="e">
        <f>VLOOKUP($A102,'CA-US List'!$A:$C,3,0)</f>
        <v>#N/A</v>
      </c>
      <c r="H102" t="s">
        <v>9</v>
      </c>
    </row>
    <row r="103" spans="1:8" x14ac:dyDescent="0.25">
      <c r="A103">
        <v>64776954</v>
      </c>
      <c r="B103">
        <v>1352</v>
      </c>
      <c r="C103">
        <v>2384</v>
      </c>
      <c r="D103" s="19">
        <v>46098</v>
      </c>
      <c r="E103" t="s">
        <v>75</v>
      </c>
      <c r="F103" t="s">
        <v>76</v>
      </c>
      <c r="G103" t="e">
        <f>VLOOKUP($A103,'CA-US List'!$A:$C,3,0)</f>
        <v>#N/A</v>
      </c>
      <c r="H103" t="s">
        <v>9</v>
      </c>
    </row>
    <row r="104" spans="1:8" x14ac:dyDescent="0.25">
      <c r="A104">
        <v>64776954</v>
      </c>
      <c r="B104">
        <v>1352</v>
      </c>
      <c r="C104">
        <v>2457</v>
      </c>
      <c r="D104" s="19">
        <v>46098</v>
      </c>
      <c r="E104" t="s">
        <v>75</v>
      </c>
      <c r="F104" t="s">
        <v>76</v>
      </c>
      <c r="G104" t="e">
        <f>VLOOKUP($A104,'CA-US List'!$A:$C,3,0)</f>
        <v>#N/A</v>
      </c>
      <c r="H104" t="s">
        <v>9</v>
      </c>
    </row>
    <row r="105" spans="1:8" x14ac:dyDescent="0.25">
      <c r="A105">
        <v>64776954</v>
      </c>
      <c r="B105">
        <v>1352</v>
      </c>
      <c r="C105">
        <v>3022</v>
      </c>
      <c r="D105" s="19">
        <v>46099</v>
      </c>
      <c r="E105" t="s">
        <v>75</v>
      </c>
      <c r="F105" t="s">
        <v>76</v>
      </c>
      <c r="G105" t="e">
        <f>VLOOKUP($A105,'CA-US List'!$A:$C,3,0)</f>
        <v>#N/A</v>
      </c>
      <c r="H105" t="s">
        <v>9</v>
      </c>
    </row>
    <row r="106" spans="1:8" x14ac:dyDescent="0.25">
      <c r="A106">
        <v>64776954</v>
      </c>
      <c r="B106">
        <v>1352</v>
      </c>
      <c r="C106">
        <v>1690</v>
      </c>
      <c r="D106" s="19">
        <v>46099</v>
      </c>
      <c r="E106" t="s">
        <v>75</v>
      </c>
      <c r="F106" t="s">
        <v>76</v>
      </c>
      <c r="G106" t="e">
        <f>VLOOKUP($A106,'CA-US List'!$A:$C,3,0)</f>
        <v>#N/A</v>
      </c>
      <c r="H106" t="s">
        <v>9</v>
      </c>
    </row>
    <row r="107" spans="1:8" x14ac:dyDescent="0.25">
      <c r="A107">
        <v>64776954</v>
      </c>
      <c r="B107">
        <v>1352</v>
      </c>
      <c r="C107">
        <v>2637</v>
      </c>
      <c r="D107" s="19">
        <v>46100</v>
      </c>
      <c r="E107" t="s">
        <v>75</v>
      </c>
      <c r="F107" t="s">
        <v>76</v>
      </c>
      <c r="G107" t="e">
        <f>VLOOKUP($A107,'CA-US List'!$A:$C,3,0)</f>
        <v>#N/A</v>
      </c>
      <c r="H107" t="s">
        <v>9</v>
      </c>
    </row>
    <row r="108" spans="1:8" x14ac:dyDescent="0.25">
      <c r="A108">
        <v>64776954</v>
      </c>
      <c r="B108">
        <v>1352</v>
      </c>
      <c r="C108">
        <v>1820</v>
      </c>
      <c r="D108" s="19">
        <v>46100</v>
      </c>
      <c r="E108" t="s">
        <v>75</v>
      </c>
      <c r="F108" t="s">
        <v>76</v>
      </c>
      <c r="G108" t="e">
        <f>VLOOKUP($A108,'CA-US List'!$A:$C,3,0)</f>
        <v>#N/A</v>
      </c>
      <c r="H108" t="s">
        <v>9</v>
      </c>
    </row>
    <row r="109" spans="1:8" x14ac:dyDescent="0.25">
      <c r="A109">
        <v>64776954</v>
      </c>
      <c r="B109">
        <v>1352</v>
      </c>
      <c r="C109">
        <v>3404</v>
      </c>
      <c r="D109" s="19">
        <v>46101</v>
      </c>
      <c r="E109" t="s">
        <v>75</v>
      </c>
      <c r="F109" t="s">
        <v>76</v>
      </c>
      <c r="G109" t="e">
        <f>VLOOKUP($A109,'CA-US List'!$A:$C,3,0)</f>
        <v>#N/A</v>
      </c>
      <c r="H109" t="s">
        <v>9</v>
      </c>
    </row>
    <row r="110" spans="1:8" x14ac:dyDescent="0.25">
      <c r="A110">
        <v>64776954</v>
      </c>
      <c r="B110">
        <v>1352</v>
      </c>
      <c r="C110">
        <v>2470</v>
      </c>
      <c r="D110" s="19">
        <v>46101</v>
      </c>
      <c r="E110" t="s">
        <v>75</v>
      </c>
      <c r="F110" t="s">
        <v>76</v>
      </c>
      <c r="G110" t="e">
        <f>VLOOKUP($A110,'CA-US List'!$A:$C,3,0)</f>
        <v>#N/A</v>
      </c>
      <c r="H110" t="s">
        <v>9</v>
      </c>
    </row>
    <row r="111" spans="1:8" x14ac:dyDescent="0.25">
      <c r="A111">
        <v>64776954</v>
      </c>
      <c r="B111">
        <v>1352</v>
      </c>
      <c r="C111">
        <v>355</v>
      </c>
      <c r="D111" s="19">
        <v>46102</v>
      </c>
      <c r="E111" t="s">
        <v>75</v>
      </c>
      <c r="F111" t="s">
        <v>76</v>
      </c>
      <c r="G111" t="e">
        <f>VLOOKUP($A111,'CA-US List'!$A:$C,3,0)</f>
        <v>#N/A</v>
      </c>
      <c r="H111" t="s">
        <v>9</v>
      </c>
    </row>
    <row r="112" spans="1:8" x14ac:dyDescent="0.25">
      <c r="A112">
        <v>64776954</v>
      </c>
      <c r="B112">
        <v>1352</v>
      </c>
      <c r="C112">
        <v>1430</v>
      </c>
      <c r="D112" s="19">
        <v>46104</v>
      </c>
      <c r="E112" t="s">
        <v>75</v>
      </c>
      <c r="F112" t="s">
        <v>76</v>
      </c>
      <c r="G112" t="e">
        <f>VLOOKUP($A112,'CA-US List'!$A:$C,3,0)</f>
        <v>#N/A</v>
      </c>
      <c r="H112" t="s">
        <v>9</v>
      </c>
    </row>
    <row r="113" spans="1:8" x14ac:dyDescent="0.25">
      <c r="A113">
        <v>64776954</v>
      </c>
      <c r="B113">
        <v>1352</v>
      </c>
      <c r="C113">
        <v>3007</v>
      </c>
      <c r="D113" s="19">
        <v>46105</v>
      </c>
      <c r="E113" t="s">
        <v>75</v>
      </c>
      <c r="F113" t="s">
        <v>76</v>
      </c>
      <c r="G113" t="e">
        <f>VLOOKUP($A113,'CA-US List'!$A:$C,3,0)</f>
        <v>#N/A</v>
      </c>
      <c r="H113" t="s">
        <v>9</v>
      </c>
    </row>
    <row r="114" spans="1:8" x14ac:dyDescent="0.25">
      <c r="A114">
        <v>64776954</v>
      </c>
      <c r="B114">
        <v>1352</v>
      </c>
      <c r="C114">
        <v>2080</v>
      </c>
      <c r="D114" s="19">
        <v>46105</v>
      </c>
      <c r="E114" t="s">
        <v>75</v>
      </c>
      <c r="F114" t="s">
        <v>76</v>
      </c>
      <c r="G114" t="e">
        <f>VLOOKUP($A114,'CA-US List'!$A:$C,3,0)</f>
        <v>#N/A</v>
      </c>
      <c r="H114" t="s">
        <v>9</v>
      </c>
    </row>
    <row r="115" spans="1:8" x14ac:dyDescent="0.25">
      <c r="A115">
        <v>64786654</v>
      </c>
      <c r="B115">
        <v>1352</v>
      </c>
      <c r="C115">
        <v>154</v>
      </c>
      <c r="D115" s="19">
        <v>46076</v>
      </c>
      <c r="E115" t="s">
        <v>551</v>
      </c>
      <c r="F115" t="s">
        <v>41</v>
      </c>
      <c r="G115" t="e">
        <f>VLOOKUP($A115,'CA-US List'!$A:$C,3,0)</f>
        <v>#N/A</v>
      </c>
      <c r="H115" t="s">
        <v>9</v>
      </c>
    </row>
    <row r="116" spans="1:8" x14ac:dyDescent="0.25">
      <c r="A116">
        <v>64786654</v>
      </c>
      <c r="B116">
        <v>1352</v>
      </c>
      <c r="C116">
        <v>3201</v>
      </c>
      <c r="D116" s="19">
        <v>46077</v>
      </c>
      <c r="E116" t="s">
        <v>551</v>
      </c>
      <c r="F116" t="s">
        <v>41</v>
      </c>
      <c r="G116" t="e">
        <f>VLOOKUP($A116,'CA-US List'!$A:$C,3,0)</f>
        <v>#N/A</v>
      </c>
      <c r="H116" t="s">
        <v>9</v>
      </c>
    </row>
    <row r="117" spans="1:8" x14ac:dyDescent="0.25">
      <c r="A117">
        <v>64786654</v>
      </c>
      <c r="B117">
        <v>1352</v>
      </c>
      <c r="C117">
        <v>1078</v>
      </c>
      <c r="D117" s="19">
        <v>46077</v>
      </c>
      <c r="E117" t="s">
        <v>551</v>
      </c>
      <c r="F117" t="s">
        <v>41</v>
      </c>
      <c r="G117" t="e">
        <f>VLOOKUP($A117,'CA-US List'!$A:$C,3,0)</f>
        <v>#N/A</v>
      </c>
      <c r="H117" t="s">
        <v>9</v>
      </c>
    </row>
    <row r="118" spans="1:8" x14ac:dyDescent="0.25">
      <c r="A118">
        <v>64786654</v>
      </c>
      <c r="B118">
        <v>1352</v>
      </c>
      <c r="C118">
        <v>2480</v>
      </c>
      <c r="D118" s="19">
        <v>46078</v>
      </c>
      <c r="E118" t="s">
        <v>551</v>
      </c>
      <c r="F118" t="s">
        <v>41</v>
      </c>
      <c r="G118" t="e">
        <f>VLOOKUP($A118,'CA-US List'!$A:$C,3,0)</f>
        <v>#N/A</v>
      </c>
      <c r="H118" t="s">
        <v>9</v>
      </c>
    </row>
    <row r="119" spans="1:8" x14ac:dyDescent="0.25">
      <c r="A119">
        <v>64786654</v>
      </c>
      <c r="B119">
        <v>1352</v>
      </c>
      <c r="C119">
        <v>1232</v>
      </c>
      <c r="D119" s="19">
        <v>46078</v>
      </c>
      <c r="E119" t="s">
        <v>551</v>
      </c>
      <c r="F119" t="s">
        <v>41</v>
      </c>
      <c r="G119" t="e">
        <f>VLOOKUP($A119,'CA-US List'!$A:$C,3,0)</f>
        <v>#N/A</v>
      </c>
      <c r="H119" t="s">
        <v>9</v>
      </c>
    </row>
    <row r="120" spans="1:8" x14ac:dyDescent="0.25">
      <c r="A120">
        <v>64786654</v>
      </c>
      <c r="B120">
        <v>1352</v>
      </c>
      <c r="C120">
        <v>2413</v>
      </c>
      <c r="D120" s="19">
        <v>46079</v>
      </c>
      <c r="E120" t="s">
        <v>551</v>
      </c>
      <c r="F120" t="s">
        <v>41</v>
      </c>
      <c r="G120" t="e">
        <f>VLOOKUP($A120,'CA-US List'!$A:$C,3,0)</f>
        <v>#N/A</v>
      </c>
      <c r="H120" t="s">
        <v>9</v>
      </c>
    </row>
    <row r="121" spans="1:8" x14ac:dyDescent="0.25">
      <c r="A121">
        <v>64786654</v>
      </c>
      <c r="B121">
        <v>1352</v>
      </c>
      <c r="C121">
        <v>1694</v>
      </c>
      <c r="D121" s="19">
        <v>46079</v>
      </c>
      <c r="E121" t="s">
        <v>551</v>
      </c>
      <c r="F121" t="s">
        <v>41</v>
      </c>
      <c r="G121" t="e">
        <f>VLOOKUP($A121,'CA-US List'!$A:$C,3,0)</f>
        <v>#N/A</v>
      </c>
      <c r="H121" t="s">
        <v>9</v>
      </c>
    </row>
    <row r="122" spans="1:8" x14ac:dyDescent="0.25">
      <c r="A122">
        <v>64786654</v>
      </c>
      <c r="B122">
        <v>1352</v>
      </c>
      <c r="C122">
        <v>2417</v>
      </c>
      <c r="D122" s="19">
        <v>46080</v>
      </c>
      <c r="E122" t="s">
        <v>551</v>
      </c>
      <c r="F122" t="s">
        <v>41</v>
      </c>
      <c r="G122" t="e">
        <f>VLOOKUP($A122,'CA-US List'!$A:$C,3,0)</f>
        <v>#N/A</v>
      </c>
      <c r="H122" t="s">
        <v>9</v>
      </c>
    </row>
    <row r="123" spans="1:8" x14ac:dyDescent="0.25">
      <c r="A123">
        <v>64786654</v>
      </c>
      <c r="B123">
        <v>1352</v>
      </c>
      <c r="C123">
        <v>1540</v>
      </c>
      <c r="D123" s="19">
        <v>46080</v>
      </c>
      <c r="E123" t="s">
        <v>551</v>
      </c>
      <c r="F123" t="s">
        <v>41</v>
      </c>
      <c r="G123" t="e">
        <f>VLOOKUP($A123,'CA-US List'!$A:$C,3,0)</f>
        <v>#N/A</v>
      </c>
      <c r="H123" t="s">
        <v>9</v>
      </c>
    </row>
    <row r="124" spans="1:8" x14ac:dyDescent="0.25">
      <c r="A124">
        <v>64786654</v>
      </c>
      <c r="B124">
        <v>1352</v>
      </c>
      <c r="C124">
        <v>1891</v>
      </c>
      <c r="D124" s="19">
        <v>46081</v>
      </c>
      <c r="E124" t="s">
        <v>551</v>
      </c>
      <c r="F124" t="s">
        <v>41</v>
      </c>
      <c r="G124" t="e">
        <f>VLOOKUP($A124,'CA-US List'!$A:$C,3,0)</f>
        <v>#N/A</v>
      </c>
      <c r="H124" t="s">
        <v>9</v>
      </c>
    </row>
    <row r="125" spans="1:8" x14ac:dyDescent="0.25">
      <c r="A125">
        <v>64786654</v>
      </c>
      <c r="B125">
        <v>1352</v>
      </c>
      <c r="C125">
        <v>1540</v>
      </c>
      <c r="D125" s="19">
        <v>46104</v>
      </c>
      <c r="E125" t="s">
        <v>551</v>
      </c>
      <c r="F125" t="s">
        <v>41</v>
      </c>
      <c r="G125" t="e">
        <f>VLOOKUP($A125,'CA-US List'!$A:$C,3,0)</f>
        <v>#N/A</v>
      </c>
      <c r="H125" t="s">
        <v>9</v>
      </c>
    </row>
    <row r="126" spans="1:8" x14ac:dyDescent="0.25">
      <c r="A126">
        <v>64786654</v>
      </c>
      <c r="B126">
        <v>1352</v>
      </c>
      <c r="C126">
        <v>2980</v>
      </c>
      <c r="D126" s="19">
        <v>46105</v>
      </c>
      <c r="E126" t="s">
        <v>551</v>
      </c>
      <c r="F126" t="s">
        <v>41</v>
      </c>
      <c r="G126" t="e">
        <f>VLOOKUP($A126,'CA-US List'!$A:$C,3,0)</f>
        <v>#N/A</v>
      </c>
      <c r="H126" t="s">
        <v>9</v>
      </c>
    </row>
    <row r="127" spans="1:8" x14ac:dyDescent="0.25">
      <c r="A127">
        <v>64786654</v>
      </c>
      <c r="B127">
        <v>1352</v>
      </c>
      <c r="C127">
        <v>2618</v>
      </c>
      <c r="D127" s="19">
        <v>46105</v>
      </c>
      <c r="E127" t="s">
        <v>551</v>
      </c>
      <c r="F127" t="s">
        <v>41</v>
      </c>
      <c r="G127" t="e">
        <f>VLOOKUP($A127,'CA-US List'!$A:$C,3,0)</f>
        <v>#N/A</v>
      </c>
      <c r="H127" t="s">
        <v>9</v>
      </c>
    </row>
    <row r="128" spans="1:8" x14ac:dyDescent="0.25">
      <c r="A128">
        <v>64789262</v>
      </c>
      <c r="B128">
        <v>1352</v>
      </c>
      <c r="C128">
        <v>1350</v>
      </c>
      <c r="D128" s="19">
        <v>46076</v>
      </c>
      <c r="E128" t="s">
        <v>556</v>
      </c>
      <c r="F128" t="s">
        <v>48</v>
      </c>
      <c r="G128" t="e">
        <f>VLOOKUP($A128,'CA-US List'!$A:$C,3,0)</f>
        <v>#N/A</v>
      </c>
      <c r="H128" t="s">
        <v>9</v>
      </c>
    </row>
    <row r="129" spans="1:8" x14ac:dyDescent="0.25">
      <c r="A129">
        <v>64789262</v>
      </c>
      <c r="B129">
        <v>1352</v>
      </c>
      <c r="C129">
        <v>3641</v>
      </c>
      <c r="D129" s="19">
        <v>46077</v>
      </c>
      <c r="E129" t="s">
        <v>556</v>
      </c>
      <c r="F129" t="s">
        <v>48</v>
      </c>
      <c r="G129" t="e">
        <f>VLOOKUP($A129,'CA-US List'!$A:$C,3,0)</f>
        <v>#N/A</v>
      </c>
      <c r="H129" t="s">
        <v>9</v>
      </c>
    </row>
    <row r="130" spans="1:8" x14ac:dyDescent="0.25">
      <c r="A130">
        <v>64789262</v>
      </c>
      <c r="B130">
        <v>1352</v>
      </c>
      <c r="C130">
        <v>2700</v>
      </c>
      <c r="D130" s="19">
        <v>46077</v>
      </c>
      <c r="E130" t="s">
        <v>556</v>
      </c>
      <c r="F130" t="s">
        <v>48</v>
      </c>
      <c r="G130" t="e">
        <f>VLOOKUP($A130,'CA-US List'!$A:$C,3,0)</f>
        <v>#N/A</v>
      </c>
      <c r="H130" t="s">
        <v>9</v>
      </c>
    </row>
    <row r="131" spans="1:8" x14ac:dyDescent="0.25">
      <c r="A131">
        <v>64789262</v>
      </c>
      <c r="B131">
        <v>1352</v>
      </c>
      <c r="C131">
        <v>3885</v>
      </c>
      <c r="D131" s="19">
        <v>46078</v>
      </c>
      <c r="E131" t="s">
        <v>556</v>
      </c>
      <c r="F131" t="s">
        <v>48</v>
      </c>
      <c r="G131" t="e">
        <f>VLOOKUP($A131,'CA-US List'!$A:$C,3,0)</f>
        <v>#N/A</v>
      </c>
      <c r="H131" t="s">
        <v>9</v>
      </c>
    </row>
    <row r="132" spans="1:8" x14ac:dyDescent="0.25">
      <c r="A132">
        <v>64789262</v>
      </c>
      <c r="B132">
        <v>1352</v>
      </c>
      <c r="C132">
        <v>1575</v>
      </c>
      <c r="D132" s="19">
        <v>46078</v>
      </c>
      <c r="E132" t="s">
        <v>556</v>
      </c>
      <c r="F132" t="s">
        <v>48</v>
      </c>
      <c r="G132" t="e">
        <f>VLOOKUP($A132,'CA-US List'!$A:$C,3,0)</f>
        <v>#N/A</v>
      </c>
      <c r="H132" t="s">
        <v>9</v>
      </c>
    </row>
    <row r="133" spans="1:8" x14ac:dyDescent="0.25">
      <c r="A133">
        <v>64789262</v>
      </c>
      <c r="B133">
        <v>1352</v>
      </c>
      <c r="C133">
        <v>4746</v>
      </c>
      <c r="D133" s="19">
        <v>46079</v>
      </c>
      <c r="E133" t="s">
        <v>556</v>
      </c>
      <c r="F133" t="s">
        <v>48</v>
      </c>
      <c r="G133" t="e">
        <f>VLOOKUP($A133,'CA-US List'!$A:$C,3,0)</f>
        <v>#N/A</v>
      </c>
      <c r="H133" t="s">
        <v>9</v>
      </c>
    </row>
    <row r="134" spans="1:8" x14ac:dyDescent="0.25">
      <c r="A134">
        <v>64789262</v>
      </c>
      <c r="B134">
        <v>1352</v>
      </c>
      <c r="C134">
        <v>225</v>
      </c>
      <c r="D134" s="19">
        <v>46079</v>
      </c>
      <c r="E134" t="s">
        <v>556</v>
      </c>
      <c r="F134" t="s">
        <v>48</v>
      </c>
      <c r="G134" t="e">
        <f>VLOOKUP($A134,'CA-US List'!$A:$C,3,0)</f>
        <v>#N/A</v>
      </c>
      <c r="H134" t="s">
        <v>9</v>
      </c>
    </row>
    <row r="135" spans="1:8" x14ac:dyDescent="0.25">
      <c r="A135">
        <v>64789262</v>
      </c>
      <c r="B135">
        <v>1352</v>
      </c>
      <c r="C135">
        <v>4050</v>
      </c>
      <c r="D135" s="19">
        <v>46080</v>
      </c>
      <c r="E135" t="s">
        <v>556</v>
      </c>
      <c r="F135" t="s">
        <v>48</v>
      </c>
      <c r="G135" t="e">
        <f>VLOOKUP($A135,'CA-US List'!$A:$C,3,0)</f>
        <v>#N/A</v>
      </c>
      <c r="H135" t="s">
        <v>9</v>
      </c>
    </row>
    <row r="136" spans="1:8" x14ac:dyDescent="0.25">
      <c r="A136">
        <v>64789262</v>
      </c>
      <c r="B136">
        <v>1352</v>
      </c>
      <c r="C136">
        <v>2250</v>
      </c>
      <c r="D136" s="19">
        <v>46080</v>
      </c>
      <c r="E136" t="s">
        <v>556</v>
      </c>
      <c r="F136" t="s">
        <v>48</v>
      </c>
      <c r="G136" t="e">
        <f>VLOOKUP($A136,'CA-US List'!$A:$C,3,0)</f>
        <v>#N/A</v>
      </c>
      <c r="H136" t="s">
        <v>9</v>
      </c>
    </row>
    <row r="137" spans="1:8" x14ac:dyDescent="0.25">
      <c r="A137">
        <v>64789262</v>
      </c>
      <c r="B137">
        <v>1352</v>
      </c>
      <c r="C137">
        <v>4800</v>
      </c>
      <c r="D137" s="19">
        <v>46081</v>
      </c>
      <c r="E137" t="s">
        <v>556</v>
      </c>
      <c r="F137" t="s">
        <v>48</v>
      </c>
      <c r="G137" t="e">
        <f>VLOOKUP($A137,'CA-US List'!$A:$C,3,0)</f>
        <v>#N/A</v>
      </c>
      <c r="H137" t="s">
        <v>9</v>
      </c>
    </row>
    <row r="138" spans="1:8" x14ac:dyDescent="0.25">
      <c r="A138">
        <v>64789262</v>
      </c>
      <c r="B138">
        <v>1352</v>
      </c>
      <c r="C138">
        <v>2700</v>
      </c>
      <c r="D138" s="19">
        <v>46104</v>
      </c>
      <c r="E138" t="s">
        <v>556</v>
      </c>
      <c r="F138" t="s">
        <v>48</v>
      </c>
      <c r="G138" t="e">
        <f>VLOOKUP($A138,'CA-US List'!$A:$C,3,0)</f>
        <v>#N/A</v>
      </c>
      <c r="H138" t="s">
        <v>9</v>
      </c>
    </row>
    <row r="139" spans="1:8" x14ac:dyDescent="0.25">
      <c r="A139">
        <v>64789262</v>
      </c>
      <c r="B139">
        <v>1352</v>
      </c>
      <c r="C139">
        <v>4600</v>
      </c>
      <c r="D139" s="19">
        <v>46105</v>
      </c>
      <c r="E139" t="s">
        <v>556</v>
      </c>
      <c r="F139" t="s">
        <v>48</v>
      </c>
      <c r="G139" t="e">
        <f>VLOOKUP($A139,'CA-US List'!$A:$C,3,0)</f>
        <v>#N/A</v>
      </c>
      <c r="H139" t="s">
        <v>9</v>
      </c>
    </row>
    <row r="140" spans="1:8" x14ac:dyDescent="0.25">
      <c r="A140">
        <v>64789262</v>
      </c>
      <c r="B140">
        <v>1352</v>
      </c>
      <c r="C140">
        <v>3823</v>
      </c>
      <c r="D140" s="19">
        <v>46105</v>
      </c>
      <c r="E140" t="s">
        <v>556</v>
      </c>
      <c r="F140" t="s">
        <v>48</v>
      </c>
      <c r="G140" t="e">
        <f>VLOOKUP($A140,'CA-US List'!$A:$C,3,0)</f>
        <v>#N/A</v>
      </c>
      <c r="H140" t="s">
        <v>9</v>
      </c>
    </row>
    <row r="141" spans="1:8" x14ac:dyDescent="0.25">
      <c r="A141">
        <v>64977528</v>
      </c>
      <c r="B141">
        <v>1352</v>
      </c>
      <c r="C141">
        <v>6509</v>
      </c>
      <c r="D141" s="19">
        <v>46080</v>
      </c>
      <c r="E141" t="s">
        <v>910</v>
      </c>
      <c r="F141" t="s">
        <v>25</v>
      </c>
      <c r="G141" t="e">
        <f>VLOOKUP($A141,'CA-US List'!$A:$C,3,0)</f>
        <v>#N/A</v>
      </c>
      <c r="H141" t="s">
        <v>9</v>
      </c>
    </row>
    <row r="142" spans="1:8" x14ac:dyDescent="0.25">
      <c r="A142">
        <v>64977528</v>
      </c>
      <c r="B142">
        <v>1352</v>
      </c>
      <c r="C142">
        <v>6866</v>
      </c>
      <c r="D142" s="19">
        <v>46077</v>
      </c>
      <c r="E142" t="s">
        <v>910</v>
      </c>
      <c r="F142" t="s">
        <v>25</v>
      </c>
      <c r="G142" t="e">
        <f>VLOOKUP($A142,'CA-US List'!$A:$C,3,0)</f>
        <v>#N/A</v>
      </c>
      <c r="H142" t="s">
        <v>9</v>
      </c>
    </row>
    <row r="143" spans="1:8" x14ac:dyDescent="0.25">
      <c r="A143">
        <v>64977528</v>
      </c>
      <c r="B143">
        <v>1352</v>
      </c>
      <c r="C143">
        <v>5060</v>
      </c>
      <c r="D143" s="19">
        <v>46077</v>
      </c>
      <c r="E143" t="s">
        <v>910</v>
      </c>
      <c r="F143" t="s">
        <v>25</v>
      </c>
      <c r="G143" t="e">
        <f>VLOOKUP($A143,'CA-US List'!$A:$C,3,0)</f>
        <v>#N/A</v>
      </c>
      <c r="H143" t="s">
        <v>9</v>
      </c>
    </row>
    <row r="144" spans="1:8" x14ac:dyDescent="0.25">
      <c r="A144">
        <v>64977528</v>
      </c>
      <c r="B144">
        <v>1352</v>
      </c>
      <c r="C144">
        <v>9114</v>
      </c>
      <c r="D144" s="19">
        <v>46078</v>
      </c>
      <c r="E144" t="s">
        <v>910</v>
      </c>
      <c r="F144" t="s">
        <v>25</v>
      </c>
      <c r="G144" t="e">
        <f>VLOOKUP($A144,'CA-US List'!$A:$C,3,0)</f>
        <v>#N/A</v>
      </c>
      <c r="H144" t="s">
        <v>9</v>
      </c>
    </row>
    <row r="145" spans="1:8" x14ac:dyDescent="0.25">
      <c r="A145">
        <v>64977528</v>
      </c>
      <c r="B145">
        <v>1352</v>
      </c>
      <c r="C145">
        <v>1853</v>
      </c>
      <c r="D145" s="19">
        <v>46078</v>
      </c>
      <c r="E145" t="s">
        <v>910</v>
      </c>
      <c r="F145" t="s">
        <v>25</v>
      </c>
      <c r="G145" t="e">
        <f>VLOOKUP($A145,'CA-US List'!$A:$C,3,0)</f>
        <v>#N/A</v>
      </c>
      <c r="H145" t="s">
        <v>9</v>
      </c>
    </row>
    <row r="146" spans="1:8" x14ac:dyDescent="0.25">
      <c r="A146">
        <v>64977528</v>
      </c>
      <c r="B146">
        <v>1352</v>
      </c>
      <c r="C146">
        <v>7473</v>
      </c>
      <c r="D146" s="19">
        <v>46079</v>
      </c>
      <c r="E146" t="s">
        <v>910</v>
      </c>
      <c r="F146" t="s">
        <v>25</v>
      </c>
      <c r="G146" t="e">
        <f>VLOOKUP($A146,'CA-US List'!$A:$C,3,0)</f>
        <v>#N/A</v>
      </c>
      <c r="H146" t="s">
        <v>9</v>
      </c>
    </row>
    <row r="147" spans="1:8" x14ac:dyDescent="0.25">
      <c r="A147">
        <v>64977530</v>
      </c>
      <c r="B147">
        <v>1352</v>
      </c>
      <c r="C147">
        <v>125</v>
      </c>
      <c r="D147" s="19">
        <v>46078</v>
      </c>
      <c r="E147" t="s">
        <v>93</v>
      </c>
      <c r="F147" t="s">
        <v>25</v>
      </c>
      <c r="G147" t="e">
        <f>VLOOKUP($A147,'CA-US List'!$A:$C,3,0)</f>
        <v>#N/A</v>
      </c>
      <c r="H147" t="s">
        <v>9</v>
      </c>
    </row>
    <row r="148" spans="1:8" x14ac:dyDescent="0.25">
      <c r="A148">
        <v>64977530</v>
      </c>
      <c r="B148">
        <v>1352</v>
      </c>
      <c r="C148">
        <v>579</v>
      </c>
      <c r="D148" s="19">
        <v>46078</v>
      </c>
      <c r="E148" t="s">
        <v>93</v>
      </c>
      <c r="F148" t="s">
        <v>25</v>
      </c>
      <c r="G148" t="e">
        <f>VLOOKUP($A148,'CA-US List'!$A:$C,3,0)</f>
        <v>#N/A</v>
      </c>
      <c r="H148" t="s">
        <v>9</v>
      </c>
    </row>
    <row r="149" spans="1:8" x14ac:dyDescent="0.25">
      <c r="A149">
        <v>64977530</v>
      </c>
      <c r="B149">
        <v>1352</v>
      </c>
      <c r="C149">
        <v>431</v>
      </c>
      <c r="D149" s="19">
        <v>46076</v>
      </c>
      <c r="E149" t="s">
        <v>93</v>
      </c>
      <c r="F149" t="s">
        <v>25</v>
      </c>
      <c r="G149" t="e">
        <f>VLOOKUP($A149,'CA-US List'!$A:$C,3,0)</f>
        <v>#N/A</v>
      </c>
      <c r="H149" t="s">
        <v>9</v>
      </c>
    </row>
    <row r="150" spans="1:8" x14ac:dyDescent="0.25">
      <c r="A150">
        <v>68300738</v>
      </c>
      <c r="B150">
        <v>1352</v>
      </c>
      <c r="C150">
        <v>4545</v>
      </c>
      <c r="D150" s="19">
        <v>46076</v>
      </c>
      <c r="E150" t="s">
        <v>103</v>
      </c>
      <c r="F150" t="s">
        <v>15</v>
      </c>
      <c r="G150" t="e">
        <f>VLOOKUP($A150,'CA-US List'!$A:$C,3,0)</f>
        <v>#N/A</v>
      </c>
      <c r="H150" t="s">
        <v>9</v>
      </c>
    </row>
    <row r="151" spans="1:8" x14ac:dyDescent="0.25">
      <c r="A151">
        <v>68300738</v>
      </c>
      <c r="B151">
        <v>1352</v>
      </c>
      <c r="C151">
        <v>16</v>
      </c>
      <c r="D151" s="19">
        <v>46079</v>
      </c>
      <c r="E151" t="s">
        <v>103</v>
      </c>
      <c r="F151" t="s">
        <v>15</v>
      </c>
      <c r="G151" t="e">
        <f>VLOOKUP($A151,'CA-US List'!$A:$C,3,0)</f>
        <v>#N/A</v>
      </c>
      <c r="H151" t="s">
        <v>9</v>
      </c>
    </row>
    <row r="152" spans="1:8" x14ac:dyDescent="0.25">
      <c r="A152">
        <v>68300738</v>
      </c>
      <c r="B152">
        <v>1352</v>
      </c>
      <c r="C152">
        <v>264</v>
      </c>
      <c r="D152" s="19">
        <v>46094</v>
      </c>
      <c r="E152" t="s">
        <v>103</v>
      </c>
      <c r="F152" t="s">
        <v>15</v>
      </c>
      <c r="G152" t="e">
        <f>VLOOKUP($A152,'CA-US List'!$A:$C,3,0)</f>
        <v>#N/A</v>
      </c>
      <c r="H152" t="s">
        <v>9</v>
      </c>
    </row>
    <row r="153" spans="1:8" x14ac:dyDescent="0.25">
      <c r="A153">
        <v>68300738</v>
      </c>
      <c r="B153">
        <v>1352</v>
      </c>
      <c r="C153">
        <v>2904</v>
      </c>
      <c r="D153" s="19">
        <v>46076</v>
      </c>
      <c r="E153" t="s">
        <v>103</v>
      </c>
      <c r="F153" t="s">
        <v>15</v>
      </c>
      <c r="G153" t="e">
        <f>VLOOKUP($A153,'CA-US List'!$A:$C,3,0)</f>
        <v>#N/A</v>
      </c>
      <c r="H153" t="s">
        <v>9</v>
      </c>
    </row>
    <row r="154" spans="1:8" x14ac:dyDescent="0.25">
      <c r="A154">
        <v>68300738</v>
      </c>
      <c r="B154">
        <v>1352</v>
      </c>
      <c r="C154">
        <v>1980</v>
      </c>
      <c r="D154" s="19">
        <v>46077</v>
      </c>
      <c r="E154" t="s">
        <v>103</v>
      </c>
      <c r="F154" t="s">
        <v>15</v>
      </c>
      <c r="G154" t="e">
        <f>VLOOKUP($A154,'CA-US List'!$A:$C,3,0)</f>
        <v>#N/A</v>
      </c>
      <c r="H154" t="s">
        <v>9</v>
      </c>
    </row>
    <row r="155" spans="1:8" x14ac:dyDescent="0.25">
      <c r="A155">
        <v>68300738</v>
      </c>
      <c r="B155">
        <v>1352</v>
      </c>
      <c r="C155">
        <v>1584</v>
      </c>
      <c r="D155" s="19">
        <v>46077</v>
      </c>
      <c r="E155" t="s">
        <v>103</v>
      </c>
      <c r="F155" t="s">
        <v>15</v>
      </c>
      <c r="G155" t="e">
        <f>VLOOKUP($A155,'CA-US List'!$A:$C,3,0)</f>
        <v>#N/A</v>
      </c>
      <c r="H155" t="s">
        <v>9</v>
      </c>
    </row>
    <row r="156" spans="1:8" x14ac:dyDescent="0.25">
      <c r="A156">
        <v>68300738</v>
      </c>
      <c r="B156">
        <v>1352</v>
      </c>
      <c r="C156">
        <v>3438</v>
      </c>
      <c r="D156" s="19">
        <v>46078</v>
      </c>
      <c r="E156" t="s">
        <v>103</v>
      </c>
      <c r="F156" t="s">
        <v>15</v>
      </c>
      <c r="G156" t="e">
        <f>VLOOKUP($A156,'CA-US List'!$A:$C,3,0)</f>
        <v>#N/A</v>
      </c>
      <c r="H156" t="s">
        <v>9</v>
      </c>
    </row>
    <row r="157" spans="1:8" x14ac:dyDescent="0.25">
      <c r="A157">
        <v>68300738</v>
      </c>
      <c r="B157">
        <v>1352</v>
      </c>
      <c r="C157">
        <v>3300</v>
      </c>
      <c r="D157" s="19">
        <v>46078</v>
      </c>
      <c r="E157" t="s">
        <v>103</v>
      </c>
      <c r="F157" t="s">
        <v>15</v>
      </c>
      <c r="G157" t="e">
        <f>VLOOKUP($A157,'CA-US List'!$A:$C,3,0)</f>
        <v>#N/A</v>
      </c>
      <c r="H157" t="s">
        <v>9</v>
      </c>
    </row>
    <row r="158" spans="1:8" x14ac:dyDescent="0.25">
      <c r="A158">
        <v>68300738</v>
      </c>
      <c r="B158">
        <v>1352</v>
      </c>
      <c r="C158">
        <v>4811</v>
      </c>
      <c r="D158" s="19">
        <v>46079</v>
      </c>
      <c r="E158" t="s">
        <v>103</v>
      </c>
      <c r="F158" t="s">
        <v>15</v>
      </c>
      <c r="G158" t="e">
        <f>VLOOKUP($A158,'CA-US List'!$A:$C,3,0)</f>
        <v>#N/A</v>
      </c>
      <c r="H158" t="s">
        <v>9</v>
      </c>
    </row>
    <row r="159" spans="1:8" x14ac:dyDescent="0.25">
      <c r="A159">
        <v>68300738</v>
      </c>
      <c r="B159">
        <v>1352</v>
      </c>
      <c r="C159">
        <v>3432</v>
      </c>
      <c r="D159" s="19">
        <v>46079</v>
      </c>
      <c r="E159" t="s">
        <v>103</v>
      </c>
      <c r="F159" t="s">
        <v>15</v>
      </c>
      <c r="G159" t="e">
        <f>VLOOKUP($A159,'CA-US List'!$A:$C,3,0)</f>
        <v>#N/A</v>
      </c>
      <c r="H159" t="s">
        <v>9</v>
      </c>
    </row>
    <row r="160" spans="1:8" x14ac:dyDescent="0.25">
      <c r="A160">
        <v>68300738</v>
      </c>
      <c r="B160">
        <v>1352</v>
      </c>
      <c r="C160">
        <v>3920</v>
      </c>
      <c r="D160" s="19">
        <v>46080</v>
      </c>
      <c r="E160" t="s">
        <v>103</v>
      </c>
      <c r="F160" t="s">
        <v>15</v>
      </c>
      <c r="G160" t="e">
        <f>VLOOKUP($A160,'CA-US List'!$A:$C,3,0)</f>
        <v>#N/A</v>
      </c>
      <c r="H160" t="s">
        <v>9</v>
      </c>
    </row>
    <row r="161" spans="1:8" x14ac:dyDescent="0.25">
      <c r="A161">
        <v>68300738</v>
      </c>
      <c r="B161">
        <v>1352</v>
      </c>
      <c r="C161">
        <v>1320</v>
      </c>
      <c r="D161" s="19">
        <v>46081</v>
      </c>
      <c r="E161" t="s">
        <v>103</v>
      </c>
      <c r="F161" t="s">
        <v>15</v>
      </c>
      <c r="G161" t="e">
        <f>VLOOKUP($A161,'CA-US List'!$A:$C,3,0)</f>
        <v>#N/A</v>
      </c>
      <c r="H161" t="s">
        <v>9</v>
      </c>
    </row>
    <row r="162" spans="1:8" x14ac:dyDescent="0.25">
      <c r="A162">
        <v>68300738</v>
      </c>
      <c r="B162">
        <v>1352</v>
      </c>
      <c r="C162">
        <v>2001</v>
      </c>
      <c r="D162" s="19">
        <v>46082</v>
      </c>
      <c r="E162" t="s">
        <v>103</v>
      </c>
      <c r="F162" t="s">
        <v>15</v>
      </c>
      <c r="G162" t="e">
        <f>VLOOKUP($A162,'CA-US List'!$A:$C,3,0)</f>
        <v>#N/A</v>
      </c>
      <c r="H162" t="s">
        <v>9</v>
      </c>
    </row>
    <row r="163" spans="1:8" x14ac:dyDescent="0.25">
      <c r="A163">
        <v>68300738</v>
      </c>
      <c r="B163">
        <v>1352</v>
      </c>
      <c r="C163">
        <v>264</v>
      </c>
      <c r="D163" s="19">
        <v>46093</v>
      </c>
      <c r="E163" t="s">
        <v>103</v>
      </c>
      <c r="F163" t="s">
        <v>15</v>
      </c>
      <c r="G163" t="e">
        <f>VLOOKUP($A163,'CA-US List'!$A:$C,3,0)</f>
        <v>#N/A</v>
      </c>
      <c r="H163" t="s">
        <v>9</v>
      </c>
    </row>
    <row r="164" spans="1:8" x14ac:dyDescent="0.25">
      <c r="A164">
        <v>68300738</v>
      </c>
      <c r="B164">
        <v>1352</v>
      </c>
      <c r="C164">
        <v>2508</v>
      </c>
      <c r="D164" s="19">
        <v>46080</v>
      </c>
      <c r="E164" t="s">
        <v>103</v>
      </c>
      <c r="F164" t="s">
        <v>15</v>
      </c>
      <c r="G164" t="e">
        <f>VLOOKUP($A164,'CA-US List'!$A:$C,3,0)</f>
        <v>#N/A</v>
      </c>
      <c r="H164" t="s">
        <v>9</v>
      </c>
    </row>
    <row r="165" spans="1:8" x14ac:dyDescent="0.25">
      <c r="A165">
        <v>68300738</v>
      </c>
      <c r="B165">
        <v>1352</v>
      </c>
      <c r="C165">
        <v>4877</v>
      </c>
      <c r="D165" s="19">
        <v>46081</v>
      </c>
      <c r="E165" t="s">
        <v>103</v>
      </c>
      <c r="F165" t="s">
        <v>15</v>
      </c>
      <c r="G165" t="e">
        <f>VLOOKUP($A165,'CA-US List'!$A:$C,3,0)</f>
        <v>#N/A</v>
      </c>
      <c r="H165" t="s">
        <v>9</v>
      </c>
    </row>
    <row r="166" spans="1:8" x14ac:dyDescent="0.25">
      <c r="A166">
        <v>68300738</v>
      </c>
      <c r="B166">
        <v>1352</v>
      </c>
      <c r="C166">
        <v>2244</v>
      </c>
      <c r="D166" s="19">
        <v>46082</v>
      </c>
      <c r="E166" t="s">
        <v>103</v>
      </c>
      <c r="F166" t="s">
        <v>15</v>
      </c>
      <c r="G166" t="e">
        <f>VLOOKUP($A166,'CA-US List'!$A:$C,3,0)</f>
        <v>#N/A</v>
      </c>
      <c r="H166" t="s">
        <v>9</v>
      </c>
    </row>
    <row r="167" spans="1:8" x14ac:dyDescent="0.25">
      <c r="A167">
        <v>68300738</v>
      </c>
      <c r="B167">
        <v>1352</v>
      </c>
      <c r="C167">
        <v>3285</v>
      </c>
      <c r="D167" s="19">
        <v>46083</v>
      </c>
      <c r="E167" t="s">
        <v>103</v>
      </c>
      <c r="F167" t="s">
        <v>15</v>
      </c>
      <c r="G167" t="e">
        <f>VLOOKUP($A167,'CA-US List'!$A:$C,3,0)</f>
        <v>#N/A</v>
      </c>
      <c r="H167" t="s">
        <v>9</v>
      </c>
    </row>
    <row r="168" spans="1:8" x14ac:dyDescent="0.25">
      <c r="A168">
        <v>68300738</v>
      </c>
      <c r="B168">
        <v>1352</v>
      </c>
      <c r="C168">
        <v>2244</v>
      </c>
      <c r="D168" s="19">
        <v>46083</v>
      </c>
      <c r="E168" t="s">
        <v>103</v>
      </c>
      <c r="F168" t="s">
        <v>15</v>
      </c>
      <c r="G168" t="e">
        <f>VLOOKUP($A168,'CA-US List'!$A:$C,3,0)</f>
        <v>#N/A</v>
      </c>
      <c r="H168" t="s">
        <v>9</v>
      </c>
    </row>
    <row r="169" spans="1:8" x14ac:dyDescent="0.25">
      <c r="A169">
        <v>68300738</v>
      </c>
      <c r="B169">
        <v>1352</v>
      </c>
      <c r="C169">
        <v>3629</v>
      </c>
      <c r="D169" s="19">
        <v>46084</v>
      </c>
      <c r="E169" t="s">
        <v>103</v>
      </c>
      <c r="F169" t="s">
        <v>15</v>
      </c>
      <c r="G169" t="e">
        <f>VLOOKUP($A169,'CA-US List'!$A:$C,3,0)</f>
        <v>#N/A</v>
      </c>
      <c r="H169" t="s">
        <v>9</v>
      </c>
    </row>
    <row r="170" spans="1:8" x14ac:dyDescent="0.25">
      <c r="A170">
        <v>68300738</v>
      </c>
      <c r="B170">
        <v>1352</v>
      </c>
      <c r="C170">
        <v>2508</v>
      </c>
      <c r="D170" s="19">
        <v>46084</v>
      </c>
      <c r="E170" t="s">
        <v>103</v>
      </c>
      <c r="F170" t="s">
        <v>15</v>
      </c>
      <c r="G170" t="e">
        <f>VLOOKUP($A170,'CA-US List'!$A:$C,3,0)</f>
        <v>#N/A</v>
      </c>
      <c r="H170" t="s">
        <v>9</v>
      </c>
    </row>
    <row r="171" spans="1:8" x14ac:dyDescent="0.25">
      <c r="A171">
        <v>68300738</v>
      </c>
      <c r="B171">
        <v>1352</v>
      </c>
      <c r="C171">
        <v>3529</v>
      </c>
      <c r="D171" s="19">
        <v>46085</v>
      </c>
      <c r="E171" t="s">
        <v>103</v>
      </c>
      <c r="F171" t="s">
        <v>15</v>
      </c>
      <c r="G171" t="e">
        <f>VLOOKUP($A171,'CA-US List'!$A:$C,3,0)</f>
        <v>#N/A</v>
      </c>
      <c r="H171" t="s">
        <v>9</v>
      </c>
    </row>
    <row r="172" spans="1:8" x14ac:dyDescent="0.25">
      <c r="A172">
        <v>68689251</v>
      </c>
      <c r="B172">
        <v>1352</v>
      </c>
      <c r="C172">
        <v>0</v>
      </c>
      <c r="D172" s="19">
        <v>46079</v>
      </c>
      <c r="E172" t="s">
        <v>14</v>
      </c>
      <c r="F172" t="s">
        <v>15</v>
      </c>
      <c r="G172" t="e">
        <f>VLOOKUP($A172,'CA-US List'!$A:$C,3,0)</f>
        <v>#N/A</v>
      </c>
      <c r="H172" t="s">
        <v>9</v>
      </c>
    </row>
    <row r="173" spans="1:8" x14ac:dyDescent="0.25">
      <c r="A173">
        <v>68689251</v>
      </c>
      <c r="B173">
        <v>1352</v>
      </c>
      <c r="C173">
        <v>0</v>
      </c>
      <c r="D173" s="19">
        <v>46079</v>
      </c>
      <c r="E173" t="s">
        <v>14</v>
      </c>
      <c r="F173" t="s">
        <v>50</v>
      </c>
      <c r="G173" t="e">
        <f>VLOOKUP($A173,'CA-US List'!$A:$C,3,0)</f>
        <v>#N/A</v>
      </c>
      <c r="H173" t="s">
        <v>9</v>
      </c>
    </row>
    <row r="174" spans="1:8" x14ac:dyDescent="0.25">
      <c r="A174">
        <v>68689251</v>
      </c>
      <c r="B174">
        <v>1352</v>
      </c>
      <c r="C174">
        <v>0</v>
      </c>
      <c r="D174" s="19">
        <v>46076</v>
      </c>
      <c r="E174" t="s">
        <v>14</v>
      </c>
      <c r="F174" t="s">
        <v>50</v>
      </c>
      <c r="G174" t="e">
        <f>VLOOKUP($A174,'CA-US List'!$A:$C,3,0)</f>
        <v>#N/A</v>
      </c>
      <c r="H174" t="s">
        <v>9</v>
      </c>
    </row>
    <row r="175" spans="1:8" x14ac:dyDescent="0.25">
      <c r="A175">
        <v>68689251</v>
      </c>
      <c r="B175">
        <v>1352</v>
      </c>
      <c r="C175">
        <v>2244</v>
      </c>
      <c r="D175" s="19">
        <v>46090</v>
      </c>
      <c r="E175" t="s">
        <v>14</v>
      </c>
      <c r="F175" t="s">
        <v>19</v>
      </c>
      <c r="G175" t="e">
        <f>VLOOKUP($A175,'CA-US List'!$A:$C,3,0)</f>
        <v>#N/A</v>
      </c>
      <c r="H175" t="s">
        <v>9</v>
      </c>
    </row>
    <row r="176" spans="1:8" x14ac:dyDescent="0.25">
      <c r="A176">
        <v>68689251</v>
      </c>
      <c r="B176">
        <v>1352</v>
      </c>
      <c r="C176">
        <v>3714</v>
      </c>
      <c r="D176" s="19">
        <v>46091</v>
      </c>
      <c r="E176" t="s">
        <v>14</v>
      </c>
      <c r="F176" t="s">
        <v>19</v>
      </c>
      <c r="G176" t="e">
        <f>VLOOKUP($A176,'CA-US List'!$A:$C,3,0)</f>
        <v>#N/A</v>
      </c>
      <c r="H176" t="s">
        <v>9</v>
      </c>
    </row>
    <row r="177" spans="1:8" x14ac:dyDescent="0.25">
      <c r="A177">
        <v>68689251</v>
      </c>
      <c r="B177">
        <v>1352</v>
      </c>
      <c r="C177">
        <v>2508</v>
      </c>
      <c r="D177" s="19">
        <v>46091</v>
      </c>
      <c r="E177" t="s">
        <v>14</v>
      </c>
      <c r="F177" t="s">
        <v>19</v>
      </c>
      <c r="G177" t="e">
        <f>VLOOKUP($A177,'CA-US List'!$A:$C,3,0)</f>
        <v>#N/A</v>
      </c>
      <c r="H177" t="s">
        <v>9</v>
      </c>
    </row>
    <row r="178" spans="1:8" x14ac:dyDescent="0.25">
      <c r="A178">
        <v>68689251</v>
      </c>
      <c r="B178">
        <v>1352</v>
      </c>
      <c r="C178">
        <v>3729</v>
      </c>
      <c r="D178" s="19">
        <v>46092</v>
      </c>
      <c r="E178" t="s">
        <v>14</v>
      </c>
      <c r="F178" t="s">
        <v>19</v>
      </c>
      <c r="G178" t="e">
        <f>VLOOKUP($A178,'CA-US List'!$A:$C,3,0)</f>
        <v>#N/A</v>
      </c>
      <c r="H178" t="s">
        <v>9</v>
      </c>
    </row>
    <row r="179" spans="1:8" x14ac:dyDescent="0.25">
      <c r="A179">
        <v>68689251</v>
      </c>
      <c r="B179">
        <v>1352</v>
      </c>
      <c r="C179">
        <v>3108</v>
      </c>
      <c r="D179" s="19">
        <v>46092</v>
      </c>
      <c r="E179" t="s">
        <v>14</v>
      </c>
      <c r="F179" t="s">
        <v>19</v>
      </c>
      <c r="G179" t="e">
        <f>VLOOKUP($A179,'CA-US List'!$A:$C,3,0)</f>
        <v>#N/A</v>
      </c>
      <c r="H179" t="s">
        <v>9</v>
      </c>
    </row>
    <row r="180" spans="1:8" x14ac:dyDescent="0.25">
      <c r="A180">
        <v>68689251</v>
      </c>
      <c r="B180">
        <v>1352</v>
      </c>
      <c r="C180">
        <v>2726</v>
      </c>
      <c r="D180" s="19">
        <v>46093</v>
      </c>
      <c r="E180" t="s">
        <v>14</v>
      </c>
      <c r="F180" t="s">
        <v>19</v>
      </c>
      <c r="G180" t="e">
        <f>VLOOKUP($A180,'CA-US List'!$A:$C,3,0)</f>
        <v>#N/A</v>
      </c>
      <c r="H180" t="s">
        <v>9</v>
      </c>
    </row>
    <row r="181" spans="1:8" x14ac:dyDescent="0.25">
      <c r="A181">
        <v>68689251</v>
      </c>
      <c r="B181">
        <v>1352</v>
      </c>
      <c r="C181">
        <v>2376</v>
      </c>
      <c r="D181" s="19">
        <v>46094</v>
      </c>
      <c r="E181" t="s">
        <v>14</v>
      </c>
      <c r="F181" t="s">
        <v>19</v>
      </c>
      <c r="G181" t="e">
        <f>VLOOKUP($A181,'CA-US List'!$A:$C,3,0)</f>
        <v>#N/A</v>
      </c>
      <c r="H181" t="s">
        <v>9</v>
      </c>
    </row>
    <row r="182" spans="1:8" x14ac:dyDescent="0.25">
      <c r="A182">
        <v>68689251</v>
      </c>
      <c r="B182">
        <v>1352</v>
      </c>
      <c r="C182">
        <v>3810</v>
      </c>
      <c r="D182" s="19">
        <v>46095</v>
      </c>
      <c r="E182" t="s">
        <v>14</v>
      </c>
      <c r="F182" t="s">
        <v>19</v>
      </c>
      <c r="G182" t="e">
        <f>VLOOKUP($A182,'CA-US List'!$A:$C,3,0)</f>
        <v>#N/A</v>
      </c>
      <c r="H182" t="s">
        <v>9</v>
      </c>
    </row>
    <row r="183" spans="1:8" x14ac:dyDescent="0.25">
      <c r="A183">
        <v>68689251</v>
      </c>
      <c r="B183">
        <v>1352</v>
      </c>
      <c r="C183">
        <v>1320</v>
      </c>
      <c r="D183" s="19">
        <v>46095</v>
      </c>
      <c r="E183" t="s">
        <v>14</v>
      </c>
      <c r="F183" t="s">
        <v>19</v>
      </c>
      <c r="G183" t="e">
        <f>VLOOKUP($A183,'CA-US List'!$A:$C,3,0)</f>
        <v>#N/A</v>
      </c>
      <c r="H183" t="s">
        <v>9</v>
      </c>
    </row>
    <row r="184" spans="1:8" x14ac:dyDescent="0.25">
      <c r="A184">
        <v>68689251</v>
      </c>
      <c r="B184">
        <v>1352</v>
      </c>
      <c r="C184">
        <v>3738</v>
      </c>
      <c r="D184" s="19">
        <v>46096</v>
      </c>
      <c r="E184" t="s">
        <v>14</v>
      </c>
      <c r="F184" t="s">
        <v>19</v>
      </c>
      <c r="G184" t="e">
        <f>VLOOKUP($A184,'CA-US List'!$A:$C,3,0)</f>
        <v>#N/A</v>
      </c>
      <c r="H184" t="s">
        <v>9</v>
      </c>
    </row>
    <row r="185" spans="1:8" x14ac:dyDescent="0.25">
      <c r="A185">
        <v>68689251</v>
      </c>
      <c r="B185">
        <v>1352</v>
      </c>
      <c r="C185">
        <v>3300</v>
      </c>
      <c r="D185" s="19">
        <v>46096</v>
      </c>
      <c r="E185" t="s">
        <v>14</v>
      </c>
      <c r="F185" t="s">
        <v>19</v>
      </c>
      <c r="G185" t="e">
        <f>VLOOKUP($A185,'CA-US List'!$A:$C,3,0)</f>
        <v>#N/A</v>
      </c>
      <c r="H185" t="s">
        <v>9</v>
      </c>
    </row>
    <row r="186" spans="1:8" x14ac:dyDescent="0.25">
      <c r="A186">
        <v>68689251</v>
      </c>
      <c r="B186">
        <v>1352</v>
      </c>
      <c r="C186">
        <v>1034</v>
      </c>
      <c r="D186" s="19">
        <v>46097</v>
      </c>
      <c r="E186" t="s">
        <v>14</v>
      </c>
      <c r="F186" t="s">
        <v>19</v>
      </c>
      <c r="G186" t="e">
        <f>VLOOKUP($A186,'CA-US List'!$A:$C,3,0)</f>
        <v>#N/A</v>
      </c>
      <c r="H186" t="s">
        <v>9</v>
      </c>
    </row>
    <row r="187" spans="1:8" x14ac:dyDescent="0.25">
      <c r="A187">
        <v>68689251</v>
      </c>
      <c r="B187">
        <v>1352</v>
      </c>
      <c r="C187">
        <v>2508</v>
      </c>
      <c r="D187" s="19">
        <v>46097</v>
      </c>
      <c r="E187" t="s">
        <v>14</v>
      </c>
      <c r="F187" t="s">
        <v>19</v>
      </c>
      <c r="G187" t="e">
        <f>VLOOKUP($A187,'CA-US List'!$A:$C,3,0)</f>
        <v>#N/A</v>
      </c>
      <c r="H187" t="s">
        <v>9</v>
      </c>
    </row>
    <row r="188" spans="1:8" x14ac:dyDescent="0.25">
      <c r="A188">
        <v>68689251</v>
      </c>
      <c r="B188">
        <v>1352</v>
      </c>
      <c r="C188">
        <v>431</v>
      </c>
      <c r="D188" s="19">
        <v>46098</v>
      </c>
      <c r="E188" t="s">
        <v>14</v>
      </c>
      <c r="F188" t="s">
        <v>19</v>
      </c>
      <c r="G188" t="e">
        <f>VLOOKUP($A188,'CA-US List'!$A:$C,3,0)</f>
        <v>#N/A</v>
      </c>
      <c r="H188" t="s">
        <v>9</v>
      </c>
    </row>
    <row r="189" spans="1:8" x14ac:dyDescent="0.25">
      <c r="A189">
        <v>68689251</v>
      </c>
      <c r="B189">
        <v>1352</v>
      </c>
      <c r="C189">
        <v>4092</v>
      </c>
      <c r="D189" s="19">
        <v>46098</v>
      </c>
      <c r="E189" t="s">
        <v>14</v>
      </c>
      <c r="F189" t="s">
        <v>19</v>
      </c>
      <c r="G189" t="e">
        <f>VLOOKUP($A189,'CA-US List'!$A:$C,3,0)</f>
        <v>#N/A</v>
      </c>
      <c r="H189" t="s">
        <v>9</v>
      </c>
    </row>
    <row r="190" spans="1:8" x14ac:dyDescent="0.25">
      <c r="A190">
        <v>68689251</v>
      </c>
      <c r="B190">
        <v>1352</v>
      </c>
      <c r="C190">
        <v>3940</v>
      </c>
      <c r="D190" s="19">
        <v>46099</v>
      </c>
      <c r="E190" t="s">
        <v>14</v>
      </c>
      <c r="F190" t="s">
        <v>19</v>
      </c>
      <c r="G190" t="e">
        <f>VLOOKUP($A190,'CA-US List'!$A:$C,3,0)</f>
        <v>#N/A</v>
      </c>
      <c r="H190" t="s">
        <v>9</v>
      </c>
    </row>
    <row r="191" spans="1:8" x14ac:dyDescent="0.25">
      <c r="A191">
        <v>68689251</v>
      </c>
      <c r="B191">
        <v>1352</v>
      </c>
      <c r="C191">
        <v>1716</v>
      </c>
      <c r="D191" s="19">
        <v>46099</v>
      </c>
      <c r="E191" t="s">
        <v>14</v>
      </c>
      <c r="F191" t="s">
        <v>19</v>
      </c>
      <c r="G191" t="e">
        <f>VLOOKUP($A191,'CA-US List'!$A:$C,3,0)</f>
        <v>#N/A</v>
      </c>
      <c r="H191" t="s">
        <v>9</v>
      </c>
    </row>
    <row r="192" spans="1:8" x14ac:dyDescent="0.25">
      <c r="A192">
        <v>68689251</v>
      </c>
      <c r="B192">
        <v>1352</v>
      </c>
      <c r="C192">
        <v>4031</v>
      </c>
      <c r="D192" s="19">
        <v>46100</v>
      </c>
      <c r="E192" t="s">
        <v>14</v>
      </c>
      <c r="F192" t="s">
        <v>19</v>
      </c>
      <c r="G192" t="e">
        <f>VLOOKUP($A192,'CA-US List'!$A:$C,3,0)</f>
        <v>#N/A</v>
      </c>
      <c r="H192" t="s">
        <v>9</v>
      </c>
    </row>
    <row r="193" spans="1:8" x14ac:dyDescent="0.25">
      <c r="A193">
        <v>68689251</v>
      </c>
      <c r="B193">
        <v>1352</v>
      </c>
      <c r="C193">
        <v>924</v>
      </c>
      <c r="D193" s="19">
        <v>46101</v>
      </c>
      <c r="E193" t="s">
        <v>14</v>
      </c>
      <c r="F193" t="s">
        <v>19</v>
      </c>
      <c r="G193" t="e">
        <f>VLOOKUP($A193,'CA-US List'!$A:$C,3,0)</f>
        <v>#N/A</v>
      </c>
      <c r="H193" t="s">
        <v>9</v>
      </c>
    </row>
    <row r="194" spans="1:8" x14ac:dyDescent="0.25">
      <c r="A194">
        <v>68689251</v>
      </c>
      <c r="B194">
        <v>1352</v>
      </c>
      <c r="C194">
        <v>4231</v>
      </c>
      <c r="D194" s="19">
        <v>46102</v>
      </c>
      <c r="E194" t="s">
        <v>14</v>
      </c>
      <c r="F194" t="s">
        <v>19</v>
      </c>
      <c r="G194" t="e">
        <f>VLOOKUP($A194,'CA-US List'!$A:$C,3,0)</f>
        <v>#N/A</v>
      </c>
      <c r="H194" t="s">
        <v>9</v>
      </c>
    </row>
    <row r="195" spans="1:8" x14ac:dyDescent="0.25">
      <c r="A195">
        <v>68689251</v>
      </c>
      <c r="B195">
        <v>1352</v>
      </c>
      <c r="C195">
        <v>2904</v>
      </c>
      <c r="D195" s="19">
        <v>46102</v>
      </c>
      <c r="E195" t="s">
        <v>14</v>
      </c>
      <c r="F195" t="s">
        <v>19</v>
      </c>
      <c r="G195" t="e">
        <f>VLOOKUP($A195,'CA-US List'!$A:$C,3,0)</f>
        <v>#N/A</v>
      </c>
      <c r="H195" t="s">
        <v>9</v>
      </c>
    </row>
    <row r="196" spans="1:8" x14ac:dyDescent="0.25">
      <c r="A196">
        <v>68689251</v>
      </c>
      <c r="B196">
        <v>1352</v>
      </c>
      <c r="C196">
        <v>2810</v>
      </c>
      <c r="D196" s="19">
        <v>46103</v>
      </c>
      <c r="E196" t="s">
        <v>14</v>
      </c>
      <c r="F196" t="s">
        <v>19</v>
      </c>
      <c r="G196" t="e">
        <f>VLOOKUP($A196,'CA-US List'!$A:$C,3,0)</f>
        <v>#N/A</v>
      </c>
      <c r="H196" t="s">
        <v>9</v>
      </c>
    </row>
    <row r="197" spans="1:8" x14ac:dyDescent="0.25">
      <c r="A197">
        <v>68689251</v>
      </c>
      <c r="B197">
        <v>1352</v>
      </c>
      <c r="C197">
        <v>3036</v>
      </c>
      <c r="D197" s="19">
        <v>46103</v>
      </c>
      <c r="E197" t="s">
        <v>14</v>
      </c>
      <c r="F197" t="s">
        <v>19</v>
      </c>
      <c r="G197" t="e">
        <f>VLOOKUP($A197,'CA-US List'!$A:$C,3,0)</f>
        <v>#N/A</v>
      </c>
      <c r="H197" t="s">
        <v>9</v>
      </c>
    </row>
    <row r="198" spans="1:8" x14ac:dyDescent="0.25">
      <c r="A198">
        <v>68689251</v>
      </c>
      <c r="B198">
        <v>1352</v>
      </c>
      <c r="C198">
        <v>3964</v>
      </c>
      <c r="D198" s="19">
        <v>46104</v>
      </c>
      <c r="E198" t="s">
        <v>14</v>
      </c>
      <c r="F198" t="s">
        <v>19</v>
      </c>
      <c r="G198" t="e">
        <f>VLOOKUP($A198,'CA-US List'!$A:$C,3,0)</f>
        <v>#N/A</v>
      </c>
      <c r="H198" t="s">
        <v>9</v>
      </c>
    </row>
    <row r="199" spans="1:8" x14ac:dyDescent="0.25">
      <c r="A199">
        <v>68689251</v>
      </c>
      <c r="B199">
        <v>1352</v>
      </c>
      <c r="C199">
        <v>3564</v>
      </c>
      <c r="D199" s="19">
        <v>46104</v>
      </c>
      <c r="E199" t="s">
        <v>14</v>
      </c>
      <c r="F199" t="s">
        <v>19</v>
      </c>
      <c r="G199" t="e">
        <f>VLOOKUP($A199,'CA-US List'!$A:$C,3,0)</f>
        <v>#N/A</v>
      </c>
      <c r="H199" t="s">
        <v>9</v>
      </c>
    </row>
    <row r="200" spans="1:8" x14ac:dyDescent="0.25">
      <c r="A200">
        <v>68689251</v>
      </c>
      <c r="B200">
        <v>1352</v>
      </c>
      <c r="C200">
        <v>3353</v>
      </c>
      <c r="D200" s="19">
        <v>46105</v>
      </c>
      <c r="E200" t="s">
        <v>14</v>
      </c>
      <c r="F200" t="s">
        <v>19</v>
      </c>
      <c r="G200" t="e">
        <f>VLOOKUP($A200,'CA-US List'!$A:$C,3,0)</f>
        <v>#N/A</v>
      </c>
      <c r="H200" t="s">
        <v>9</v>
      </c>
    </row>
    <row r="201" spans="1:8" x14ac:dyDescent="0.25">
      <c r="A201">
        <v>68689251</v>
      </c>
      <c r="B201">
        <v>1352</v>
      </c>
      <c r="C201">
        <v>4092</v>
      </c>
      <c r="D201" s="19">
        <v>46076</v>
      </c>
      <c r="E201" t="s">
        <v>14</v>
      </c>
      <c r="F201" t="s">
        <v>50</v>
      </c>
      <c r="G201" t="e">
        <f>VLOOKUP($A201,'CA-US List'!$A:$C,3,0)</f>
        <v>#N/A</v>
      </c>
      <c r="H201" t="s">
        <v>9</v>
      </c>
    </row>
    <row r="202" spans="1:8" x14ac:dyDescent="0.25">
      <c r="A202">
        <v>68689251</v>
      </c>
      <c r="B202">
        <v>1352</v>
      </c>
      <c r="C202">
        <v>3549</v>
      </c>
      <c r="D202" s="19">
        <v>46076</v>
      </c>
      <c r="E202" t="s">
        <v>14</v>
      </c>
      <c r="F202" t="s">
        <v>50</v>
      </c>
      <c r="G202" t="e">
        <f>VLOOKUP($A202,'CA-US List'!$A:$C,3,0)</f>
        <v>#N/A</v>
      </c>
      <c r="H202" t="s">
        <v>9</v>
      </c>
    </row>
    <row r="203" spans="1:8" x14ac:dyDescent="0.25">
      <c r="A203">
        <v>68689251</v>
      </c>
      <c r="B203">
        <v>1352</v>
      </c>
      <c r="C203">
        <v>4125</v>
      </c>
      <c r="D203" s="19">
        <v>46077</v>
      </c>
      <c r="E203" t="s">
        <v>14</v>
      </c>
      <c r="F203" t="s">
        <v>50</v>
      </c>
      <c r="G203" t="e">
        <f>VLOOKUP($A203,'CA-US List'!$A:$C,3,0)</f>
        <v>#N/A</v>
      </c>
      <c r="H203" t="s">
        <v>9</v>
      </c>
    </row>
    <row r="204" spans="1:8" x14ac:dyDescent="0.25">
      <c r="A204">
        <v>68689251</v>
      </c>
      <c r="B204">
        <v>1352</v>
      </c>
      <c r="C204">
        <v>992</v>
      </c>
      <c r="D204" s="19">
        <v>46078</v>
      </c>
      <c r="E204" t="s">
        <v>14</v>
      </c>
      <c r="F204" t="s">
        <v>50</v>
      </c>
      <c r="G204" t="e">
        <f>VLOOKUP($A204,'CA-US List'!$A:$C,3,0)</f>
        <v>#N/A</v>
      </c>
      <c r="H204" t="s">
        <v>9</v>
      </c>
    </row>
    <row r="205" spans="1:8" x14ac:dyDescent="0.25">
      <c r="A205">
        <v>68689251</v>
      </c>
      <c r="B205">
        <v>1352</v>
      </c>
      <c r="C205">
        <v>2904</v>
      </c>
      <c r="D205" s="19">
        <v>46078</v>
      </c>
      <c r="E205" t="s">
        <v>14</v>
      </c>
      <c r="F205" t="s">
        <v>50</v>
      </c>
      <c r="G205" t="e">
        <f>VLOOKUP($A205,'CA-US List'!$A:$C,3,0)</f>
        <v>#N/A</v>
      </c>
      <c r="H205" t="s">
        <v>9</v>
      </c>
    </row>
    <row r="206" spans="1:8" x14ac:dyDescent="0.25">
      <c r="A206">
        <v>68689251</v>
      </c>
      <c r="B206">
        <v>1352</v>
      </c>
      <c r="C206">
        <v>4892</v>
      </c>
      <c r="D206" s="19">
        <v>46079</v>
      </c>
      <c r="E206" t="s">
        <v>14</v>
      </c>
      <c r="F206" t="s">
        <v>50</v>
      </c>
      <c r="G206" t="e">
        <f>VLOOKUP($A206,'CA-US List'!$A:$C,3,0)</f>
        <v>#N/A</v>
      </c>
      <c r="H206" t="s">
        <v>9</v>
      </c>
    </row>
    <row r="207" spans="1:8" x14ac:dyDescent="0.25">
      <c r="A207">
        <v>68689251</v>
      </c>
      <c r="B207">
        <v>1352</v>
      </c>
      <c r="C207">
        <v>3564</v>
      </c>
      <c r="D207" s="19">
        <v>46080</v>
      </c>
      <c r="E207" t="s">
        <v>14</v>
      </c>
      <c r="F207" t="s">
        <v>50</v>
      </c>
      <c r="G207" t="e">
        <f>VLOOKUP($A207,'CA-US List'!$A:$C,3,0)</f>
        <v>#N/A</v>
      </c>
      <c r="H207" t="s">
        <v>9</v>
      </c>
    </row>
    <row r="208" spans="1:8" x14ac:dyDescent="0.25">
      <c r="A208">
        <v>68689251</v>
      </c>
      <c r="B208">
        <v>1352</v>
      </c>
      <c r="C208">
        <v>2644</v>
      </c>
      <c r="D208" s="19">
        <v>46081</v>
      </c>
      <c r="E208" t="s">
        <v>14</v>
      </c>
      <c r="F208" t="s">
        <v>50</v>
      </c>
      <c r="G208" t="e">
        <f>VLOOKUP($A208,'CA-US List'!$A:$C,3,0)</f>
        <v>#N/A</v>
      </c>
      <c r="H208" t="s">
        <v>9</v>
      </c>
    </row>
    <row r="209" spans="1:8" x14ac:dyDescent="0.25">
      <c r="A209">
        <v>68689251</v>
      </c>
      <c r="B209">
        <v>1352</v>
      </c>
      <c r="C209">
        <v>132</v>
      </c>
      <c r="D209" s="19">
        <v>46086</v>
      </c>
      <c r="E209" t="s">
        <v>14</v>
      </c>
      <c r="F209" t="s">
        <v>50</v>
      </c>
      <c r="G209" t="e">
        <f>VLOOKUP($A209,'CA-US List'!$A:$C,3,0)</f>
        <v>#N/A</v>
      </c>
      <c r="H209" t="s">
        <v>9</v>
      </c>
    </row>
    <row r="210" spans="1:8" x14ac:dyDescent="0.25">
      <c r="A210">
        <v>68689251</v>
      </c>
      <c r="B210">
        <v>1352</v>
      </c>
      <c r="C210">
        <v>2112</v>
      </c>
      <c r="D210" s="19">
        <v>46081</v>
      </c>
      <c r="E210" t="s">
        <v>14</v>
      </c>
      <c r="F210" t="s">
        <v>50</v>
      </c>
      <c r="G210" t="e">
        <f>VLOOKUP($A210,'CA-US List'!$A:$C,3,0)</f>
        <v>#N/A</v>
      </c>
      <c r="H210" t="s">
        <v>9</v>
      </c>
    </row>
    <row r="211" spans="1:8" x14ac:dyDescent="0.25">
      <c r="A211">
        <v>68689251</v>
      </c>
      <c r="B211">
        <v>1352</v>
      </c>
      <c r="C211">
        <v>2314</v>
      </c>
      <c r="D211" s="19">
        <v>46082</v>
      </c>
      <c r="E211" t="s">
        <v>14</v>
      </c>
      <c r="F211" t="s">
        <v>50</v>
      </c>
      <c r="G211" t="e">
        <f>VLOOKUP($A211,'CA-US List'!$A:$C,3,0)</f>
        <v>#N/A</v>
      </c>
      <c r="H211" t="s">
        <v>9</v>
      </c>
    </row>
    <row r="212" spans="1:8" x14ac:dyDescent="0.25">
      <c r="A212">
        <v>68689251</v>
      </c>
      <c r="B212">
        <v>1352</v>
      </c>
      <c r="C212">
        <v>90</v>
      </c>
      <c r="D212" s="19">
        <v>46080</v>
      </c>
      <c r="E212" t="s">
        <v>14</v>
      </c>
      <c r="F212" t="s">
        <v>50</v>
      </c>
      <c r="G212" t="e">
        <f>VLOOKUP($A212,'CA-US List'!$A:$C,3,0)</f>
        <v>#N/A</v>
      </c>
      <c r="H212" t="s">
        <v>9</v>
      </c>
    </row>
    <row r="213" spans="1:8" x14ac:dyDescent="0.25">
      <c r="A213">
        <v>68689251</v>
      </c>
      <c r="B213">
        <v>1352</v>
      </c>
      <c r="C213">
        <v>3168</v>
      </c>
      <c r="D213" s="19">
        <v>46082</v>
      </c>
      <c r="E213" t="s">
        <v>14</v>
      </c>
      <c r="F213" t="s">
        <v>50</v>
      </c>
      <c r="G213" t="e">
        <f>VLOOKUP($A213,'CA-US List'!$A:$C,3,0)</f>
        <v>#N/A</v>
      </c>
      <c r="H213" t="s">
        <v>9</v>
      </c>
    </row>
    <row r="214" spans="1:8" x14ac:dyDescent="0.25">
      <c r="A214">
        <v>68689251</v>
      </c>
      <c r="B214">
        <v>1352</v>
      </c>
      <c r="C214">
        <v>4846</v>
      </c>
      <c r="D214" s="19">
        <v>46083</v>
      </c>
      <c r="E214" t="s">
        <v>14</v>
      </c>
      <c r="F214" t="s">
        <v>50</v>
      </c>
      <c r="G214" t="e">
        <f>VLOOKUP($A214,'CA-US List'!$A:$C,3,0)</f>
        <v>#N/A</v>
      </c>
      <c r="H214" t="s">
        <v>9</v>
      </c>
    </row>
    <row r="215" spans="1:8" x14ac:dyDescent="0.25">
      <c r="A215">
        <v>68689251</v>
      </c>
      <c r="B215">
        <v>1352</v>
      </c>
      <c r="C215">
        <v>3564</v>
      </c>
      <c r="D215" s="19">
        <v>46079</v>
      </c>
      <c r="E215" t="s">
        <v>14</v>
      </c>
      <c r="F215" t="s">
        <v>50</v>
      </c>
      <c r="G215" t="e">
        <f>VLOOKUP($A215,'CA-US List'!$A:$C,3,0)</f>
        <v>#N/A</v>
      </c>
      <c r="H215" t="s">
        <v>9</v>
      </c>
    </row>
    <row r="216" spans="1:8" x14ac:dyDescent="0.25">
      <c r="A216">
        <v>68689251</v>
      </c>
      <c r="B216">
        <v>1352</v>
      </c>
      <c r="C216">
        <v>4858</v>
      </c>
      <c r="D216" s="19">
        <v>46080</v>
      </c>
      <c r="E216" t="s">
        <v>14</v>
      </c>
      <c r="F216" t="s">
        <v>50</v>
      </c>
      <c r="G216" t="e">
        <f>VLOOKUP($A216,'CA-US List'!$A:$C,3,0)</f>
        <v>#N/A</v>
      </c>
      <c r="H216" t="s">
        <v>9</v>
      </c>
    </row>
    <row r="217" spans="1:8" x14ac:dyDescent="0.25">
      <c r="A217">
        <v>68689251</v>
      </c>
      <c r="B217">
        <v>1352</v>
      </c>
      <c r="C217">
        <v>3564</v>
      </c>
      <c r="D217" s="19">
        <v>46083</v>
      </c>
      <c r="E217" t="s">
        <v>14</v>
      </c>
      <c r="F217" t="s">
        <v>50</v>
      </c>
      <c r="G217" t="e">
        <f>VLOOKUP($A217,'CA-US List'!$A:$C,3,0)</f>
        <v>#N/A</v>
      </c>
      <c r="H217" t="s">
        <v>9</v>
      </c>
    </row>
    <row r="218" spans="1:8" x14ac:dyDescent="0.25">
      <c r="A218">
        <v>68689251</v>
      </c>
      <c r="B218">
        <v>1352</v>
      </c>
      <c r="C218">
        <v>5358</v>
      </c>
      <c r="D218" s="19">
        <v>46084</v>
      </c>
      <c r="E218" t="s">
        <v>14</v>
      </c>
      <c r="F218" t="s">
        <v>50</v>
      </c>
      <c r="G218" t="e">
        <f>VLOOKUP($A218,'CA-US List'!$A:$C,3,0)</f>
        <v>#N/A</v>
      </c>
      <c r="H218" t="s">
        <v>9</v>
      </c>
    </row>
    <row r="219" spans="1:8" x14ac:dyDescent="0.25">
      <c r="A219">
        <v>68689251</v>
      </c>
      <c r="B219">
        <v>1352</v>
      </c>
      <c r="C219">
        <v>1769</v>
      </c>
      <c r="D219" s="19">
        <v>46087</v>
      </c>
      <c r="E219" t="s">
        <v>14</v>
      </c>
      <c r="F219" t="s">
        <v>15</v>
      </c>
      <c r="G219" t="e">
        <f>VLOOKUP($A219,'CA-US List'!$A:$C,3,0)</f>
        <v>#N/A</v>
      </c>
      <c r="H219" t="s">
        <v>9</v>
      </c>
    </row>
    <row r="220" spans="1:8" x14ac:dyDescent="0.25">
      <c r="A220">
        <v>68689251</v>
      </c>
      <c r="B220">
        <v>1352</v>
      </c>
      <c r="C220">
        <v>2904</v>
      </c>
      <c r="D220" s="19">
        <v>46087</v>
      </c>
      <c r="E220" t="s">
        <v>14</v>
      </c>
      <c r="F220" t="s">
        <v>15</v>
      </c>
      <c r="G220" t="e">
        <f>VLOOKUP($A220,'CA-US List'!$A:$C,3,0)</f>
        <v>#N/A</v>
      </c>
      <c r="H220" t="s">
        <v>9</v>
      </c>
    </row>
    <row r="221" spans="1:8" x14ac:dyDescent="0.25">
      <c r="A221">
        <v>68689251</v>
      </c>
      <c r="B221">
        <v>1352</v>
      </c>
      <c r="C221">
        <v>3940</v>
      </c>
      <c r="D221" s="19">
        <v>46088</v>
      </c>
      <c r="E221" t="s">
        <v>14</v>
      </c>
      <c r="F221" t="s">
        <v>15</v>
      </c>
      <c r="G221" t="e">
        <f>VLOOKUP($A221,'CA-US List'!$A:$C,3,0)</f>
        <v>#N/A</v>
      </c>
      <c r="H221" t="s">
        <v>9</v>
      </c>
    </row>
    <row r="222" spans="1:8" x14ac:dyDescent="0.25">
      <c r="A222">
        <v>68689251</v>
      </c>
      <c r="B222">
        <v>1352</v>
      </c>
      <c r="C222">
        <v>1980</v>
      </c>
      <c r="D222" s="19">
        <v>46088</v>
      </c>
      <c r="E222" t="s">
        <v>14</v>
      </c>
      <c r="F222" t="s">
        <v>15</v>
      </c>
      <c r="G222" t="e">
        <f>VLOOKUP($A222,'CA-US List'!$A:$C,3,0)</f>
        <v>#N/A</v>
      </c>
      <c r="H222" t="s">
        <v>9</v>
      </c>
    </row>
    <row r="223" spans="1:8" x14ac:dyDescent="0.25">
      <c r="A223">
        <v>68689251</v>
      </c>
      <c r="B223">
        <v>1352</v>
      </c>
      <c r="C223">
        <v>2921</v>
      </c>
      <c r="D223" s="19">
        <v>46089</v>
      </c>
      <c r="E223" t="s">
        <v>14</v>
      </c>
      <c r="F223" t="s">
        <v>15</v>
      </c>
      <c r="G223" t="e">
        <f>VLOOKUP($A223,'CA-US List'!$A:$C,3,0)</f>
        <v>#N/A</v>
      </c>
      <c r="H223" t="s">
        <v>9</v>
      </c>
    </row>
    <row r="224" spans="1:8" x14ac:dyDescent="0.25">
      <c r="A224">
        <v>68689251</v>
      </c>
      <c r="B224">
        <v>1352</v>
      </c>
      <c r="C224">
        <v>3432</v>
      </c>
      <c r="D224" s="19">
        <v>46089</v>
      </c>
      <c r="E224" t="s">
        <v>14</v>
      </c>
      <c r="F224" t="s">
        <v>15</v>
      </c>
      <c r="G224" t="e">
        <f>VLOOKUP($A224,'CA-US List'!$A:$C,3,0)</f>
        <v>#N/A</v>
      </c>
      <c r="H224" t="s">
        <v>9</v>
      </c>
    </row>
    <row r="225" spans="1:8" x14ac:dyDescent="0.25">
      <c r="A225">
        <v>68689251</v>
      </c>
      <c r="B225">
        <v>1352</v>
      </c>
      <c r="C225">
        <v>4237</v>
      </c>
      <c r="D225" s="19">
        <v>46090</v>
      </c>
      <c r="E225" t="s">
        <v>14</v>
      </c>
      <c r="F225" t="s">
        <v>15</v>
      </c>
      <c r="G225" t="e">
        <f>VLOOKUP($A225,'CA-US List'!$A:$C,3,0)</f>
        <v>#N/A</v>
      </c>
      <c r="H225" t="s">
        <v>9</v>
      </c>
    </row>
    <row r="226" spans="1:8" x14ac:dyDescent="0.25">
      <c r="A226">
        <v>68689251</v>
      </c>
      <c r="B226">
        <v>1352</v>
      </c>
      <c r="C226">
        <v>1130</v>
      </c>
      <c r="D226" s="19">
        <v>46093</v>
      </c>
      <c r="E226" t="s">
        <v>14</v>
      </c>
      <c r="F226" t="s">
        <v>19</v>
      </c>
      <c r="G226" t="e">
        <f>VLOOKUP($A226,'CA-US List'!$A:$C,3,0)</f>
        <v>#N/A</v>
      </c>
      <c r="H226" t="s">
        <v>9</v>
      </c>
    </row>
    <row r="227" spans="1:8" x14ac:dyDescent="0.25">
      <c r="A227">
        <v>68689251</v>
      </c>
      <c r="B227">
        <v>1352</v>
      </c>
      <c r="C227">
        <v>1056</v>
      </c>
      <c r="D227" s="19">
        <v>46089</v>
      </c>
      <c r="E227" t="s">
        <v>14</v>
      </c>
      <c r="F227" t="s">
        <v>19</v>
      </c>
      <c r="G227" t="e">
        <f>VLOOKUP($A227,'CA-US List'!$A:$C,3,0)</f>
        <v>#N/A</v>
      </c>
      <c r="H227" t="s">
        <v>9</v>
      </c>
    </row>
    <row r="228" spans="1:8" x14ac:dyDescent="0.25">
      <c r="A228">
        <v>68689251</v>
      </c>
      <c r="B228">
        <v>1352</v>
      </c>
      <c r="C228">
        <v>1999</v>
      </c>
      <c r="D228" s="19">
        <v>46090</v>
      </c>
      <c r="E228" t="s">
        <v>14</v>
      </c>
      <c r="F228" t="s">
        <v>19</v>
      </c>
      <c r="G228" t="e">
        <f>VLOOKUP($A228,'CA-US List'!$A:$C,3,0)</f>
        <v>#N/A</v>
      </c>
      <c r="H228" t="s">
        <v>9</v>
      </c>
    </row>
    <row r="229" spans="1:8" x14ac:dyDescent="0.25">
      <c r="A229">
        <v>68689251</v>
      </c>
      <c r="B229">
        <v>1352</v>
      </c>
      <c r="C229">
        <v>264</v>
      </c>
      <c r="D229" s="19">
        <v>46090</v>
      </c>
      <c r="E229" t="s">
        <v>14</v>
      </c>
      <c r="F229" t="s">
        <v>15</v>
      </c>
      <c r="G229" t="e">
        <f>VLOOKUP($A229,'CA-US List'!$A:$C,3,0)</f>
        <v>#N/A</v>
      </c>
      <c r="H229" t="s">
        <v>9</v>
      </c>
    </row>
    <row r="230" spans="1:8" x14ac:dyDescent="0.25">
      <c r="A230">
        <v>68689251</v>
      </c>
      <c r="B230">
        <v>1352</v>
      </c>
      <c r="C230">
        <v>2273</v>
      </c>
      <c r="D230" s="19">
        <v>46091</v>
      </c>
      <c r="E230" t="s">
        <v>14</v>
      </c>
      <c r="F230" t="s">
        <v>15</v>
      </c>
      <c r="G230" t="e">
        <f>VLOOKUP($A230,'CA-US List'!$A:$C,3,0)</f>
        <v>#N/A</v>
      </c>
      <c r="H230" t="s">
        <v>9</v>
      </c>
    </row>
    <row r="231" spans="1:8" x14ac:dyDescent="0.25">
      <c r="A231">
        <v>68689251</v>
      </c>
      <c r="B231">
        <v>1352</v>
      </c>
      <c r="C231">
        <v>2282</v>
      </c>
      <c r="D231" s="19">
        <v>46094</v>
      </c>
      <c r="E231" t="s">
        <v>14</v>
      </c>
      <c r="F231" t="s">
        <v>19</v>
      </c>
      <c r="G231" t="e">
        <f>VLOOKUP($A231,'CA-US List'!$A:$C,3,0)</f>
        <v>#N/A</v>
      </c>
      <c r="H231" t="s">
        <v>9</v>
      </c>
    </row>
    <row r="232" spans="1:8" x14ac:dyDescent="0.25">
      <c r="A232">
        <v>68689251</v>
      </c>
      <c r="B232">
        <v>1352</v>
      </c>
      <c r="C232">
        <v>1848</v>
      </c>
      <c r="D232" s="19">
        <v>46100</v>
      </c>
      <c r="E232" t="s">
        <v>14</v>
      </c>
      <c r="F232" t="s">
        <v>19</v>
      </c>
      <c r="G232" t="e">
        <f>VLOOKUP($A232,'CA-US List'!$A:$C,3,0)</f>
        <v>#N/A</v>
      </c>
      <c r="H232" t="s">
        <v>9</v>
      </c>
    </row>
    <row r="233" spans="1:8" x14ac:dyDescent="0.25">
      <c r="A233">
        <v>68689251</v>
      </c>
      <c r="B233">
        <v>1352</v>
      </c>
      <c r="C233">
        <v>3514</v>
      </c>
      <c r="D233" s="19">
        <v>46101</v>
      </c>
      <c r="E233" t="s">
        <v>14</v>
      </c>
      <c r="F233" t="s">
        <v>19</v>
      </c>
      <c r="G233" t="e">
        <f>VLOOKUP($A233,'CA-US List'!$A:$C,3,0)</f>
        <v>#N/A</v>
      </c>
      <c r="H233" t="s">
        <v>9</v>
      </c>
    </row>
    <row r="234" spans="1:8" x14ac:dyDescent="0.25">
      <c r="A234">
        <v>68689251</v>
      </c>
      <c r="B234">
        <v>1352</v>
      </c>
      <c r="C234">
        <v>14</v>
      </c>
      <c r="D234" s="19">
        <v>46103</v>
      </c>
      <c r="E234" t="s">
        <v>14</v>
      </c>
      <c r="F234" t="s">
        <v>19</v>
      </c>
      <c r="G234" t="e">
        <f>VLOOKUP($A234,'CA-US List'!$A:$C,3,0)</f>
        <v>#N/A</v>
      </c>
      <c r="H234" t="s">
        <v>9</v>
      </c>
    </row>
    <row r="235" spans="1:8" x14ac:dyDescent="0.25">
      <c r="A235">
        <v>68709233</v>
      </c>
      <c r="B235">
        <v>1352</v>
      </c>
      <c r="C235">
        <v>4110</v>
      </c>
      <c r="D235" s="19">
        <v>46102</v>
      </c>
      <c r="E235" t="s">
        <v>671</v>
      </c>
      <c r="F235" t="s">
        <v>50</v>
      </c>
      <c r="G235" t="e">
        <f>VLOOKUP($A235,'CA-US List'!$A:$C,3,0)</f>
        <v>#N/A</v>
      </c>
      <c r="H235" t="s">
        <v>9</v>
      </c>
    </row>
    <row r="236" spans="1:8" x14ac:dyDescent="0.25">
      <c r="A236">
        <v>68709233</v>
      </c>
      <c r="B236">
        <v>1352</v>
      </c>
      <c r="C236">
        <v>3394</v>
      </c>
      <c r="D236" s="19">
        <v>46103</v>
      </c>
      <c r="E236" t="s">
        <v>671</v>
      </c>
      <c r="F236" t="s">
        <v>50</v>
      </c>
      <c r="G236" t="e">
        <f>VLOOKUP($A236,'CA-US List'!$A:$C,3,0)</f>
        <v>#N/A</v>
      </c>
      <c r="H236" t="s">
        <v>9</v>
      </c>
    </row>
    <row r="237" spans="1:8" x14ac:dyDescent="0.25">
      <c r="A237">
        <v>68709233</v>
      </c>
      <c r="B237">
        <v>1352</v>
      </c>
      <c r="C237">
        <v>2904</v>
      </c>
      <c r="D237" s="19">
        <v>46103</v>
      </c>
      <c r="E237" t="s">
        <v>671</v>
      </c>
      <c r="F237" t="s">
        <v>50</v>
      </c>
      <c r="G237" t="e">
        <f>VLOOKUP($A237,'CA-US List'!$A:$C,3,0)</f>
        <v>#N/A</v>
      </c>
      <c r="H237" t="s">
        <v>9</v>
      </c>
    </row>
    <row r="238" spans="1:8" x14ac:dyDescent="0.25">
      <c r="A238">
        <v>68709233</v>
      </c>
      <c r="B238">
        <v>1352</v>
      </c>
      <c r="C238">
        <v>4089</v>
      </c>
      <c r="D238" s="19">
        <v>46104</v>
      </c>
      <c r="E238" t="s">
        <v>671</v>
      </c>
      <c r="F238" t="s">
        <v>50</v>
      </c>
      <c r="G238" t="e">
        <f>VLOOKUP($A238,'CA-US List'!$A:$C,3,0)</f>
        <v>#N/A</v>
      </c>
      <c r="H238" t="s">
        <v>9</v>
      </c>
    </row>
    <row r="239" spans="1:8" x14ac:dyDescent="0.25">
      <c r="A239">
        <v>68709233</v>
      </c>
      <c r="B239">
        <v>1352</v>
      </c>
      <c r="C239">
        <v>3300</v>
      </c>
      <c r="D239" s="19">
        <v>46104</v>
      </c>
      <c r="E239" t="s">
        <v>671</v>
      </c>
      <c r="F239" t="s">
        <v>15</v>
      </c>
      <c r="G239" t="e">
        <f>VLOOKUP($A239,'CA-US List'!$A:$C,3,0)</f>
        <v>#N/A</v>
      </c>
      <c r="H239" t="s">
        <v>9</v>
      </c>
    </row>
    <row r="240" spans="1:8" x14ac:dyDescent="0.25">
      <c r="A240">
        <v>68709233</v>
      </c>
      <c r="B240">
        <v>1352</v>
      </c>
      <c r="C240">
        <v>3887</v>
      </c>
      <c r="D240" s="19">
        <v>46105</v>
      </c>
      <c r="E240" t="s">
        <v>671</v>
      </c>
      <c r="F240" t="s">
        <v>15</v>
      </c>
      <c r="G240" t="e">
        <f>VLOOKUP($A240,'CA-US List'!$A:$C,3,0)</f>
        <v>#N/A</v>
      </c>
      <c r="H240" t="s">
        <v>9</v>
      </c>
    </row>
    <row r="241" spans="1:8" x14ac:dyDescent="0.25">
      <c r="A241">
        <v>68709233</v>
      </c>
      <c r="B241">
        <v>1352</v>
      </c>
      <c r="C241">
        <v>1955</v>
      </c>
      <c r="D241" s="19">
        <v>46105</v>
      </c>
      <c r="E241" t="s">
        <v>671</v>
      </c>
      <c r="F241" t="s">
        <v>15</v>
      </c>
      <c r="G241" t="e">
        <f>VLOOKUP($A241,'CA-US List'!$A:$C,3,0)</f>
        <v>#N/A</v>
      </c>
      <c r="H241" t="s">
        <v>9</v>
      </c>
    </row>
    <row r="242" spans="1:8" x14ac:dyDescent="0.25">
      <c r="A242">
        <v>68709233</v>
      </c>
      <c r="B242">
        <v>1352</v>
      </c>
      <c r="C242">
        <v>1946</v>
      </c>
      <c r="D242" s="19">
        <v>46099</v>
      </c>
      <c r="E242" t="s">
        <v>671</v>
      </c>
      <c r="F242" t="s">
        <v>50</v>
      </c>
      <c r="G242" t="e">
        <f>VLOOKUP($A242,'CA-US List'!$A:$C,3,0)</f>
        <v>#N/A</v>
      </c>
      <c r="H242" t="s">
        <v>9</v>
      </c>
    </row>
    <row r="243" spans="1:8" x14ac:dyDescent="0.25">
      <c r="A243">
        <v>68709233</v>
      </c>
      <c r="B243">
        <v>1352</v>
      </c>
      <c r="C243">
        <v>3036</v>
      </c>
      <c r="D243" s="19">
        <v>46099</v>
      </c>
      <c r="E243" t="s">
        <v>671</v>
      </c>
      <c r="F243" t="s">
        <v>50</v>
      </c>
      <c r="G243" t="e">
        <f>VLOOKUP($A243,'CA-US List'!$A:$C,3,0)</f>
        <v>#N/A</v>
      </c>
      <c r="H243" t="s">
        <v>9</v>
      </c>
    </row>
    <row r="244" spans="1:8" x14ac:dyDescent="0.25">
      <c r="A244">
        <v>68709233</v>
      </c>
      <c r="B244">
        <v>1352</v>
      </c>
      <c r="C244">
        <v>3854</v>
      </c>
      <c r="D244" s="19">
        <v>46100</v>
      </c>
      <c r="E244" t="s">
        <v>671</v>
      </c>
      <c r="F244" t="s">
        <v>50</v>
      </c>
      <c r="G244" t="e">
        <f>VLOOKUP($A244,'CA-US List'!$A:$C,3,0)</f>
        <v>#N/A</v>
      </c>
      <c r="H244" t="s">
        <v>9</v>
      </c>
    </row>
    <row r="245" spans="1:8" x14ac:dyDescent="0.25">
      <c r="A245">
        <v>68709233</v>
      </c>
      <c r="B245">
        <v>1352</v>
      </c>
      <c r="C245">
        <v>3168</v>
      </c>
      <c r="D245" s="19">
        <v>46104</v>
      </c>
      <c r="E245" t="s">
        <v>671</v>
      </c>
      <c r="F245" t="s">
        <v>50</v>
      </c>
      <c r="G245" t="e">
        <f>VLOOKUP($A245,'CA-US List'!$A:$C,3,0)</f>
        <v>#N/A</v>
      </c>
      <c r="H245" t="s">
        <v>9</v>
      </c>
    </row>
    <row r="246" spans="1:8" x14ac:dyDescent="0.25">
      <c r="A246">
        <v>68709233</v>
      </c>
      <c r="B246">
        <v>1352</v>
      </c>
      <c r="C246">
        <v>252</v>
      </c>
      <c r="D246" s="19">
        <v>46105</v>
      </c>
      <c r="E246" t="s">
        <v>671</v>
      </c>
      <c r="F246" t="s">
        <v>50</v>
      </c>
      <c r="G246" t="e">
        <f>VLOOKUP($A246,'CA-US List'!$A:$C,3,0)</f>
        <v>#N/A</v>
      </c>
      <c r="H246" t="s">
        <v>9</v>
      </c>
    </row>
    <row r="247" spans="1:8" x14ac:dyDescent="0.25">
      <c r="A247">
        <v>68709233</v>
      </c>
      <c r="B247">
        <v>1352</v>
      </c>
      <c r="C247">
        <v>1716</v>
      </c>
      <c r="D247" s="19">
        <v>46105</v>
      </c>
      <c r="E247" t="s">
        <v>671</v>
      </c>
      <c r="F247" t="s">
        <v>50</v>
      </c>
      <c r="G247" t="e">
        <f>VLOOKUP($A247,'CA-US List'!$A:$C,3,0)</f>
        <v>#N/A</v>
      </c>
      <c r="H247" t="s">
        <v>9</v>
      </c>
    </row>
    <row r="248" spans="1:8" x14ac:dyDescent="0.25">
      <c r="A248">
        <v>68709233</v>
      </c>
      <c r="B248">
        <v>1352</v>
      </c>
      <c r="C248">
        <v>2640</v>
      </c>
      <c r="D248" s="19">
        <v>46101</v>
      </c>
      <c r="E248" t="s">
        <v>671</v>
      </c>
      <c r="F248" t="s">
        <v>50</v>
      </c>
      <c r="G248" t="e">
        <f>VLOOKUP($A248,'CA-US List'!$A:$C,3,0)</f>
        <v>#N/A</v>
      </c>
      <c r="H248" t="s">
        <v>9</v>
      </c>
    </row>
    <row r="249" spans="1:8" x14ac:dyDescent="0.25">
      <c r="A249">
        <v>68709233</v>
      </c>
      <c r="B249">
        <v>1352</v>
      </c>
      <c r="C249">
        <v>855</v>
      </c>
      <c r="D249" s="19">
        <v>46102</v>
      </c>
      <c r="E249" t="s">
        <v>671</v>
      </c>
      <c r="F249" t="s">
        <v>50</v>
      </c>
      <c r="G249" t="e">
        <f>VLOOKUP($A249,'CA-US List'!$A:$C,3,0)</f>
        <v>#N/A</v>
      </c>
      <c r="H249" t="s">
        <v>9</v>
      </c>
    </row>
    <row r="250" spans="1:8" x14ac:dyDescent="0.25">
      <c r="A250">
        <v>68709233</v>
      </c>
      <c r="B250">
        <v>1352</v>
      </c>
      <c r="C250">
        <v>528</v>
      </c>
      <c r="D250" s="19">
        <v>46097</v>
      </c>
      <c r="E250" t="s">
        <v>671</v>
      </c>
      <c r="F250" t="s">
        <v>15</v>
      </c>
      <c r="G250" t="e">
        <f>VLOOKUP($A250,'CA-US List'!$A:$C,3,0)</f>
        <v>#N/A</v>
      </c>
      <c r="H250" t="s">
        <v>9</v>
      </c>
    </row>
    <row r="251" spans="1:8" x14ac:dyDescent="0.25">
      <c r="A251">
        <v>68709233</v>
      </c>
      <c r="B251">
        <v>1352</v>
      </c>
      <c r="C251">
        <v>3620</v>
      </c>
      <c r="D251" s="19">
        <v>46098</v>
      </c>
      <c r="E251" t="s">
        <v>671</v>
      </c>
      <c r="F251" t="s">
        <v>15</v>
      </c>
      <c r="G251" t="e">
        <f>VLOOKUP($A251,'CA-US List'!$A:$C,3,0)</f>
        <v>#N/A</v>
      </c>
      <c r="H251" t="s">
        <v>9</v>
      </c>
    </row>
    <row r="252" spans="1:8" x14ac:dyDescent="0.25">
      <c r="A252">
        <v>68709233</v>
      </c>
      <c r="B252">
        <v>1352</v>
      </c>
      <c r="C252">
        <v>3696</v>
      </c>
      <c r="D252" s="19">
        <v>46098</v>
      </c>
      <c r="E252" t="s">
        <v>671</v>
      </c>
      <c r="F252" t="s">
        <v>15</v>
      </c>
      <c r="G252" t="e">
        <f>VLOOKUP($A252,'CA-US List'!$A:$C,3,0)</f>
        <v>#N/A</v>
      </c>
      <c r="H252" t="s">
        <v>9</v>
      </c>
    </row>
    <row r="253" spans="1:8" x14ac:dyDescent="0.25">
      <c r="A253">
        <v>68709233</v>
      </c>
      <c r="B253">
        <v>1352</v>
      </c>
      <c r="C253">
        <v>2772</v>
      </c>
      <c r="D253" s="19">
        <v>46099</v>
      </c>
      <c r="E253" t="s">
        <v>671</v>
      </c>
      <c r="F253" t="s">
        <v>15</v>
      </c>
      <c r="G253" t="e">
        <f>VLOOKUP($A253,'CA-US List'!$A:$C,3,0)</f>
        <v>#N/A</v>
      </c>
      <c r="H253" t="s">
        <v>9</v>
      </c>
    </row>
    <row r="254" spans="1:8" x14ac:dyDescent="0.25">
      <c r="A254">
        <v>68709233</v>
      </c>
      <c r="B254">
        <v>1352</v>
      </c>
      <c r="C254">
        <v>2376</v>
      </c>
      <c r="D254" s="19">
        <v>46099</v>
      </c>
      <c r="E254" t="s">
        <v>671</v>
      </c>
      <c r="F254" t="s">
        <v>15</v>
      </c>
      <c r="G254" t="e">
        <f>VLOOKUP($A254,'CA-US List'!$A:$C,3,0)</f>
        <v>#N/A</v>
      </c>
      <c r="H254" t="s">
        <v>9</v>
      </c>
    </row>
    <row r="255" spans="1:8" x14ac:dyDescent="0.25">
      <c r="A255">
        <v>68709233</v>
      </c>
      <c r="B255">
        <v>1352</v>
      </c>
      <c r="C255">
        <v>4234</v>
      </c>
      <c r="D255" s="19">
        <v>46100</v>
      </c>
      <c r="E255" t="s">
        <v>671</v>
      </c>
      <c r="F255" t="s">
        <v>15</v>
      </c>
      <c r="G255" t="e">
        <f>VLOOKUP($A255,'CA-US List'!$A:$C,3,0)</f>
        <v>#N/A</v>
      </c>
      <c r="H255" t="s">
        <v>9</v>
      </c>
    </row>
    <row r="256" spans="1:8" x14ac:dyDescent="0.25">
      <c r="A256">
        <v>68709233</v>
      </c>
      <c r="B256">
        <v>1352</v>
      </c>
      <c r="C256">
        <v>2376</v>
      </c>
      <c r="D256" s="19">
        <v>46100</v>
      </c>
      <c r="E256" t="s">
        <v>671</v>
      </c>
      <c r="F256" t="s">
        <v>15</v>
      </c>
      <c r="G256" t="e">
        <f>VLOOKUP($A256,'CA-US List'!$A:$C,3,0)</f>
        <v>#N/A</v>
      </c>
      <c r="H256" t="s">
        <v>9</v>
      </c>
    </row>
    <row r="257" spans="1:8" x14ac:dyDescent="0.25">
      <c r="A257">
        <v>68709233</v>
      </c>
      <c r="B257">
        <v>1352</v>
      </c>
      <c r="C257">
        <v>1959</v>
      </c>
      <c r="D257" s="19">
        <v>46101</v>
      </c>
      <c r="E257" t="s">
        <v>671</v>
      </c>
      <c r="F257" t="s">
        <v>15</v>
      </c>
      <c r="G257" t="e">
        <f>VLOOKUP($A257,'CA-US List'!$A:$C,3,0)</f>
        <v>#N/A</v>
      </c>
      <c r="H257" t="s">
        <v>9</v>
      </c>
    </row>
    <row r="258" spans="1:8" x14ac:dyDescent="0.25">
      <c r="A258">
        <v>68709233</v>
      </c>
      <c r="B258">
        <v>1352</v>
      </c>
      <c r="C258">
        <v>597</v>
      </c>
      <c r="D258" s="19">
        <v>46101</v>
      </c>
      <c r="E258" t="s">
        <v>671</v>
      </c>
      <c r="F258" t="s">
        <v>15</v>
      </c>
      <c r="G258" t="e">
        <f>VLOOKUP($A258,'CA-US List'!$A:$C,3,0)</f>
        <v>#N/A</v>
      </c>
      <c r="H258" t="s">
        <v>9</v>
      </c>
    </row>
    <row r="259" spans="1:8" x14ac:dyDescent="0.25">
      <c r="A259">
        <v>68709233</v>
      </c>
      <c r="B259">
        <v>1352</v>
      </c>
      <c r="C259">
        <v>3036</v>
      </c>
      <c r="D259" s="19">
        <v>46102</v>
      </c>
      <c r="E259" t="s">
        <v>671</v>
      </c>
      <c r="F259" t="s">
        <v>15</v>
      </c>
      <c r="G259" t="e">
        <f>VLOOKUP($A259,'CA-US List'!$A:$C,3,0)</f>
        <v>#N/A</v>
      </c>
      <c r="H259" t="s">
        <v>9</v>
      </c>
    </row>
    <row r="260" spans="1:8" x14ac:dyDescent="0.25">
      <c r="A260">
        <v>68709233</v>
      </c>
      <c r="B260">
        <v>1352</v>
      </c>
      <c r="C260">
        <v>4241</v>
      </c>
      <c r="D260" s="19">
        <v>46103</v>
      </c>
      <c r="E260" t="s">
        <v>671</v>
      </c>
      <c r="F260" t="s">
        <v>15</v>
      </c>
      <c r="G260" t="e">
        <f>VLOOKUP($A260,'CA-US List'!$A:$C,3,0)</f>
        <v>#N/A</v>
      </c>
      <c r="H260" t="s">
        <v>9</v>
      </c>
    </row>
    <row r="261" spans="1:8" x14ac:dyDescent="0.25">
      <c r="A261">
        <v>68709233</v>
      </c>
      <c r="B261">
        <v>1352</v>
      </c>
      <c r="C261">
        <v>3432</v>
      </c>
      <c r="D261" s="19">
        <v>46103</v>
      </c>
      <c r="E261" t="s">
        <v>671</v>
      </c>
      <c r="F261" t="s">
        <v>15</v>
      </c>
      <c r="G261" t="e">
        <f>VLOOKUP($A261,'CA-US List'!$A:$C,3,0)</f>
        <v>#N/A</v>
      </c>
      <c r="H261" t="s">
        <v>9</v>
      </c>
    </row>
    <row r="262" spans="1:8" x14ac:dyDescent="0.25">
      <c r="A262">
        <v>68709233</v>
      </c>
      <c r="B262">
        <v>1352</v>
      </c>
      <c r="C262">
        <v>4863</v>
      </c>
      <c r="D262" s="19">
        <v>46104</v>
      </c>
      <c r="E262" t="s">
        <v>671</v>
      </c>
      <c r="F262" t="s">
        <v>15</v>
      </c>
      <c r="G262" t="e">
        <f>VLOOKUP($A262,'CA-US List'!$A:$C,3,0)</f>
        <v>#N/A</v>
      </c>
      <c r="H262" t="s">
        <v>9</v>
      </c>
    </row>
    <row r="263" spans="1:8" x14ac:dyDescent="0.25">
      <c r="A263">
        <v>68709233</v>
      </c>
      <c r="B263">
        <v>1352</v>
      </c>
      <c r="C263">
        <v>3168</v>
      </c>
      <c r="D263" s="19">
        <v>46100</v>
      </c>
      <c r="E263" t="s">
        <v>671</v>
      </c>
      <c r="F263" t="s">
        <v>50</v>
      </c>
      <c r="G263" t="e">
        <f>VLOOKUP($A263,'CA-US List'!$A:$C,3,0)</f>
        <v>#N/A</v>
      </c>
      <c r="H263" t="s">
        <v>9</v>
      </c>
    </row>
    <row r="264" spans="1:8" x14ac:dyDescent="0.25">
      <c r="A264">
        <v>68709233</v>
      </c>
      <c r="B264">
        <v>1352</v>
      </c>
      <c r="C264">
        <v>4181</v>
      </c>
      <c r="D264" s="19">
        <v>46101</v>
      </c>
      <c r="E264" t="s">
        <v>671</v>
      </c>
      <c r="F264" t="s">
        <v>50</v>
      </c>
      <c r="G264" t="e">
        <f>VLOOKUP($A264,'CA-US List'!$A:$C,3,0)</f>
        <v>#N/A</v>
      </c>
      <c r="H264" t="s">
        <v>9</v>
      </c>
    </row>
    <row r="265" spans="1:8" x14ac:dyDescent="0.25">
      <c r="A265">
        <v>68709233</v>
      </c>
      <c r="B265">
        <v>1352</v>
      </c>
      <c r="C265">
        <v>264</v>
      </c>
      <c r="D265" s="19">
        <v>46101</v>
      </c>
      <c r="E265" t="s">
        <v>671</v>
      </c>
      <c r="F265" t="s">
        <v>15</v>
      </c>
      <c r="G265" t="e">
        <f>VLOOKUP($A265,'CA-US List'!$A:$C,3,0)</f>
        <v>#N/A</v>
      </c>
      <c r="H265" t="s">
        <v>9</v>
      </c>
    </row>
    <row r="266" spans="1:8" x14ac:dyDescent="0.25">
      <c r="A266">
        <v>68709233</v>
      </c>
      <c r="B266">
        <v>1352</v>
      </c>
      <c r="C266">
        <v>3918</v>
      </c>
      <c r="D266" s="19">
        <v>46102</v>
      </c>
      <c r="E266" t="s">
        <v>671</v>
      </c>
      <c r="F266" t="s">
        <v>15</v>
      </c>
      <c r="G266" t="e">
        <f>VLOOKUP($A266,'CA-US List'!$A:$C,3,0)</f>
        <v>#N/A</v>
      </c>
      <c r="H266" t="s">
        <v>9</v>
      </c>
    </row>
    <row r="267" spans="1:8" x14ac:dyDescent="0.25">
      <c r="A267">
        <v>68709237</v>
      </c>
      <c r="B267">
        <v>1352</v>
      </c>
      <c r="C267">
        <v>155</v>
      </c>
      <c r="D267" s="19">
        <v>46079</v>
      </c>
      <c r="E267" t="s">
        <v>673</v>
      </c>
      <c r="F267" t="s">
        <v>19</v>
      </c>
      <c r="G267" t="e">
        <f>VLOOKUP($A267,'CA-US List'!$A:$C,3,0)</f>
        <v>#N/A</v>
      </c>
      <c r="H267" t="s">
        <v>9</v>
      </c>
    </row>
    <row r="268" spans="1:8" x14ac:dyDescent="0.25">
      <c r="A268">
        <v>68710277</v>
      </c>
      <c r="B268">
        <v>1352</v>
      </c>
      <c r="C268">
        <v>2267</v>
      </c>
      <c r="D268" s="19">
        <v>46085</v>
      </c>
      <c r="E268" t="s">
        <v>940</v>
      </c>
      <c r="F268" t="s">
        <v>50</v>
      </c>
      <c r="G268" t="e">
        <f>VLOOKUP($A268,'CA-US List'!$A:$C,3,0)</f>
        <v>#N/A</v>
      </c>
      <c r="H268" t="s">
        <v>9</v>
      </c>
    </row>
    <row r="269" spans="1:8" x14ac:dyDescent="0.25">
      <c r="A269">
        <v>68710277</v>
      </c>
      <c r="B269">
        <v>1352</v>
      </c>
      <c r="C269">
        <v>2508</v>
      </c>
      <c r="D269" s="19">
        <v>46085</v>
      </c>
      <c r="E269" t="s">
        <v>940</v>
      </c>
      <c r="F269" t="s">
        <v>50</v>
      </c>
      <c r="G269" t="e">
        <f>VLOOKUP($A269,'CA-US List'!$A:$C,3,0)</f>
        <v>#N/A</v>
      </c>
      <c r="H269" t="s">
        <v>9</v>
      </c>
    </row>
    <row r="270" spans="1:8" x14ac:dyDescent="0.25">
      <c r="A270">
        <v>68710277</v>
      </c>
      <c r="B270">
        <v>1352</v>
      </c>
      <c r="C270">
        <v>4612</v>
      </c>
      <c r="D270" s="19">
        <v>46086</v>
      </c>
      <c r="E270" t="s">
        <v>940</v>
      </c>
      <c r="F270" t="s">
        <v>50</v>
      </c>
      <c r="G270" t="e">
        <f>VLOOKUP($A270,'CA-US List'!$A:$C,3,0)</f>
        <v>#N/A</v>
      </c>
      <c r="H270" t="s">
        <v>9</v>
      </c>
    </row>
    <row r="271" spans="1:8" x14ac:dyDescent="0.25">
      <c r="A271">
        <v>68710277</v>
      </c>
      <c r="B271">
        <v>1352</v>
      </c>
      <c r="C271">
        <v>2244</v>
      </c>
      <c r="D271" s="19">
        <v>46086</v>
      </c>
      <c r="E271" t="s">
        <v>940</v>
      </c>
      <c r="F271" t="s">
        <v>50</v>
      </c>
      <c r="G271" t="e">
        <f>VLOOKUP($A271,'CA-US List'!$A:$C,3,0)</f>
        <v>#N/A</v>
      </c>
      <c r="H271" t="s">
        <v>9</v>
      </c>
    </row>
    <row r="272" spans="1:8" x14ac:dyDescent="0.25">
      <c r="A272">
        <v>68710277</v>
      </c>
      <c r="B272">
        <v>1352</v>
      </c>
      <c r="C272">
        <v>2315</v>
      </c>
      <c r="D272" s="19">
        <v>46087</v>
      </c>
      <c r="E272" t="s">
        <v>940</v>
      </c>
      <c r="F272" t="s">
        <v>50</v>
      </c>
      <c r="G272" t="e">
        <f>VLOOKUP($A272,'CA-US List'!$A:$C,3,0)</f>
        <v>#N/A</v>
      </c>
      <c r="H272" t="s">
        <v>9</v>
      </c>
    </row>
    <row r="273" spans="1:8" x14ac:dyDescent="0.25">
      <c r="A273">
        <v>68710277</v>
      </c>
      <c r="B273">
        <v>1352</v>
      </c>
      <c r="C273">
        <v>1848</v>
      </c>
      <c r="D273" s="19">
        <v>46087</v>
      </c>
      <c r="E273" t="s">
        <v>940</v>
      </c>
      <c r="F273" t="s">
        <v>50</v>
      </c>
      <c r="G273" t="e">
        <f>VLOOKUP($A273,'CA-US List'!$A:$C,3,0)</f>
        <v>#N/A</v>
      </c>
      <c r="H273" t="s">
        <v>9</v>
      </c>
    </row>
    <row r="274" spans="1:8" x14ac:dyDescent="0.25">
      <c r="A274">
        <v>68710277</v>
      </c>
      <c r="B274">
        <v>1352</v>
      </c>
      <c r="C274">
        <v>1247</v>
      </c>
      <c r="D274" s="19">
        <v>46088</v>
      </c>
      <c r="E274" t="s">
        <v>940</v>
      </c>
      <c r="F274" t="s">
        <v>50</v>
      </c>
      <c r="G274" t="e">
        <f>VLOOKUP($A274,'CA-US List'!$A:$C,3,0)</f>
        <v>#N/A</v>
      </c>
      <c r="H274" t="s">
        <v>9</v>
      </c>
    </row>
    <row r="275" spans="1:8" x14ac:dyDescent="0.25">
      <c r="A275">
        <v>68710277</v>
      </c>
      <c r="B275">
        <v>1352</v>
      </c>
      <c r="C275">
        <v>2508</v>
      </c>
      <c r="D275" s="19">
        <v>46088</v>
      </c>
      <c r="E275" t="s">
        <v>940</v>
      </c>
      <c r="F275" t="s">
        <v>50</v>
      </c>
      <c r="G275" t="e">
        <f>VLOOKUP($A275,'CA-US List'!$A:$C,3,0)</f>
        <v>#N/A</v>
      </c>
      <c r="H275" t="s">
        <v>9</v>
      </c>
    </row>
    <row r="276" spans="1:8" x14ac:dyDescent="0.25">
      <c r="A276">
        <v>68710277</v>
      </c>
      <c r="B276">
        <v>1352</v>
      </c>
      <c r="C276">
        <v>3205</v>
      </c>
      <c r="D276" s="19">
        <v>46089</v>
      </c>
      <c r="E276" t="s">
        <v>940</v>
      </c>
      <c r="F276" t="s">
        <v>50</v>
      </c>
      <c r="G276" t="e">
        <f>VLOOKUP($A276,'CA-US List'!$A:$C,3,0)</f>
        <v>#N/A</v>
      </c>
      <c r="H276" t="s">
        <v>9</v>
      </c>
    </row>
    <row r="277" spans="1:8" x14ac:dyDescent="0.25">
      <c r="A277">
        <v>68710277</v>
      </c>
      <c r="B277">
        <v>1352</v>
      </c>
      <c r="C277">
        <v>2640</v>
      </c>
      <c r="D277" s="19">
        <v>46089</v>
      </c>
      <c r="E277" t="s">
        <v>940</v>
      </c>
      <c r="F277" t="s">
        <v>50</v>
      </c>
      <c r="G277" t="e">
        <f>VLOOKUP($A277,'CA-US List'!$A:$C,3,0)</f>
        <v>#N/A</v>
      </c>
      <c r="H277" t="s">
        <v>9</v>
      </c>
    </row>
    <row r="278" spans="1:8" x14ac:dyDescent="0.25">
      <c r="A278">
        <v>68710277</v>
      </c>
      <c r="B278">
        <v>1352</v>
      </c>
      <c r="C278">
        <v>3118</v>
      </c>
      <c r="D278" s="19">
        <v>46090</v>
      </c>
      <c r="E278" t="s">
        <v>940</v>
      </c>
      <c r="F278" t="s">
        <v>50</v>
      </c>
      <c r="G278" t="e">
        <f>VLOOKUP($A278,'CA-US List'!$A:$C,3,0)</f>
        <v>#N/A</v>
      </c>
      <c r="H278" t="s">
        <v>9</v>
      </c>
    </row>
    <row r="279" spans="1:8" x14ac:dyDescent="0.25">
      <c r="A279">
        <v>68710277</v>
      </c>
      <c r="B279">
        <v>1352</v>
      </c>
      <c r="C279">
        <v>2904</v>
      </c>
      <c r="D279" s="19">
        <v>46090</v>
      </c>
      <c r="E279" t="s">
        <v>940</v>
      </c>
      <c r="F279" t="s">
        <v>50</v>
      </c>
      <c r="G279" t="e">
        <f>VLOOKUP($A279,'CA-US List'!$A:$C,3,0)</f>
        <v>#N/A</v>
      </c>
      <c r="H279" t="s">
        <v>9</v>
      </c>
    </row>
    <row r="280" spans="1:8" x14ac:dyDescent="0.25">
      <c r="A280">
        <v>68710277</v>
      </c>
      <c r="B280">
        <v>1352</v>
      </c>
      <c r="C280">
        <v>1503</v>
      </c>
      <c r="D280" s="19">
        <v>46091</v>
      </c>
      <c r="E280" t="s">
        <v>940</v>
      </c>
      <c r="F280" t="s">
        <v>50</v>
      </c>
      <c r="G280" t="e">
        <f>VLOOKUP($A280,'CA-US List'!$A:$C,3,0)</f>
        <v>#N/A</v>
      </c>
      <c r="H280" t="s">
        <v>9</v>
      </c>
    </row>
    <row r="281" spans="1:8" x14ac:dyDescent="0.25">
      <c r="A281">
        <v>68710277</v>
      </c>
      <c r="B281">
        <v>1352</v>
      </c>
      <c r="C281">
        <v>2640</v>
      </c>
      <c r="D281" s="19">
        <v>46091</v>
      </c>
      <c r="E281" t="s">
        <v>940</v>
      </c>
      <c r="F281" t="s">
        <v>50</v>
      </c>
      <c r="G281" t="e">
        <f>VLOOKUP($A281,'CA-US List'!$A:$C,3,0)</f>
        <v>#N/A</v>
      </c>
      <c r="H281" t="s">
        <v>9</v>
      </c>
    </row>
    <row r="282" spans="1:8" x14ac:dyDescent="0.25">
      <c r="A282">
        <v>68710277</v>
      </c>
      <c r="B282">
        <v>1352</v>
      </c>
      <c r="C282">
        <v>3622</v>
      </c>
      <c r="D282" s="19">
        <v>46092</v>
      </c>
      <c r="E282" t="s">
        <v>940</v>
      </c>
      <c r="F282" t="s">
        <v>50</v>
      </c>
      <c r="G282" t="e">
        <f>VLOOKUP($A282,'CA-US List'!$A:$C,3,0)</f>
        <v>#N/A</v>
      </c>
      <c r="H282" t="s">
        <v>9</v>
      </c>
    </row>
    <row r="283" spans="1:8" x14ac:dyDescent="0.25">
      <c r="A283">
        <v>68710277</v>
      </c>
      <c r="B283">
        <v>1352</v>
      </c>
      <c r="C283">
        <v>2772</v>
      </c>
      <c r="D283" s="19">
        <v>46092</v>
      </c>
      <c r="E283" t="s">
        <v>940</v>
      </c>
      <c r="F283" t="s">
        <v>50</v>
      </c>
      <c r="G283" t="e">
        <f>VLOOKUP($A283,'CA-US List'!$A:$C,3,0)</f>
        <v>#N/A</v>
      </c>
      <c r="H283" t="s">
        <v>9</v>
      </c>
    </row>
    <row r="284" spans="1:8" x14ac:dyDescent="0.25">
      <c r="A284">
        <v>68710277</v>
      </c>
      <c r="B284">
        <v>1352</v>
      </c>
      <c r="C284">
        <v>3755</v>
      </c>
      <c r="D284" s="19">
        <v>46093</v>
      </c>
      <c r="E284" t="s">
        <v>940</v>
      </c>
      <c r="F284" t="s">
        <v>50</v>
      </c>
      <c r="G284" t="e">
        <f>VLOOKUP($A284,'CA-US List'!$A:$C,3,0)</f>
        <v>#N/A</v>
      </c>
      <c r="H284" t="s">
        <v>9</v>
      </c>
    </row>
    <row r="285" spans="1:8" x14ac:dyDescent="0.25">
      <c r="A285">
        <v>68710277</v>
      </c>
      <c r="B285">
        <v>1352</v>
      </c>
      <c r="C285">
        <v>2772</v>
      </c>
      <c r="D285" s="19">
        <v>46093</v>
      </c>
      <c r="E285" t="s">
        <v>940</v>
      </c>
      <c r="F285" t="s">
        <v>50</v>
      </c>
      <c r="G285" t="e">
        <f>VLOOKUP($A285,'CA-US List'!$A:$C,3,0)</f>
        <v>#N/A</v>
      </c>
      <c r="H285" t="s">
        <v>9</v>
      </c>
    </row>
    <row r="286" spans="1:8" x14ac:dyDescent="0.25">
      <c r="A286">
        <v>68710277</v>
      </c>
      <c r="B286">
        <v>1352</v>
      </c>
      <c r="C286">
        <v>2611</v>
      </c>
      <c r="D286" s="19">
        <v>46094</v>
      </c>
      <c r="E286" t="s">
        <v>940</v>
      </c>
      <c r="F286" t="s">
        <v>50</v>
      </c>
      <c r="G286" t="e">
        <f>VLOOKUP($A286,'CA-US List'!$A:$C,3,0)</f>
        <v>#N/A</v>
      </c>
      <c r="H286" t="s">
        <v>9</v>
      </c>
    </row>
    <row r="287" spans="1:8" x14ac:dyDescent="0.25">
      <c r="A287">
        <v>68710277</v>
      </c>
      <c r="B287">
        <v>1352</v>
      </c>
      <c r="C287">
        <v>1716</v>
      </c>
      <c r="D287" s="19">
        <v>46094</v>
      </c>
      <c r="E287" t="s">
        <v>940</v>
      </c>
      <c r="F287" t="s">
        <v>50</v>
      </c>
      <c r="G287" t="e">
        <f>VLOOKUP($A287,'CA-US List'!$A:$C,3,0)</f>
        <v>#N/A</v>
      </c>
      <c r="H287" t="s">
        <v>9</v>
      </c>
    </row>
    <row r="288" spans="1:8" x14ac:dyDescent="0.25">
      <c r="A288">
        <v>68710277</v>
      </c>
      <c r="B288">
        <v>1352</v>
      </c>
      <c r="C288">
        <v>2957</v>
      </c>
      <c r="D288" s="19">
        <v>46095</v>
      </c>
      <c r="E288" t="s">
        <v>940</v>
      </c>
      <c r="F288" t="s">
        <v>50</v>
      </c>
      <c r="G288" t="e">
        <f>VLOOKUP($A288,'CA-US List'!$A:$C,3,0)</f>
        <v>#N/A</v>
      </c>
      <c r="H288" t="s">
        <v>9</v>
      </c>
    </row>
    <row r="289" spans="1:8" x14ac:dyDescent="0.25">
      <c r="A289">
        <v>68710277</v>
      </c>
      <c r="B289">
        <v>1352</v>
      </c>
      <c r="C289">
        <v>2269</v>
      </c>
      <c r="D289" s="19">
        <v>46095</v>
      </c>
      <c r="E289" t="s">
        <v>940</v>
      </c>
      <c r="F289" t="s">
        <v>50</v>
      </c>
      <c r="G289" t="e">
        <f>VLOOKUP($A289,'CA-US List'!$A:$C,3,0)</f>
        <v>#N/A</v>
      </c>
      <c r="H289" t="s">
        <v>9</v>
      </c>
    </row>
    <row r="290" spans="1:8" x14ac:dyDescent="0.25">
      <c r="A290">
        <v>68710277</v>
      </c>
      <c r="B290">
        <v>1352</v>
      </c>
      <c r="C290">
        <v>3506</v>
      </c>
      <c r="D290" s="19">
        <v>46096</v>
      </c>
      <c r="E290" t="s">
        <v>940</v>
      </c>
      <c r="F290" t="s">
        <v>50</v>
      </c>
      <c r="G290" t="e">
        <f>VLOOKUP($A290,'CA-US List'!$A:$C,3,0)</f>
        <v>#N/A</v>
      </c>
      <c r="H290" t="s">
        <v>9</v>
      </c>
    </row>
    <row r="291" spans="1:8" x14ac:dyDescent="0.25">
      <c r="A291">
        <v>68710277</v>
      </c>
      <c r="B291">
        <v>1352</v>
      </c>
      <c r="C291">
        <v>2244</v>
      </c>
      <c r="D291" s="19">
        <v>46096</v>
      </c>
      <c r="E291" t="s">
        <v>940</v>
      </c>
      <c r="F291" t="s">
        <v>50</v>
      </c>
      <c r="G291" t="e">
        <f>VLOOKUP($A291,'CA-US List'!$A:$C,3,0)</f>
        <v>#N/A</v>
      </c>
      <c r="H291" t="s">
        <v>9</v>
      </c>
    </row>
    <row r="292" spans="1:8" x14ac:dyDescent="0.25">
      <c r="A292">
        <v>68710277</v>
      </c>
      <c r="B292">
        <v>1352</v>
      </c>
      <c r="C292">
        <v>2537</v>
      </c>
      <c r="D292" s="19">
        <v>46097</v>
      </c>
      <c r="E292" t="s">
        <v>940</v>
      </c>
      <c r="F292" t="s">
        <v>50</v>
      </c>
      <c r="G292" t="e">
        <f>VLOOKUP($A292,'CA-US List'!$A:$C,3,0)</f>
        <v>#N/A</v>
      </c>
      <c r="H292" t="s">
        <v>9</v>
      </c>
    </row>
    <row r="293" spans="1:8" x14ac:dyDescent="0.25">
      <c r="A293">
        <v>68710277</v>
      </c>
      <c r="B293">
        <v>1352</v>
      </c>
      <c r="C293">
        <v>1917</v>
      </c>
      <c r="D293" s="19">
        <v>46097</v>
      </c>
      <c r="E293" t="s">
        <v>940</v>
      </c>
      <c r="F293" t="s">
        <v>50</v>
      </c>
      <c r="G293" t="e">
        <f>VLOOKUP($A293,'CA-US List'!$A:$C,3,0)</f>
        <v>#N/A</v>
      </c>
      <c r="H293" t="s">
        <v>9</v>
      </c>
    </row>
    <row r="294" spans="1:8" x14ac:dyDescent="0.25">
      <c r="A294">
        <v>68710277</v>
      </c>
      <c r="B294">
        <v>1352</v>
      </c>
      <c r="C294">
        <v>7</v>
      </c>
      <c r="D294" s="19">
        <v>46098</v>
      </c>
      <c r="E294" t="s">
        <v>940</v>
      </c>
      <c r="F294" t="s">
        <v>50</v>
      </c>
      <c r="G294" t="e">
        <f>VLOOKUP($A294,'CA-US List'!$A:$C,3,0)</f>
        <v>#N/A</v>
      </c>
      <c r="H294" t="s">
        <v>9</v>
      </c>
    </row>
    <row r="295" spans="1:8" x14ac:dyDescent="0.25">
      <c r="A295">
        <v>68710285</v>
      </c>
      <c r="B295">
        <v>1352</v>
      </c>
      <c r="C295">
        <v>1584</v>
      </c>
      <c r="D295" s="19">
        <v>46091</v>
      </c>
      <c r="E295" t="s">
        <v>136</v>
      </c>
      <c r="F295" t="s">
        <v>15</v>
      </c>
      <c r="G295" t="e">
        <f>VLOOKUP($A295,'CA-US List'!$A:$C,3,0)</f>
        <v>#N/A</v>
      </c>
      <c r="H295" t="s">
        <v>9</v>
      </c>
    </row>
    <row r="296" spans="1:8" x14ac:dyDescent="0.25">
      <c r="A296">
        <v>68710285</v>
      </c>
      <c r="B296">
        <v>1352</v>
      </c>
      <c r="C296">
        <v>3307</v>
      </c>
      <c r="D296" s="19">
        <v>46092</v>
      </c>
      <c r="E296" t="s">
        <v>136</v>
      </c>
      <c r="F296" t="s">
        <v>15</v>
      </c>
      <c r="G296" t="e">
        <f>VLOOKUP($A296,'CA-US List'!$A:$C,3,0)</f>
        <v>#N/A</v>
      </c>
      <c r="H296" t="s">
        <v>9</v>
      </c>
    </row>
    <row r="297" spans="1:8" x14ac:dyDescent="0.25">
      <c r="A297">
        <v>68710285</v>
      </c>
      <c r="B297">
        <v>1352</v>
      </c>
      <c r="C297">
        <v>2376</v>
      </c>
      <c r="D297" s="19">
        <v>46092</v>
      </c>
      <c r="E297" t="s">
        <v>136</v>
      </c>
      <c r="F297" t="s">
        <v>15</v>
      </c>
      <c r="G297" t="e">
        <f>VLOOKUP($A297,'CA-US List'!$A:$C,3,0)</f>
        <v>#N/A</v>
      </c>
      <c r="H297" t="s">
        <v>9</v>
      </c>
    </row>
    <row r="298" spans="1:8" x14ac:dyDescent="0.25">
      <c r="A298">
        <v>68710285</v>
      </c>
      <c r="B298">
        <v>1352</v>
      </c>
      <c r="C298">
        <v>4124</v>
      </c>
      <c r="D298" s="19">
        <v>46093</v>
      </c>
      <c r="E298" t="s">
        <v>136</v>
      </c>
      <c r="F298" t="s">
        <v>15</v>
      </c>
      <c r="G298" t="e">
        <f>VLOOKUP($A298,'CA-US List'!$A:$C,3,0)</f>
        <v>#N/A</v>
      </c>
      <c r="H298" t="s">
        <v>9</v>
      </c>
    </row>
    <row r="299" spans="1:8" x14ac:dyDescent="0.25">
      <c r="A299">
        <v>68710285</v>
      </c>
      <c r="B299">
        <v>1352</v>
      </c>
      <c r="C299">
        <v>2376</v>
      </c>
      <c r="D299" s="19">
        <v>46093</v>
      </c>
      <c r="E299" t="s">
        <v>136</v>
      </c>
      <c r="F299" t="s">
        <v>15</v>
      </c>
      <c r="G299" t="e">
        <f>VLOOKUP($A299,'CA-US List'!$A:$C,3,0)</f>
        <v>#N/A</v>
      </c>
      <c r="H299" t="s">
        <v>9</v>
      </c>
    </row>
    <row r="300" spans="1:8" x14ac:dyDescent="0.25">
      <c r="A300">
        <v>68710285</v>
      </c>
      <c r="B300">
        <v>1352</v>
      </c>
      <c r="C300">
        <v>3270</v>
      </c>
      <c r="D300" s="19">
        <v>46094</v>
      </c>
      <c r="E300" t="s">
        <v>136</v>
      </c>
      <c r="F300" t="s">
        <v>15</v>
      </c>
      <c r="G300" t="e">
        <f>VLOOKUP($A300,'CA-US List'!$A:$C,3,0)</f>
        <v>#N/A</v>
      </c>
      <c r="H300" t="s">
        <v>9</v>
      </c>
    </row>
    <row r="301" spans="1:8" x14ac:dyDescent="0.25">
      <c r="A301">
        <v>68710285</v>
      </c>
      <c r="B301">
        <v>1352</v>
      </c>
      <c r="C301">
        <v>1716</v>
      </c>
      <c r="D301" s="19">
        <v>46094</v>
      </c>
      <c r="E301" t="s">
        <v>136</v>
      </c>
      <c r="F301" t="s">
        <v>15</v>
      </c>
      <c r="G301" t="e">
        <f>VLOOKUP($A301,'CA-US List'!$A:$C,3,0)</f>
        <v>#N/A</v>
      </c>
      <c r="H301" t="s">
        <v>9</v>
      </c>
    </row>
    <row r="302" spans="1:8" x14ac:dyDescent="0.25">
      <c r="A302">
        <v>68710285</v>
      </c>
      <c r="B302">
        <v>1352</v>
      </c>
      <c r="C302">
        <v>2772</v>
      </c>
      <c r="D302" s="19">
        <v>46095</v>
      </c>
      <c r="E302" t="s">
        <v>136</v>
      </c>
      <c r="F302" t="s">
        <v>15</v>
      </c>
      <c r="G302" t="e">
        <f>VLOOKUP($A302,'CA-US List'!$A:$C,3,0)</f>
        <v>#N/A</v>
      </c>
      <c r="H302" t="s">
        <v>9</v>
      </c>
    </row>
    <row r="303" spans="1:8" x14ac:dyDescent="0.25">
      <c r="A303">
        <v>68710285</v>
      </c>
      <c r="B303">
        <v>1352</v>
      </c>
      <c r="C303">
        <v>3878</v>
      </c>
      <c r="D303" s="19">
        <v>46096</v>
      </c>
      <c r="E303" t="s">
        <v>136</v>
      </c>
      <c r="F303" t="s">
        <v>15</v>
      </c>
      <c r="G303" t="e">
        <f>VLOOKUP($A303,'CA-US List'!$A:$C,3,0)</f>
        <v>#N/A</v>
      </c>
      <c r="H303" t="s">
        <v>9</v>
      </c>
    </row>
    <row r="304" spans="1:8" x14ac:dyDescent="0.25">
      <c r="A304">
        <v>68710285</v>
      </c>
      <c r="B304">
        <v>1352</v>
      </c>
      <c r="C304">
        <v>3036</v>
      </c>
      <c r="D304" s="19">
        <v>46096</v>
      </c>
      <c r="E304" t="s">
        <v>136</v>
      </c>
      <c r="F304" t="s">
        <v>15</v>
      </c>
      <c r="G304" t="e">
        <f>VLOOKUP($A304,'CA-US List'!$A:$C,3,0)</f>
        <v>#N/A</v>
      </c>
      <c r="H304" t="s">
        <v>9</v>
      </c>
    </row>
    <row r="305" spans="1:8" x14ac:dyDescent="0.25">
      <c r="A305">
        <v>68710285</v>
      </c>
      <c r="B305">
        <v>1352</v>
      </c>
      <c r="C305">
        <v>4653</v>
      </c>
      <c r="D305" s="19">
        <v>46097</v>
      </c>
      <c r="E305" t="s">
        <v>136</v>
      </c>
      <c r="F305" t="s">
        <v>15</v>
      </c>
      <c r="G305" t="e">
        <f>VLOOKUP($A305,'CA-US List'!$A:$C,3,0)</f>
        <v>#N/A</v>
      </c>
      <c r="H305" t="s">
        <v>9</v>
      </c>
    </row>
    <row r="306" spans="1:8" x14ac:dyDescent="0.25">
      <c r="A306">
        <v>68710285</v>
      </c>
      <c r="B306">
        <v>1352</v>
      </c>
      <c r="C306">
        <v>132</v>
      </c>
      <c r="D306" s="19">
        <v>46098</v>
      </c>
      <c r="E306" t="s">
        <v>136</v>
      </c>
      <c r="F306" t="s">
        <v>15</v>
      </c>
      <c r="G306" t="e">
        <f>VLOOKUP($A306,'CA-US List'!$A:$C,3,0)</f>
        <v>#N/A</v>
      </c>
      <c r="H306" t="s">
        <v>9</v>
      </c>
    </row>
    <row r="307" spans="1:8" x14ac:dyDescent="0.25">
      <c r="A307">
        <v>68710285</v>
      </c>
      <c r="B307">
        <v>1352</v>
      </c>
      <c r="C307">
        <v>74</v>
      </c>
      <c r="D307" s="19">
        <v>46094</v>
      </c>
      <c r="E307" t="s">
        <v>136</v>
      </c>
      <c r="F307" t="s">
        <v>15</v>
      </c>
      <c r="G307" t="e">
        <f>VLOOKUP($A307,'CA-US List'!$A:$C,3,0)</f>
        <v>#N/A</v>
      </c>
      <c r="H307" t="s">
        <v>9</v>
      </c>
    </row>
    <row r="308" spans="1:8" x14ac:dyDescent="0.25">
      <c r="A308">
        <v>68710285</v>
      </c>
      <c r="B308">
        <v>1352</v>
      </c>
      <c r="C308">
        <v>3093</v>
      </c>
      <c r="D308" s="19">
        <v>46095</v>
      </c>
      <c r="E308" t="s">
        <v>136</v>
      </c>
      <c r="F308" t="s">
        <v>15</v>
      </c>
      <c r="G308" t="e">
        <f>VLOOKUP($A308,'CA-US List'!$A:$C,3,0)</f>
        <v>#N/A</v>
      </c>
      <c r="H308" t="s">
        <v>9</v>
      </c>
    </row>
    <row r="309" spans="1:8" x14ac:dyDescent="0.25">
      <c r="A309">
        <v>68737750</v>
      </c>
      <c r="B309">
        <v>1352</v>
      </c>
      <c r="C309">
        <v>8463</v>
      </c>
      <c r="D309" s="19">
        <v>46089</v>
      </c>
      <c r="E309" t="s">
        <v>34</v>
      </c>
      <c r="F309" t="s">
        <v>35</v>
      </c>
      <c r="G309" t="e">
        <f>VLOOKUP($A309,'CA-US List'!$A:$C,3,0)</f>
        <v>#N/A</v>
      </c>
      <c r="H309" t="s">
        <v>9</v>
      </c>
    </row>
    <row r="310" spans="1:8" x14ac:dyDescent="0.25">
      <c r="A310">
        <v>68737750</v>
      </c>
      <c r="B310">
        <v>1352</v>
      </c>
      <c r="C310">
        <v>5104</v>
      </c>
      <c r="D310" s="19">
        <v>46089</v>
      </c>
      <c r="E310" t="s">
        <v>34</v>
      </c>
      <c r="F310" t="s">
        <v>35</v>
      </c>
      <c r="G310" t="e">
        <f>VLOOKUP($A310,'CA-US List'!$A:$C,3,0)</f>
        <v>#N/A</v>
      </c>
      <c r="H310" t="s">
        <v>9</v>
      </c>
    </row>
    <row r="311" spans="1:8" x14ac:dyDescent="0.25">
      <c r="A311">
        <v>68737750</v>
      </c>
      <c r="B311">
        <v>1352</v>
      </c>
      <c r="C311">
        <v>9413</v>
      </c>
      <c r="D311" s="19">
        <v>46090</v>
      </c>
      <c r="E311" t="s">
        <v>34</v>
      </c>
      <c r="F311" t="s">
        <v>35</v>
      </c>
      <c r="G311" t="e">
        <f>VLOOKUP($A311,'CA-US List'!$A:$C,3,0)</f>
        <v>#N/A</v>
      </c>
      <c r="H311" t="s">
        <v>9</v>
      </c>
    </row>
    <row r="312" spans="1:8" x14ac:dyDescent="0.25">
      <c r="A312">
        <v>68737750</v>
      </c>
      <c r="B312">
        <v>1352</v>
      </c>
      <c r="C312">
        <v>5702</v>
      </c>
      <c r="D312" s="19">
        <v>46090</v>
      </c>
      <c r="E312" t="s">
        <v>34</v>
      </c>
      <c r="F312" t="s">
        <v>35</v>
      </c>
      <c r="G312" t="e">
        <f>VLOOKUP($A312,'CA-US List'!$A:$C,3,0)</f>
        <v>#N/A</v>
      </c>
      <c r="H312" t="s">
        <v>9</v>
      </c>
    </row>
    <row r="313" spans="1:8" x14ac:dyDescent="0.25">
      <c r="A313">
        <v>68737750</v>
      </c>
      <c r="B313">
        <v>1352</v>
      </c>
      <c r="C313">
        <v>8569</v>
      </c>
      <c r="D313" s="19">
        <v>46091</v>
      </c>
      <c r="E313" t="s">
        <v>34</v>
      </c>
      <c r="F313" t="s">
        <v>35</v>
      </c>
      <c r="G313" t="e">
        <f>VLOOKUP($A313,'CA-US List'!$A:$C,3,0)</f>
        <v>#N/A</v>
      </c>
      <c r="H313" t="s">
        <v>9</v>
      </c>
    </row>
    <row r="314" spans="1:8" x14ac:dyDescent="0.25">
      <c r="A314">
        <v>68737750</v>
      </c>
      <c r="B314">
        <v>1352</v>
      </c>
      <c r="C314">
        <v>176</v>
      </c>
      <c r="D314" s="19">
        <v>46092</v>
      </c>
      <c r="E314" t="s">
        <v>34</v>
      </c>
      <c r="F314" t="s">
        <v>35</v>
      </c>
      <c r="G314" t="e">
        <f>VLOOKUP($A314,'CA-US List'!$A:$C,3,0)</f>
        <v>#N/A</v>
      </c>
      <c r="H314" t="s">
        <v>9</v>
      </c>
    </row>
    <row r="315" spans="1:8" x14ac:dyDescent="0.25">
      <c r="A315">
        <v>68737750</v>
      </c>
      <c r="B315">
        <v>1352</v>
      </c>
      <c r="C315">
        <v>6225</v>
      </c>
      <c r="D315" s="19">
        <v>46091</v>
      </c>
      <c r="E315" t="s">
        <v>34</v>
      </c>
      <c r="F315" t="s">
        <v>35</v>
      </c>
      <c r="G315" t="e">
        <f>VLOOKUP($A315,'CA-US List'!$A:$C,3,0)</f>
        <v>#N/A</v>
      </c>
      <c r="H315" t="s">
        <v>9</v>
      </c>
    </row>
    <row r="316" spans="1:8" x14ac:dyDescent="0.25">
      <c r="A316">
        <v>68737750</v>
      </c>
      <c r="B316">
        <v>1352</v>
      </c>
      <c r="C316">
        <v>9622</v>
      </c>
      <c r="D316" s="19">
        <v>46092</v>
      </c>
      <c r="E316" t="s">
        <v>34</v>
      </c>
      <c r="F316" t="s">
        <v>35</v>
      </c>
      <c r="G316" t="e">
        <f>VLOOKUP($A316,'CA-US List'!$A:$C,3,0)</f>
        <v>#N/A</v>
      </c>
      <c r="H316" t="s">
        <v>9</v>
      </c>
    </row>
    <row r="317" spans="1:8" x14ac:dyDescent="0.25">
      <c r="A317">
        <v>68737750</v>
      </c>
      <c r="B317">
        <v>1352</v>
      </c>
      <c r="C317">
        <v>1417</v>
      </c>
      <c r="D317" s="19">
        <v>46092</v>
      </c>
      <c r="E317" t="s">
        <v>34</v>
      </c>
      <c r="F317" t="s">
        <v>35</v>
      </c>
      <c r="G317" t="e">
        <f>VLOOKUP($A317,'CA-US List'!$A:$C,3,0)</f>
        <v>#N/A</v>
      </c>
      <c r="H317" t="s">
        <v>9</v>
      </c>
    </row>
    <row r="318" spans="1:8" x14ac:dyDescent="0.25">
      <c r="A318">
        <v>68737750</v>
      </c>
      <c r="B318">
        <v>1352</v>
      </c>
      <c r="C318">
        <v>6160</v>
      </c>
      <c r="D318" s="19">
        <v>46093</v>
      </c>
      <c r="E318" t="s">
        <v>34</v>
      </c>
      <c r="F318" t="s">
        <v>35</v>
      </c>
      <c r="G318" t="e">
        <f>VLOOKUP($A318,'CA-US List'!$A:$C,3,0)</f>
        <v>#N/A</v>
      </c>
      <c r="H318" t="s">
        <v>9</v>
      </c>
    </row>
    <row r="319" spans="1:8" x14ac:dyDescent="0.25">
      <c r="A319">
        <v>68737750</v>
      </c>
      <c r="B319">
        <v>1352</v>
      </c>
      <c r="C319">
        <v>9906</v>
      </c>
      <c r="D319" s="19">
        <v>46094</v>
      </c>
      <c r="E319" t="s">
        <v>34</v>
      </c>
      <c r="F319" t="s">
        <v>35</v>
      </c>
      <c r="G319" t="e">
        <f>VLOOKUP($A319,'CA-US List'!$A:$C,3,0)</f>
        <v>#N/A</v>
      </c>
      <c r="H319" t="s">
        <v>9</v>
      </c>
    </row>
    <row r="320" spans="1:8" x14ac:dyDescent="0.25">
      <c r="A320">
        <v>68737750</v>
      </c>
      <c r="B320">
        <v>1352</v>
      </c>
      <c r="C320">
        <v>5335</v>
      </c>
      <c r="D320" s="19">
        <v>46094</v>
      </c>
      <c r="E320" t="s">
        <v>34</v>
      </c>
      <c r="F320" t="s">
        <v>35</v>
      </c>
      <c r="G320" t="e">
        <f>VLOOKUP($A320,'CA-US List'!$A:$C,3,0)</f>
        <v>#N/A</v>
      </c>
      <c r="H320" t="s">
        <v>9</v>
      </c>
    </row>
    <row r="321" spans="1:8" x14ac:dyDescent="0.25">
      <c r="A321">
        <v>68737750</v>
      </c>
      <c r="B321">
        <v>1352</v>
      </c>
      <c r="C321">
        <v>9593</v>
      </c>
      <c r="D321" s="19">
        <v>46095</v>
      </c>
      <c r="E321" t="s">
        <v>34</v>
      </c>
      <c r="F321" t="s">
        <v>35</v>
      </c>
      <c r="G321" t="e">
        <f>VLOOKUP($A321,'CA-US List'!$A:$C,3,0)</f>
        <v>#N/A</v>
      </c>
      <c r="H321" t="s">
        <v>9</v>
      </c>
    </row>
    <row r="322" spans="1:8" x14ac:dyDescent="0.25">
      <c r="A322">
        <v>68737750</v>
      </c>
      <c r="B322">
        <v>1352</v>
      </c>
      <c r="C322">
        <v>5175</v>
      </c>
      <c r="D322" s="19">
        <v>46095</v>
      </c>
      <c r="E322" t="s">
        <v>34</v>
      </c>
      <c r="F322" t="s">
        <v>35</v>
      </c>
      <c r="G322" t="e">
        <f>VLOOKUP($A322,'CA-US List'!$A:$C,3,0)</f>
        <v>#N/A</v>
      </c>
      <c r="H322" t="s">
        <v>9</v>
      </c>
    </row>
    <row r="323" spans="1:8" x14ac:dyDescent="0.25">
      <c r="A323">
        <v>68737750</v>
      </c>
      <c r="B323">
        <v>1352</v>
      </c>
      <c r="C323">
        <v>3696</v>
      </c>
      <c r="D323" s="19">
        <v>46093</v>
      </c>
      <c r="E323" t="s">
        <v>34</v>
      </c>
      <c r="F323" t="s">
        <v>35</v>
      </c>
      <c r="G323" t="e">
        <f>VLOOKUP($A323,'CA-US List'!$A:$C,3,0)</f>
        <v>#N/A</v>
      </c>
      <c r="H323" t="s">
        <v>9</v>
      </c>
    </row>
    <row r="324" spans="1:8" x14ac:dyDescent="0.25">
      <c r="A324">
        <v>68741714</v>
      </c>
      <c r="B324">
        <v>1352</v>
      </c>
      <c r="C324">
        <v>1575</v>
      </c>
      <c r="D324" s="19">
        <v>46097</v>
      </c>
      <c r="E324" t="s">
        <v>47</v>
      </c>
      <c r="F324" t="s">
        <v>48</v>
      </c>
      <c r="G324" t="e">
        <f>VLOOKUP($A324,'CA-US List'!$A:$C,3,0)</f>
        <v>#N/A</v>
      </c>
      <c r="H324" t="s">
        <v>9</v>
      </c>
    </row>
    <row r="325" spans="1:8" x14ac:dyDescent="0.25">
      <c r="A325">
        <v>68741714</v>
      </c>
      <c r="B325">
        <v>1352</v>
      </c>
      <c r="C325">
        <v>3307</v>
      </c>
      <c r="D325" s="19">
        <v>46098</v>
      </c>
      <c r="E325" t="s">
        <v>47</v>
      </c>
      <c r="F325" t="s">
        <v>48</v>
      </c>
      <c r="G325" t="e">
        <f>VLOOKUP($A325,'CA-US List'!$A:$C,3,0)</f>
        <v>#N/A</v>
      </c>
      <c r="H325" t="s">
        <v>9</v>
      </c>
    </row>
    <row r="326" spans="1:8" x14ac:dyDescent="0.25">
      <c r="A326">
        <v>68741714</v>
      </c>
      <c r="B326">
        <v>1352</v>
      </c>
      <c r="C326">
        <v>2949</v>
      </c>
      <c r="D326" s="19">
        <v>46098</v>
      </c>
      <c r="E326" t="s">
        <v>47</v>
      </c>
      <c r="F326" t="s">
        <v>48</v>
      </c>
      <c r="G326" t="e">
        <f>VLOOKUP($A326,'CA-US List'!$A:$C,3,0)</f>
        <v>#N/A</v>
      </c>
      <c r="H326" t="s">
        <v>9</v>
      </c>
    </row>
    <row r="327" spans="1:8" x14ac:dyDescent="0.25">
      <c r="A327">
        <v>68741714</v>
      </c>
      <c r="B327">
        <v>1352</v>
      </c>
      <c r="C327">
        <v>4949</v>
      </c>
      <c r="D327" s="19">
        <v>46099</v>
      </c>
      <c r="E327" t="s">
        <v>47</v>
      </c>
      <c r="F327" t="s">
        <v>48</v>
      </c>
      <c r="G327" t="e">
        <f>VLOOKUP($A327,'CA-US List'!$A:$C,3,0)</f>
        <v>#N/A</v>
      </c>
      <c r="H327" t="s">
        <v>9</v>
      </c>
    </row>
    <row r="328" spans="1:8" x14ac:dyDescent="0.25">
      <c r="A328">
        <v>68741714</v>
      </c>
      <c r="B328">
        <v>1352</v>
      </c>
      <c r="C328">
        <v>3375</v>
      </c>
      <c r="D328" s="19">
        <v>46099</v>
      </c>
      <c r="E328" t="s">
        <v>47</v>
      </c>
      <c r="F328" t="s">
        <v>48</v>
      </c>
      <c r="G328" t="e">
        <f>VLOOKUP($A328,'CA-US List'!$A:$C,3,0)</f>
        <v>#N/A</v>
      </c>
      <c r="H328" t="s">
        <v>9</v>
      </c>
    </row>
    <row r="329" spans="1:8" x14ac:dyDescent="0.25">
      <c r="A329">
        <v>68741714</v>
      </c>
      <c r="B329">
        <v>1352</v>
      </c>
      <c r="C329">
        <v>4097</v>
      </c>
      <c r="D329" s="19">
        <v>46100</v>
      </c>
      <c r="E329" t="s">
        <v>47</v>
      </c>
      <c r="F329" t="s">
        <v>48</v>
      </c>
      <c r="G329" t="e">
        <f>VLOOKUP($A329,'CA-US List'!$A:$C,3,0)</f>
        <v>#N/A</v>
      </c>
      <c r="H329" t="s">
        <v>9</v>
      </c>
    </row>
    <row r="330" spans="1:8" x14ac:dyDescent="0.25">
      <c r="A330">
        <v>68741714</v>
      </c>
      <c r="B330">
        <v>1352</v>
      </c>
      <c r="C330">
        <v>3375</v>
      </c>
      <c r="D330" s="19">
        <v>46100</v>
      </c>
      <c r="E330" t="s">
        <v>47</v>
      </c>
      <c r="F330" t="s">
        <v>48</v>
      </c>
      <c r="G330" t="e">
        <f>VLOOKUP($A330,'CA-US List'!$A:$C,3,0)</f>
        <v>#N/A</v>
      </c>
      <c r="H330" t="s">
        <v>9</v>
      </c>
    </row>
    <row r="331" spans="1:8" x14ac:dyDescent="0.25">
      <c r="A331">
        <v>68741714</v>
      </c>
      <c r="B331">
        <v>1352</v>
      </c>
      <c r="C331">
        <v>4488</v>
      </c>
      <c r="D331" s="19">
        <v>46101</v>
      </c>
      <c r="E331" t="s">
        <v>47</v>
      </c>
      <c r="F331" t="s">
        <v>48</v>
      </c>
      <c r="G331" t="e">
        <f>VLOOKUP($A331,'CA-US List'!$A:$C,3,0)</f>
        <v>#N/A</v>
      </c>
      <c r="H331" t="s">
        <v>9</v>
      </c>
    </row>
    <row r="332" spans="1:8" x14ac:dyDescent="0.25">
      <c r="A332">
        <v>68741714</v>
      </c>
      <c r="B332">
        <v>1352</v>
      </c>
      <c r="C332">
        <v>3600</v>
      </c>
      <c r="D332" s="19">
        <v>46101</v>
      </c>
      <c r="E332" t="s">
        <v>47</v>
      </c>
      <c r="F332" t="s">
        <v>48</v>
      </c>
      <c r="G332" t="e">
        <f>VLOOKUP($A332,'CA-US List'!$A:$C,3,0)</f>
        <v>#N/A</v>
      </c>
      <c r="H332" t="s">
        <v>9</v>
      </c>
    </row>
    <row r="333" spans="1:8" x14ac:dyDescent="0.25">
      <c r="A333">
        <v>68741714</v>
      </c>
      <c r="B333">
        <v>1352</v>
      </c>
      <c r="C333">
        <v>223</v>
      </c>
      <c r="D333" s="19">
        <v>46102</v>
      </c>
      <c r="E333" t="s">
        <v>47</v>
      </c>
      <c r="F333" t="s">
        <v>48</v>
      </c>
      <c r="G333" t="e">
        <f>VLOOKUP($A333,'CA-US List'!$A:$C,3,0)</f>
        <v>#N/A</v>
      </c>
      <c r="H333" t="s">
        <v>9</v>
      </c>
    </row>
    <row r="334" spans="1:8" x14ac:dyDescent="0.25">
      <c r="A334">
        <v>68741714</v>
      </c>
      <c r="B334">
        <v>1352</v>
      </c>
      <c r="C334">
        <v>1349</v>
      </c>
      <c r="D334" s="19">
        <v>46090</v>
      </c>
      <c r="E334" t="s">
        <v>47</v>
      </c>
      <c r="F334" t="s">
        <v>48</v>
      </c>
      <c r="G334" t="e">
        <f>VLOOKUP($A334,'CA-US List'!$A:$C,3,0)</f>
        <v>#N/A</v>
      </c>
      <c r="H334" t="s">
        <v>9</v>
      </c>
    </row>
    <row r="335" spans="1:8" x14ac:dyDescent="0.25">
      <c r="A335">
        <v>68741714</v>
      </c>
      <c r="B335">
        <v>1352</v>
      </c>
      <c r="C335">
        <v>4419</v>
      </c>
      <c r="D335" s="19">
        <v>46091</v>
      </c>
      <c r="E335" t="s">
        <v>47</v>
      </c>
      <c r="F335" t="s">
        <v>48</v>
      </c>
      <c r="G335" t="e">
        <f>VLOOKUP($A335,'CA-US List'!$A:$C,3,0)</f>
        <v>#N/A</v>
      </c>
      <c r="H335" t="s">
        <v>9</v>
      </c>
    </row>
    <row r="336" spans="1:8" x14ac:dyDescent="0.25">
      <c r="A336">
        <v>68741714</v>
      </c>
      <c r="B336">
        <v>1352</v>
      </c>
      <c r="C336">
        <v>2250</v>
      </c>
      <c r="D336" s="19">
        <v>46091</v>
      </c>
      <c r="E336" t="s">
        <v>47</v>
      </c>
      <c r="F336" t="s">
        <v>48</v>
      </c>
      <c r="G336" t="e">
        <f>VLOOKUP($A336,'CA-US List'!$A:$C,3,0)</f>
        <v>#N/A</v>
      </c>
      <c r="H336" t="s">
        <v>9</v>
      </c>
    </row>
    <row r="337" spans="1:8" x14ac:dyDescent="0.25">
      <c r="A337">
        <v>68741714</v>
      </c>
      <c r="B337">
        <v>1352</v>
      </c>
      <c r="C337">
        <v>4449</v>
      </c>
      <c r="D337" s="19">
        <v>46092</v>
      </c>
      <c r="E337" t="s">
        <v>47</v>
      </c>
      <c r="F337" t="s">
        <v>48</v>
      </c>
      <c r="G337" t="e">
        <f>VLOOKUP($A337,'CA-US List'!$A:$C,3,0)</f>
        <v>#N/A</v>
      </c>
      <c r="H337" t="s">
        <v>9</v>
      </c>
    </row>
    <row r="338" spans="1:8" x14ac:dyDescent="0.25">
      <c r="A338">
        <v>68741714</v>
      </c>
      <c r="B338">
        <v>1352</v>
      </c>
      <c r="C338">
        <v>2475</v>
      </c>
      <c r="D338" s="19">
        <v>46092</v>
      </c>
      <c r="E338" t="s">
        <v>47</v>
      </c>
      <c r="F338" t="s">
        <v>48</v>
      </c>
      <c r="G338" t="e">
        <f>VLOOKUP($A338,'CA-US List'!$A:$C,3,0)</f>
        <v>#N/A</v>
      </c>
      <c r="H338" t="s">
        <v>9</v>
      </c>
    </row>
    <row r="339" spans="1:8" x14ac:dyDescent="0.25">
      <c r="A339">
        <v>68741714</v>
      </c>
      <c r="B339">
        <v>1352</v>
      </c>
      <c r="C339">
        <v>4786</v>
      </c>
      <c r="D339" s="19">
        <v>46093</v>
      </c>
      <c r="E339" t="s">
        <v>47</v>
      </c>
      <c r="F339" t="s">
        <v>48</v>
      </c>
      <c r="G339" t="e">
        <f>VLOOKUP($A339,'CA-US List'!$A:$C,3,0)</f>
        <v>#N/A</v>
      </c>
      <c r="H339" t="s">
        <v>9</v>
      </c>
    </row>
    <row r="340" spans="1:8" x14ac:dyDescent="0.25">
      <c r="A340">
        <v>68741714</v>
      </c>
      <c r="B340">
        <v>1352</v>
      </c>
      <c r="C340">
        <v>3600</v>
      </c>
      <c r="D340" s="19">
        <v>46093</v>
      </c>
      <c r="E340" t="s">
        <v>47</v>
      </c>
      <c r="F340" t="s">
        <v>48</v>
      </c>
      <c r="G340" t="e">
        <f>VLOOKUP($A340,'CA-US List'!$A:$C,3,0)</f>
        <v>#N/A</v>
      </c>
      <c r="H340" t="s">
        <v>9</v>
      </c>
    </row>
    <row r="341" spans="1:8" x14ac:dyDescent="0.25">
      <c r="A341">
        <v>68741714</v>
      </c>
      <c r="B341">
        <v>1352</v>
      </c>
      <c r="C341">
        <v>4681</v>
      </c>
      <c r="D341" s="19">
        <v>46094</v>
      </c>
      <c r="E341" t="s">
        <v>47</v>
      </c>
      <c r="F341" t="s">
        <v>48</v>
      </c>
      <c r="G341" t="e">
        <f>VLOOKUP($A341,'CA-US List'!$A:$C,3,0)</f>
        <v>#N/A</v>
      </c>
      <c r="H341" t="s">
        <v>9</v>
      </c>
    </row>
    <row r="342" spans="1:8" x14ac:dyDescent="0.25">
      <c r="A342">
        <v>68741714</v>
      </c>
      <c r="B342">
        <v>1352</v>
      </c>
      <c r="C342">
        <v>3825</v>
      </c>
      <c r="D342" s="19">
        <v>46094</v>
      </c>
      <c r="E342" t="s">
        <v>47</v>
      </c>
      <c r="F342" t="s">
        <v>48</v>
      </c>
      <c r="G342" t="e">
        <f>VLOOKUP($A342,'CA-US List'!$A:$C,3,0)</f>
        <v>#N/A</v>
      </c>
      <c r="H342" t="s">
        <v>9</v>
      </c>
    </row>
    <row r="343" spans="1:8" x14ac:dyDescent="0.25">
      <c r="A343">
        <v>68741714</v>
      </c>
      <c r="B343">
        <v>1352</v>
      </c>
      <c r="C343">
        <v>1994</v>
      </c>
      <c r="D343" s="19">
        <v>46095</v>
      </c>
      <c r="E343" t="s">
        <v>47</v>
      </c>
      <c r="F343" t="s">
        <v>48</v>
      </c>
      <c r="G343" t="e">
        <f>VLOOKUP($A343,'CA-US List'!$A:$C,3,0)</f>
        <v>#N/A</v>
      </c>
      <c r="H343" t="s">
        <v>9</v>
      </c>
    </row>
    <row r="344" spans="1:8" x14ac:dyDescent="0.25">
      <c r="A344">
        <v>68741742</v>
      </c>
      <c r="B344">
        <v>1352</v>
      </c>
      <c r="C344">
        <v>0</v>
      </c>
      <c r="D344" s="19">
        <v>46079</v>
      </c>
      <c r="E344" t="s">
        <v>40</v>
      </c>
      <c r="F344" t="s">
        <v>41</v>
      </c>
      <c r="G344" t="e">
        <f>VLOOKUP($A344,'CA-US List'!$A:$C,3,0)</f>
        <v>#N/A</v>
      </c>
      <c r="H344" t="s">
        <v>9</v>
      </c>
    </row>
    <row r="345" spans="1:8" x14ac:dyDescent="0.25">
      <c r="A345">
        <v>68741742</v>
      </c>
      <c r="B345">
        <v>1352</v>
      </c>
      <c r="C345">
        <v>1386</v>
      </c>
      <c r="D345" s="19">
        <v>46084</v>
      </c>
      <c r="E345" t="s">
        <v>40</v>
      </c>
      <c r="F345" t="s">
        <v>41</v>
      </c>
      <c r="G345" t="e">
        <f>VLOOKUP($A345,'CA-US List'!$A:$C,3,0)</f>
        <v>#N/A</v>
      </c>
      <c r="H345" t="s">
        <v>9</v>
      </c>
    </row>
    <row r="346" spans="1:8" x14ac:dyDescent="0.25">
      <c r="A346">
        <v>68741742</v>
      </c>
      <c r="B346">
        <v>1352</v>
      </c>
      <c r="C346">
        <v>3348</v>
      </c>
      <c r="D346" s="19">
        <v>46085</v>
      </c>
      <c r="E346" t="s">
        <v>40</v>
      </c>
      <c r="F346" t="s">
        <v>41</v>
      </c>
      <c r="G346" t="e">
        <f>VLOOKUP($A346,'CA-US List'!$A:$C,3,0)</f>
        <v>#N/A</v>
      </c>
      <c r="H346" t="s">
        <v>9</v>
      </c>
    </row>
    <row r="347" spans="1:8" x14ac:dyDescent="0.25">
      <c r="A347">
        <v>68741742</v>
      </c>
      <c r="B347">
        <v>1352</v>
      </c>
      <c r="C347">
        <v>1540</v>
      </c>
      <c r="D347" s="19">
        <v>46085</v>
      </c>
      <c r="E347" t="s">
        <v>40</v>
      </c>
      <c r="F347" t="s">
        <v>41</v>
      </c>
      <c r="G347" t="e">
        <f>VLOOKUP($A347,'CA-US List'!$A:$C,3,0)</f>
        <v>#N/A</v>
      </c>
      <c r="H347" t="s">
        <v>9</v>
      </c>
    </row>
    <row r="348" spans="1:8" x14ac:dyDescent="0.25">
      <c r="A348">
        <v>68741742</v>
      </c>
      <c r="B348">
        <v>1352</v>
      </c>
      <c r="C348">
        <v>4107</v>
      </c>
      <c r="D348" s="19">
        <v>46086</v>
      </c>
      <c r="E348" t="s">
        <v>40</v>
      </c>
      <c r="F348" t="s">
        <v>41</v>
      </c>
      <c r="G348" t="e">
        <f>VLOOKUP($A348,'CA-US List'!$A:$C,3,0)</f>
        <v>#N/A</v>
      </c>
      <c r="H348" t="s">
        <v>9</v>
      </c>
    </row>
    <row r="349" spans="1:8" x14ac:dyDescent="0.25">
      <c r="A349">
        <v>68741742</v>
      </c>
      <c r="B349">
        <v>1352</v>
      </c>
      <c r="C349">
        <v>154</v>
      </c>
      <c r="D349" s="19">
        <v>46093</v>
      </c>
      <c r="E349" t="s">
        <v>40</v>
      </c>
      <c r="F349" t="s">
        <v>41</v>
      </c>
      <c r="G349" t="e">
        <f>VLOOKUP($A349,'CA-US List'!$A:$C,3,0)</f>
        <v>#N/A</v>
      </c>
      <c r="H349" t="s">
        <v>9</v>
      </c>
    </row>
    <row r="350" spans="1:8" x14ac:dyDescent="0.25">
      <c r="A350">
        <v>68741742</v>
      </c>
      <c r="B350">
        <v>1352</v>
      </c>
      <c r="C350">
        <v>2772</v>
      </c>
      <c r="D350" s="19">
        <v>46086</v>
      </c>
      <c r="E350" t="s">
        <v>40</v>
      </c>
      <c r="F350" t="s">
        <v>41</v>
      </c>
      <c r="G350" t="e">
        <f>VLOOKUP($A350,'CA-US List'!$A:$C,3,0)</f>
        <v>#N/A</v>
      </c>
      <c r="H350" t="s">
        <v>9</v>
      </c>
    </row>
    <row r="351" spans="1:8" x14ac:dyDescent="0.25">
      <c r="A351">
        <v>68741742</v>
      </c>
      <c r="B351">
        <v>1352</v>
      </c>
      <c r="C351">
        <v>3233</v>
      </c>
      <c r="D351" s="19">
        <v>46087</v>
      </c>
      <c r="E351" t="s">
        <v>40</v>
      </c>
      <c r="F351" t="s">
        <v>41</v>
      </c>
      <c r="G351" t="e">
        <f>VLOOKUP($A351,'CA-US List'!$A:$C,3,0)</f>
        <v>#N/A</v>
      </c>
      <c r="H351" t="s">
        <v>9</v>
      </c>
    </row>
    <row r="352" spans="1:8" x14ac:dyDescent="0.25">
      <c r="A352">
        <v>68741742</v>
      </c>
      <c r="B352">
        <v>1352</v>
      </c>
      <c r="C352">
        <v>2090</v>
      </c>
      <c r="D352" s="19">
        <v>46087</v>
      </c>
      <c r="E352" t="s">
        <v>40</v>
      </c>
      <c r="F352" t="s">
        <v>41</v>
      </c>
      <c r="G352" t="e">
        <f>VLOOKUP($A352,'CA-US List'!$A:$C,3,0)</f>
        <v>#N/A</v>
      </c>
      <c r="H352" t="s">
        <v>9</v>
      </c>
    </row>
    <row r="353" spans="1:8" x14ac:dyDescent="0.25">
      <c r="A353">
        <v>68741742</v>
      </c>
      <c r="B353">
        <v>1352</v>
      </c>
      <c r="C353">
        <v>28</v>
      </c>
      <c r="D353" s="19">
        <v>46088</v>
      </c>
      <c r="E353" t="s">
        <v>40</v>
      </c>
      <c r="F353" t="s">
        <v>41</v>
      </c>
      <c r="G353" t="e">
        <f>VLOOKUP($A353,'CA-US List'!$A:$C,3,0)</f>
        <v>#N/A</v>
      </c>
      <c r="H353" t="s">
        <v>9</v>
      </c>
    </row>
    <row r="354" spans="1:8" x14ac:dyDescent="0.25">
      <c r="A354">
        <v>68741742</v>
      </c>
      <c r="B354">
        <v>1352</v>
      </c>
      <c r="C354">
        <v>770</v>
      </c>
      <c r="D354" s="19">
        <v>46083</v>
      </c>
      <c r="E354" t="s">
        <v>40</v>
      </c>
      <c r="F354" t="s">
        <v>41</v>
      </c>
      <c r="G354" t="e">
        <f>VLOOKUP($A354,'CA-US List'!$A:$C,3,0)</f>
        <v>#N/A</v>
      </c>
      <c r="H354" t="s">
        <v>9</v>
      </c>
    </row>
    <row r="355" spans="1:8" x14ac:dyDescent="0.25">
      <c r="A355">
        <v>68741742</v>
      </c>
      <c r="B355">
        <v>1352</v>
      </c>
      <c r="C355">
        <v>1130</v>
      </c>
      <c r="D355" s="19">
        <v>46084</v>
      </c>
      <c r="E355" t="s">
        <v>40</v>
      </c>
      <c r="F355" t="s">
        <v>41</v>
      </c>
      <c r="G355" t="e">
        <f>VLOOKUP($A355,'CA-US List'!$A:$C,3,0)</f>
        <v>#N/A</v>
      </c>
      <c r="H355" t="s">
        <v>9</v>
      </c>
    </row>
    <row r="356" spans="1:8" x14ac:dyDescent="0.25">
      <c r="A356">
        <v>68741742</v>
      </c>
      <c r="B356">
        <v>1352</v>
      </c>
      <c r="C356">
        <v>1232</v>
      </c>
      <c r="D356" s="19">
        <v>46090</v>
      </c>
      <c r="E356" t="s">
        <v>40</v>
      </c>
      <c r="F356" t="s">
        <v>41</v>
      </c>
      <c r="G356" t="e">
        <f>VLOOKUP($A356,'CA-US List'!$A:$C,3,0)</f>
        <v>#N/A</v>
      </c>
      <c r="H356" t="s">
        <v>9</v>
      </c>
    </row>
    <row r="357" spans="1:8" x14ac:dyDescent="0.25">
      <c r="A357">
        <v>68741742</v>
      </c>
      <c r="B357">
        <v>1352</v>
      </c>
      <c r="C357">
        <v>2665</v>
      </c>
      <c r="D357" s="19">
        <v>46091</v>
      </c>
      <c r="E357" t="s">
        <v>40</v>
      </c>
      <c r="F357" t="s">
        <v>41</v>
      </c>
      <c r="G357" t="e">
        <f>VLOOKUP($A357,'CA-US List'!$A:$C,3,0)</f>
        <v>#N/A</v>
      </c>
      <c r="H357" t="s">
        <v>9</v>
      </c>
    </row>
    <row r="358" spans="1:8" x14ac:dyDescent="0.25">
      <c r="A358">
        <v>68741742</v>
      </c>
      <c r="B358">
        <v>1352</v>
      </c>
      <c r="C358">
        <v>2926</v>
      </c>
      <c r="D358" s="19">
        <v>46091</v>
      </c>
      <c r="E358" t="s">
        <v>40</v>
      </c>
      <c r="F358" t="s">
        <v>41</v>
      </c>
      <c r="G358" t="e">
        <f>VLOOKUP($A358,'CA-US List'!$A:$C,3,0)</f>
        <v>#N/A</v>
      </c>
      <c r="H358" t="s">
        <v>9</v>
      </c>
    </row>
    <row r="359" spans="1:8" x14ac:dyDescent="0.25">
      <c r="A359">
        <v>68741742</v>
      </c>
      <c r="B359">
        <v>1352</v>
      </c>
      <c r="C359">
        <v>3155</v>
      </c>
      <c r="D359" s="19">
        <v>46092</v>
      </c>
      <c r="E359" t="s">
        <v>40</v>
      </c>
      <c r="F359" t="s">
        <v>41</v>
      </c>
      <c r="G359" t="e">
        <f>VLOOKUP($A359,'CA-US List'!$A:$C,3,0)</f>
        <v>#N/A</v>
      </c>
      <c r="H359" t="s">
        <v>9</v>
      </c>
    </row>
    <row r="360" spans="1:8" x14ac:dyDescent="0.25">
      <c r="A360">
        <v>68741742</v>
      </c>
      <c r="B360">
        <v>1352</v>
      </c>
      <c r="C360">
        <v>2310</v>
      </c>
      <c r="D360" s="19">
        <v>46092</v>
      </c>
      <c r="E360" t="s">
        <v>40</v>
      </c>
      <c r="F360" t="s">
        <v>41</v>
      </c>
      <c r="G360" t="e">
        <f>VLOOKUP($A360,'CA-US List'!$A:$C,3,0)</f>
        <v>#N/A</v>
      </c>
      <c r="H360" t="s">
        <v>9</v>
      </c>
    </row>
    <row r="361" spans="1:8" x14ac:dyDescent="0.25">
      <c r="A361">
        <v>68741742</v>
      </c>
      <c r="B361">
        <v>1352</v>
      </c>
      <c r="C361">
        <v>3052</v>
      </c>
      <c r="D361" s="19">
        <v>46093</v>
      </c>
      <c r="E361" t="s">
        <v>40</v>
      </c>
      <c r="F361" t="s">
        <v>41</v>
      </c>
      <c r="G361" t="e">
        <f>VLOOKUP($A361,'CA-US List'!$A:$C,3,0)</f>
        <v>#N/A</v>
      </c>
      <c r="H361" t="s">
        <v>9</v>
      </c>
    </row>
    <row r="362" spans="1:8" x14ac:dyDescent="0.25">
      <c r="A362">
        <v>68741742</v>
      </c>
      <c r="B362">
        <v>1352</v>
      </c>
      <c r="C362">
        <v>2464</v>
      </c>
      <c r="D362" s="19">
        <v>46094</v>
      </c>
      <c r="E362" t="s">
        <v>40</v>
      </c>
      <c r="F362" t="s">
        <v>41</v>
      </c>
      <c r="G362" t="e">
        <f>VLOOKUP($A362,'CA-US List'!$A:$C,3,0)</f>
        <v>#N/A</v>
      </c>
      <c r="H362" t="s">
        <v>9</v>
      </c>
    </row>
    <row r="363" spans="1:8" x14ac:dyDescent="0.25">
      <c r="A363">
        <v>68741742</v>
      </c>
      <c r="B363">
        <v>1352</v>
      </c>
      <c r="C363">
        <v>565</v>
      </c>
      <c r="D363" s="19">
        <v>46095</v>
      </c>
      <c r="E363" t="s">
        <v>40</v>
      </c>
      <c r="F363" t="s">
        <v>41</v>
      </c>
      <c r="G363" t="e">
        <f>VLOOKUP($A363,'CA-US List'!$A:$C,3,0)</f>
        <v>#N/A</v>
      </c>
      <c r="H363" t="s">
        <v>9</v>
      </c>
    </row>
    <row r="364" spans="1:8" x14ac:dyDescent="0.25">
      <c r="A364">
        <v>68741742</v>
      </c>
      <c r="B364">
        <v>1352</v>
      </c>
      <c r="C364">
        <v>2002</v>
      </c>
      <c r="D364" s="19">
        <v>46093</v>
      </c>
      <c r="E364" t="s">
        <v>40</v>
      </c>
      <c r="F364" t="s">
        <v>41</v>
      </c>
      <c r="G364" t="e">
        <f>VLOOKUP($A364,'CA-US List'!$A:$C,3,0)</f>
        <v>#N/A</v>
      </c>
      <c r="H364" t="s">
        <v>9</v>
      </c>
    </row>
    <row r="365" spans="1:8" x14ac:dyDescent="0.25">
      <c r="A365">
        <v>68741742</v>
      </c>
      <c r="B365">
        <v>1352</v>
      </c>
      <c r="C365">
        <v>2921</v>
      </c>
      <c r="D365" s="19">
        <v>46094</v>
      </c>
      <c r="E365" t="s">
        <v>40</v>
      </c>
      <c r="F365" t="s">
        <v>41</v>
      </c>
      <c r="G365" t="e">
        <f>VLOOKUP($A365,'CA-US List'!$A:$C,3,0)</f>
        <v>#N/A</v>
      </c>
      <c r="H365" t="s">
        <v>9</v>
      </c>
    </row>
    <row r="366" spans="1:8" x14ac:dyDescent="0.25">
      <c r="A366">
        <v>68817792</v>
      </c>
      <c r="B366">
        <v>1352</v>
      </c>
      <c r="C366">
        <v>3674</v>
      </c>
      <c r="D366" s="19">
        <v>46085</v>
      </c>
      <c r="E366" t="s">
        <v>944</v>
      </c>
      <c r="F366" t="s">
        <v>23</v>
      </c>
      <c r="G366" t="e">
        <f>VLOOKUP($A366,'CA-US List'!$A:$C,3,0)</f>
        <v>#N/A</v>
      </c>
      <c r="H366" t="s">
        <v>9</v>
      </c>
    </row>
    <row r="367" spans="1:8" x14ac:dyDescent="0.25">
      <c r="A367">
        <v>68817792</v>
      </c>
      <c r="B367">
        <v>1352</v>
      </c>
      <c r="C367">
        <v>5140</v>
      </c>
      <c r="D367" s="19">
        <v>46086</v>
      </c>
      <c r="E367" t="s">
        <v>944</v>
      </c>
      <c r="F367" t="s">
        <v>23</v>
      </c>
      <c r="G367" t="e">
        <f>VLOOKUP($A367,'CA-US List'!$A:$C,3,0)</f>
        <v>#N/A</v>
      </c>
      <c r="H367" t="s">
        <v>9</v>
      </c>
    </row>
    <row r="368" spans="1:8" x14ac:dyDescent="0.25">
      <c r="A368">
        <v>68817792</v>
      </c>
      <c r="B368">
        <v>1352</v>
      </c>
      <c r="C368">
        <v>1057</v>
      </c>
      <c r="D368" s="19">
        <v>46085</v>
      </c>
      <c r="E368" t="s">
        <v>944</v>
      </c>
      <c r="F368" t="s">
        <v>23</v>
      </c>
      <c r="G368" t="e">
        <f>VLOOKUP($A368,'CA-US List'!$A:$C,3,0)</f>
        <v>#N/A</v>
      </c>
      <c r="H368" t="s">
        <v>9</v>
      </c>
    </row>
    <row r="369" spans="1:8" x14ac:dyDescent="0.25">
      <c r="A369">
        <v>68817793</v>
      </c>
      <c r="B369">
        <v>1352</v>
      </c>
      <c r="C369">
        <v>1309</v>
      </c>
      <c r="D369" s="19">
        <v>46080</v>
      </c>
      <c r="E369" t="s">
        <v>131</v>
      </c>
      <c r="F369" t="s">
        <v>25</v>
      </c>
      <c r="G369" t="e">
        <f>VLOOKUP($A369,'CA-US List'!$A:$C,3,0)</f>
        <v>#N/A</v>
      </c>
      <c r="H369" t="s">
        <v>9</v>
      </c>
    </row>
    <row r="370" spans="1:8" x14ac:dyDescent="0.25">
      <c r="A370">
        <v>68817793</v>
      </c>
      <c r="B370">
        <v>1352</v>
      </c>
      <c r="C370">
        <v>10232</v>
      </c>
      <c r="D370" s="19">
        <v>46081</v>
      </c>
      <c r="E370" t="s">
        <v>131</v>
      </c>
      <c r="F370" t="s">
        <v>25</v>
      </c>
      <c r="G370" t="e">
        <f>VLOOKUP($A370,'CA-US List'!$A:$C,3,0)</f>
        <v>#N/A</v>
      </c>
      <c r="H370" t="s">
        <v>9</v>
      </c>
    </row>
    <row r="371" spans="1:8" x14ac:dyDescent="0.25">
      <c r="A371">
        <v>68817793</v>
      </c>
      <c r="B371">
        <v>1352</v>
      </c>
      <c r="C371">
        <v>8272</v>
      </c>
      <c r="D371" s="19">
        <v>46081</v>
      </c>
      <c r="E371" t="s">
        <v>131</v>
      </c>
      <c r="F371" t="s">
        <v>25</v>
      </c>
      <c r="G371" t="e">
        <f>VLOOKUP($A371,'CA-US List'!$A:$C,3,0)</f>
        <v>#N/A</v>
      </c>
      <c r="H371" t="s">
        <v>9</v>
      </c>
    </row>
    <row r="372" spans="1:8" x14ac:dyDescent="0.25">
      <c r="A372">
        <v>68817793</v>
      </c>
      <c r="B372">
        <v>1352</v>
      </c>
      <c r="C372">
        <v>4918</v>
      </c>
      <c r="D372" s="19">
        <v>46082</v>
      </c>
      <c r="E372" t="s">
        <v>131</v>
      </c>
      <c r="F372" t="s">
        <v>25</v>
      </c>
      <c r="G372" t="e">
        <f>VLOOKUP($A372,'CA-US List'!$A:$C,3,0)</f>
        <v>#N/A</v>
      </c>
      <c r="H372" t="s">
        <v>9</v>
      </c>
    </row>
    <row r="373" spans="1:8" x14ac:dyDescent="0.25">
      <c r="A373">
        <v>68817793</v>
      </c>
      <c r="B373">
        <v>1352</v>
      </c>
      <c r="C373">
        <v>176</v>
      </c>
      <c r="D373" s="19">
        <v>46083</v>
      </c>
      <c r="E373" t="s">
        <v>131</v>
      </c>
      <c r="F373" t="s">
        <v>25</v>
      </c>
      <c r="G373" t="e">
        <f>VLOOKUP($A373,'CA-US List'!$A:$C,3,0)</f>
        <v>#N/A</v>
      </c>
      <c r="H373" t="s">
        <v>9</v>
      </c>
    </row>
    <row r="374" spans="1:8" x14ac:dyDescent="0.25">
      <c r="A374">
        <v>68817793</v>
      </c>
      <c r="B374">
        <v>1352</v>
      </c>
      <c r="C374">
        <v>2992</v>
      </c>
      <c r="D374" s="19">
        <v>46082</v>
      </c>
      <c r="E374" t="s">
        <v>131</v>
      </c>
      <c r="F374" t="s">
        <v>25</v>
      </c>
      <c r="G374" t="e">
        <f>VLOOKUP($A374,'CA-US List'!$A:$C,3,0)</f>
        <v>#N/A</v>
      </c>
      <c r="H374" t="s">
        <v>9</v>
      </c>
    </row>
    <row r="375" spans="1:8" x14ac:dyDescent="0.25">
      <c r="A375">
        <v>68817793</v>
      </c>
      <c r="B375">
        <v>1352</v>
      </c>
      <c r="C375">
        <v>7533</v>
      </c>
      <c r="D375" s="19">
        <v>46083</v>
      </c>
      <c r="E375" t="s">
        <v>131</v>
      </c>
      <c r="F375" t="s">
        <v>25</v>
      </c>
      <c r="G375" t="e">
        <f>VLOOKUP($A375,'CA-US List'!$A:$C,3,0)</f>
        <v>#N/A</v>
      </c>
      <c r="H375" t="s">
        <v>9</v>
      </c>
    </row>
    <row r="376" spans="1:8" x14ac:dyDescent="0.25">
      <c r="A376">
        <v>68817793</v>
      </c>
      <c r="B376">
        <v>1352</v>
      </c>
      <c r="C376">
        <v>4048</v>
      </c>
      <c r="D376" s="19">
        <v>46083</v>
      </c>
      <c r="E376" t="s">
        <v>131</v>
      </c>
      <c r="F376" t="s">
        <v>25</v>
      </c>
      <c r="G376" t="e">
        <f>VLOOKUP($A376,'CA-US List'!$A:$C,3,0)</f>
        <v>#N/A</v>
      </c>
      <c r="H376" t="s">
        <v>9</v>
      </c>
    </row>
    <row r="377" spans="1:8" x14ac:dyDescent="0.25">
      <c r="A377">
        <v>68817793</v>
      </c>
      <c r="B377">
        <v>1352</v>
      </c>
      <c r="C377">
        <v>3369</v>
      </c>
      <c r="D377" s="19">
        <v>46084</v>
      </c>
      <c r="E377" t="s">
        <v>131</v>
      </c>
      <c r="F377" t="s">
        <v>25</v>
      </c>
      <c r="G377" t="e">
        <f>VLOOKUP($A377,'CA-US List'!$A:$C,3,0)</f>
        <v>#N/A</v>
      </c>
      <c r="H377" t="s">
        <v>9</v>
      </c>
    </row>
    <row r="378" spans="1:8" x14ac:dyDescent="0.25">
      <c r="A378">
        <v>68817793</v>
      </c>
      <c r="B378">
        <v>1352</v>
      </c>
      <c r="C378">
        <v>4981</v>
      </c>
      <c r="D378" s="19">
        <v>46100</v>
      </c>
      <c r="E378" t="s">
        <v>131</v>
      </c>
      <c r="F378" t="s">
        <v>23</v>
      </c>
      <c r="G378" t="e">
        <f>VLOOKUP($A378,'CA-US List'!$A:$C,3,0)</f>
        <v>#N/A</v>
      </c>
      <c r="H378" t="s">
        <v>9</v>
      </c>
    </row>
    <row r="379" spans="1:8" x14ac:dyDescent="0.25">
      <c r="A379">
        <v>68817793</v>
      </c>
      <c r="B379">
        <v>1352</v>
      </c>
      <c r="C379">
        <v>8770</v>
      </c>
      <c r="D379" s="19">
        <v>46101</v>
      </c>
      <c r="E379" t="s">
        <v>131</v>
      </c>
      <c r="F379" t="s">
        <v>23</v>
      </c>
      <c r="G379" t="e">
        <f>VLOOKUP($A379,'CA-US List'!$A:$C,3,0)</f>
        <v>#N/A</v>
      </c>
      <c r="H379" t="s">
        <v>9</v>
      </c>
    </row>
    <row r="380" spans="1:8" x14ac:dyDescent="0.25">
      <c r="A380">
        <v>68817793</v>
      </c>
      <c r="B380">
        <v>1352</v>
      </c>
      <c r="C380">
        <v>5796</v>
      </c>
      <c r="D380" s="19">
        <v>46101</v>
      </c>
      <c r="E380" t="s">
        <v>131</v>
      </c>
      <c r="F380" t="s">
        <v>23</v>
      </c>
      <c r="G380" t="e">
        <f>VLOOKUP($A380,'CA-US List'!$A:$C,3,0)</f>
        <v>#N/A</v>
      </c>
      <c r="H380" t="s">
        <v>9</v>
      </c>
    </row>
    <row r="381" spans="1:8" x14ac:dyDescent="0.25">
      <c r="A381">
        <v>68817793</v>
      </c>
      <c r="B381">
        <v>1352</v>
      </c>
      <c r="C381">
        <v>9126</v>
      </c>
      <c r="D381" s="19">
        <v>46102</v>
      </c>
      <c r="E381" t="s">
        <v>131</v>
      </c>
      <c r="F381" t="s">
        <v>23</v>
      </c>
      <c r="G381" t="e">
        <f>VLOOKUP($A381,'CA-US List'!$A:$C,3,0)</f>
        <v>#N/A</v>
      </c>
      <c r="H381" t="s">
        <v>9</v>
      </c>
    </row>
    <row r="382" spans="1:8" x14ac:dyDescent="0.25">
      <c r="A382">
        <v>68817793</v>
      </c>
      <c r="B382">
        <v>1352</v>
      </c>
      <c r="C382">
        <v>6149</v>
      </c>
      <c r="D382" s="19">
        <v>46102</v>
      </c>
      <c r="E382" t="s">
        <v>131</v>
      </c>
      <c r="F382" t="s">
        <v>23</v>
      </c>
      <c r="G382" t="e">
        <f>VLOOKUP($A382,'CA-US List'!$A:$C,3,0)</f>
        <v>#N/A</v>
      </c>
      <c r="H382" t="s">
        <v>9</v>
      </c>
    </row>
    <row r="383" spans="1:8" x14ac:dyDescent="0.25">
      <c r="A383">
        <v>68817793</v>
      </c>
      <c r="B383">
        <v>1352</v>
      </c>
      <c r="C383">
        <v>6899</v>
      </c>
      <c r="D383" s="19">
        <v>46103</v>
      </c>
      <c r="E383" t="s">
        <v>131</v>
      </c>
      <c r="F383" t="s">
        <v>23</v>
      </c>
      <c r="G383" t="e">
        <f>VLOOKUP($A383,'CA-US List'!$A:$C,3,0)</f>
        <v>#N/A</v>
      </c>
      <c r="H383" t="s">
        <v>9</v>
      </c>
    </row>
    <row r="384" spans="1:8" x14ac:dyDescent="0.25">
      <c r="A384">
        <v>68817793</v>
      </c>
      <c r="B384">
        <v>1352</v>
      </c>
      <c r="C384">
        <v>4928</v>
      </c>
      <c r="D384" s="19">
        <v>46103</v>
      </c>
      <c r="E384" t="s">
        <v>131</v>
      </c>
      <c r="F384" t="s">
        <v>23</v>
      </c>
      <c r="G384" t="e">
        <f>VLOOKUP($A384,'CA-US List'!$A:$C,3,0)</f>
        <v>#N/A</v>
      </c>
      <c r="H384" t="s">
        <v>9</v>
      </c>
    </row>
    <row r="385" spans="1:8" x14ac:dyDescent="0.25">
      <c r="A385">
        <v>68817793</v>
      </c>
      <c r="B385">
        <v>1352</v>
      </c>
      <c r="C385">
        <v>8783</v>
      </c>
      <c r="D385" s="19">
        <v>46104</v>
      </c>
      <c r="E385" t="s">
        <v>131</v>
      </c>
      <c r="F385" t="s">
        <v>23</v>
      </c>
      <c r="G385" t="e">
        <f>VLOOKUP($A385,'CA-US List'!$A:$C,3,0)</f>
        <v>#N/A</v>
      </c>
      <c r="H385" t="s">
        <v>9</v>
      </c>
    </row>
    <row r="386" spans="1:8" x14ac:dyDescent="0.25">
      <c r="A386">
        <v>68817793</v>
      </c>
      <c r="B386">
        <v>1352</v>
      </c>
      <c r="C386">
        <v>5217</v>
      </c>
      <c r="D386" s="19">
        <v>46104</v>
      </c>
      <c r="E386" t="s">
        <v>131</v>
      </c>
      <c r="F386" t="s">
        <v>23</v>
      </c>
      <c r="G386" t="e">
        <f>VLOOKUP($A386,'CA-US List'!$A:$C,3,0)</f>
        <v>#N/A</v>
      </c>
      <c r="H386" t="s">
        <v>9</v>
      </c>
    </row>
    <row r="387" spans="1:8" x14ac:dyDescent="0.25">
      <c r="A387">
        <v>68817793</v>
      </c>
      <c r="B387">
        <v>1352</v>
      </c>
      <c r="C387">
        <v>2303</v>
      </c>
      <c r="D387" s="19">
        <v>46105</v>
      </c>
      <c r="E387" t="s">
        <v>131</v>
      </c>
      <c r="F387" t="s">
        <v>23</v>
      </c>
      <c r="G387" t="e">
        <f>VLOOKUP($A387,'CA-US List'!$A:$C,3,0)</f>
        <v>#N/A</v>
      </c>
      <c r="H387" t="s">
        <v>9</v>
      </c>
    </row>
    <row r="388" spans="1:8" x14ac:dyDescent="0.25">
      <c r="A388">
        <v>68817796</v>
      </c>
      <c r="B388">
        <v>1352</v>
      </c>
      <c r="C388">
        <v>5238</v>
      </c>
      <c r="D388" s="19">
        <v>46094</v>
      </c>
      <c r="E388" t="s">
        <v>7</v>
      </c>
      <c r="F388" t="s">
        <v>8</v>
      </c>
      <c r="G388" t="e">
        <f>VLOOKUP($A388,'CA-US List'!$A:$C,3,0)</f>
        <v>#N/A</v>
      </c>
      <c r="H388" t="s">
        <v>9</v>
      </c>
    </row>
    <row r="389" spans="1:8" x14ac:dyDescent="0.25">
      <c r="A389">
        <v>68817796</v>
      </c>
      <c r="B389">
        <v>1352</v>
      </c>
      <c r="C389">
        <v>11352</v>
      </c>
      <c r="D389" s="19">
        <v>46095</v>
      </c>
      <c r="E389" t="s">
        <v>7</v>
      </c>
      <c r="F389" t="s">
        <v>8</v>
      </c>
      <c r="G389" t="e">
        <f>VLOOKUP($A389,'CA-US List'!$A:$C,3,0)</f>
        <v>#N/A</v>
      </c>
      <c r="H389" t="s">
        <v>9</v>
      </c>
    </row>
    <row r="390" spans="1:8" x14ac:dyDescent="0.25">
      <c r="A390">
        <v>68817796</v>
      </c>
      <c r="B390">
        <v>1352</v>
      </c>
      <c r="C390">
        <v>6686</v>
      </c>
      <c r="D390" s="19">
        <v>46093</v>
      </c>
      <c r="E390" t="s">
        <v>7</v>
      </c>
      <c r="F390" t="s">
        <v>8</v>
      </c>
      <c r="G390" t="e">
        <f>VLOOKUP($A390,'CA-US List'!$A:$C,3,0)</f>
        <v>#N/A</v>
      </c>
      <c r="H390" t="s">
        <v>9</v>
      </c>
    </row>
    <row r="391" spans="1:8" x14ac:dyDescent="0.25">
      <c r="A391">
        <v>68817796</v>
      </c>
      <c r="B391">
        <v>1352</v>
      </c>
      <c r="C391">
        <v>10110</v>
      </c>
      <c r="D391" s="19">
        <v>46094</v>
      </c>
      <c r="E391" t="s">
        <v>7</v>
      </c>
      <c r="F391" t="s">
        <v>8</v>
      </c>
      <c r="G391" t="e">
        <f>VLOOKUP($A391,'CA-US List'!$A:$C,3,0)</f>
        <v>#N/A</v>
      </c>
      <c r="H391" t="s">
        <v>9</v>
      </c>
    </row>
    <row r="392" spans="1:8" x14ac:dyDescent="0.25">
      <c r="A392">
        <v>68817796</v>
      </c>
      <c r="B392">
        <v>1352</v>
      </c>
      <c r="C392">
        <v>8308</v>
      </c>
      <c r="D392" s="19">
        <v>46097</v>
      </c>
      <c r="E392" t="s">
        <v>7</v>
      </c>
      <c r="F392" t="s">
        <v>8</v>
      </c>
      <c r="G392" t="e">
        <f>VLOOKUP($A392,'CA-US List'!$A:$C,3,0)</f>
        <v>#N/A</v>
      </c>
      <c r="H392" t="s">
        <v>9</v>
      </c>
    </row>
    <row r="393" spans="1:8" x14ac:dyDescent="0.25">
      <c r="A393">
        <v>68817796</v>
      </c>
      <c r="B393">
        <v>1352</v>
      </c>
      <c r="C393">
        <v>9315</v>
      </c>
      <c r="D393" s="19">
        <v>46092</v>
      </c>
      <c r="E393" t="s">
        <v>7</v>
      </c>
      <c r="F393" t="s">
        <v>8</v>
      </c>
      <c r="G393" t="e">
        <f>VLOOKUP($A393,'CA-US List'!$A:$C,3,0)</f>
        <v>#N/A</v>
      </c>
      <c r="H393" t="s">
        <v>9</v>
      </c>
    </row>
    <row r="394" spans="1:8" x14ac:dyDescent="0.25">
      <c r="A394">
        <v>68817796</v>
      </c>
      <c r="B394">
        <v>1352</v>
      </c>
      <c r="C394">
        <v>8258</v>
      </c>
      <c r="D394" s="19">
        <v>46093</v>
      </c>
      <c r="E394" t="s">
        <v>7</v>
      </c>
      <c r="F394" t="s">
        <v>8</v>
      </c>
      <c r="G394" t="e">
        <f>VLOOKUP($A394,'CA-US List'!$A:$C,3,0)</f>
        <v>#N/A</v>
      </c>
      <c r="H394" t="s">
        <v>9</v>
      </c>
    </row>
    <row r="395" spans="1:8" x14ac:dyDescent="0.25">
      <c r="A395">
        <v>68817796</v>
      </c>
      <c r="B395">
        <v>1352</v>
      </c>
      <c r="C395">
        <v>154</v>
      </c>
      <c r="D395" s="19">
        <v>46105</v>
      </c>
      <c r="E395" t="s">
        <v>7</v>
      </c>
      <c r="F395" t="s">
        <v>8</v>
      </c>
      <c r="G395" t="e">
        <f>VLOOKUP($A395,'CA-US List'!$A:$C,3,0)</f>
        <v>#N/A</v>
      </c>
      <c r="H395" t="s">
        <v>9</v>
      </c>
    </row>
    <row r="396" spans="1:8" x14ac:dyDescent="0.25">
      <c r="A396">
        <v>68817796</v>
      </c>
      <c r="B396">
        <v>1352</v>
      </c>
      <c r="C396">
        <v>352</v>
      </c>
      <c r="D396" s="19">
        <v>46095</v>
      </c>
      <c r="E396" t="s">
        <v>7</v>
      </c>
      <c r="F396" t="s">
        <v>8</v>
      </c>
      <c r="G396" t="e">
        <f>VLOOKUP($A396,'CA-US List'!$A:$C,3,0)</f>
        <v>#N/A</v>
      </c>
      <c r="H396" t="s">
        <v>9</v>
      </c>
    </row>
    <row r="397" spans="1:8" x14ac:dyDescent="0.25">
      <c r="A397">
        <v>68817796</v>
      </c>
      <c r="B397">
        <v>1352</v>
      </c>
      <c r="C397">
        <v>7415</v>
      </c>
      <c r="D397" s="19">
        <v>46096</v>
      </c>
      <c r="E397" t="s">
        <v>7</v>
      </c>
      <c r="F397" t="s">
        <v>8</v>
      </c>
      <c r="G397" t="e">
        <f>VLOOKUP($A397,'CA-US List'!$A:$C,3,0)</f>
        <v>#N/A</v>
      </c>
      <c r="H397" t="s">
        <v>9</v>
      </c>
    </row>
    <row r="398" spans="1:8" x14ac:dyDescent="0.25">
      <c r="A398">
        <v>68817796</v>
      </c>
      <c r="B398">
        <v>1352</v>
      </c>
      <c r="C398">
        <v>5632</v>
      </c>
      <c r="D398" s="19">
        <v>46097</v>
      </c>
      <c r="E398" t="s">
        <v>7</v>
      </c>
      <c r="F398" t="s">
        <v>8</v>
      </c>
      <c r="G398" t="e">
        <f>VLOOKUP($A398,'CA-US List'!$A:$C,3,0)</f>
        <v>#N/A</v>
      </c>
      <c r="H398" t="s">
        <v>9</v>
      </c>
    </row>
    <row r="399" spans="1:8" x14ac:dyDescent="0.25">
      <c r="A399">
        <v>68817796</v>
      </c>
      <c r="B399">
        <v>1352</v>
      </c>
      <c r="C399">
        <v>3629</v>
      </c>
      <c r="D399" s="19">
        <v>46098</v>
      </c>
      <c r="E399" t="s">
        <v>7</v>
      </c>
      <c r="F399" t="s">
        <v>8</v>
      </c>
      <c r="G399" t="e">
        <f>VLOOKUP($A399,'CA-US List'!$A:$C,3,0)</f>
        <v>#N/A</v>
      </c>
      <c r="H399" t="s">
        <v>9</v>
      </c>
    </row>
    <row r="400" spans="1:8" x14ac:dyDescent="0.25">
      <c r="A400">
        <v>68817799</v>
      </c>
      <c r="B400">
        <v>1352</v>
      </c>
      <c r="C400">
        <v>11</v>
      </c>
      <c r="D400" s="19">
        <v>46079</v>
      </c>
      <c r="E400" t="s">
        <v>691</v>
      </c>
      <c r="F400" t="s">
        <v>23</v>
      </c>
      <c r="G400" t="e">
        <f>VLOOKUP($A400,'CA-US List'!$A:$C,3,0)</f>
        <v>#N/A</v>
      </c>
      <c r="H400" t="s">
        <v>9</v>
      </c>
    </row>
    <row r="401" spans="1:8" x14ac:dyDescent="0.25">
      <c r="A401">
        <v>68817799</v>
      </c>
      <c r="B401">
        <v>1352</v>
      </c>
      <c r="C401">
        <v>9126</v>
      </c>
      <c r="D401" s="19">
        <v>46091</v>
      </c>
      <c r="E401" t="s">
        <v>691</v>
      </c>
      <c r="F401" t="s">
        <v>23</v>
      </c>
      <c r="G401" t="e">
        <f>VLOOKUP($A401,'CA-US List'!$A:$C,3,0)</f>
        <v>#N/A</v>
      </c>
      <c r="H401" t="s">
        <v>9</v>
      </c>
    </row>
    <row r="402" spans="1:8" x14ac:dyDescent="0.25">
      <c r="A402">
        <v>68817799</v>
      </c>
      <c r="B402">
        <v>1352</v>
      </c>
      <c r="C402">
        <v>8847</v>
      </c>
      <c r="D402" s="19">
        <v>46092</v>
      </c>
      <c r="E402" t="s">
        <v>691</v>
      </c>
      <c r="F402" t="s">
        <v>23</v>
      </c>
      <c r="G402" t="e">
        <f>VLOOKUP($A402,'CA-US List'!$A:$C,3,0)</f>
        <v>#N/A</v>
      </c>
      <c r="H402" t="s">
        <v>9</v>
      </c>
    </row>
    <row r="403" spans="1:8" x14ac:dyDescent="0.25">
      <c r="A403">
        <v>68817799</v>
      </c>
      <c r="B403">
        <v>1352</v>
      </c>
      <c r="C403">
        <v>5280</v>
      </c>
      <c r="D403" s="19">
        <v>46092</v>
      </c>
      <c r="E403" t="s">
        <v>691</v>
      </c>
      <c r="F403" t="s">
        <v>23</v>
      </c>
      <c r="G403" t="e">
        <f>VLOOKUP($A403,'CA-US List'!$A:$C,3,0)</f>
        <v>#N/A</v>
      </c>
      <c r="H403" t="s">
        <v>9</v>
      </c>
    </row>
    <row r="404" spans="1:8" x14ac:dyDescent="0.25">
      <c r="A404">
        <v>68817799</v>
      </c>
      <c r="B404">
        <v>1352</v>
      </c>
      <c r="C404">
        <v>7870</v>
      </c>
      <c r="D404" s="19">
        <v>46093</v>
      </c>
      <c r="E404" t="s">
        <v>691</v>
      </c>
      <c r="F404" t="s">
        <v>23</v>
      </c>
      <c r="G404" t="e">
        <f>VLOOKUP($A404,'CA-US List'!$A:$C,3,0)</f>
        <v>#N/A</v>
      </c>
      <c r="H404" t="s">
        <v>9</v>
      </c>
    </row>
    <row r="405" spans="1:8" x14ac:dyDescent="0.25">
      <c r="A405">
        <v>68817799</v>
      </c>
      <c r="B405">
        <v>1352</v>
      </c>
      <c r="C405">
        <v>5104</v>
      </c>
      <c r="D405" s="19">
        <v>46093</v>
      </c>
      <c r="E405" t="s">
        <v>691</v>
      </c>
      <c r="F405" t="s">
        <v>23</v>
      </c>
      <c r="G405" t="e">
        <f>VLOOKUP($A405,'CA-US List'!$A:$C,3,0)</f>
        <v>#N/A</v>
      </c>
      <c r="H405" t="s">
        <v>9</v>
      </c>
    </row>
    <row r="406" spans="1:8" x14ac:dyDescent="0.25">
      <c r="A406">
        <v>68817799</v>
      </c>
      <c r="B406">
        <v>1352</v>
      </c>
      <c r="C406">
        <v>9675</v>
      </c>
      <c r="D406" s="19">
        <v>46094</v>
      </c>
      <c r="E406" t="s">
        <v>691</v>
      </c>
      <c r="F406" t="s">
        <v>23</v>
      </c>
      <c r="G406" t="e">
        <f>VLOOKUP($A406,'CA-US List'!$A:$C,3,0)</f>
        <v>#N/A</v>
      </c>
      <c r="H406" t="s">
        <v>9</v>
      </c>
    </row>
    <row r="407" spans="1:8" x14ac:dyDescent="0.25">
      <c r="A407">
        <v>68817799</v>
      </c>
      <c r="B407">
        <v>1352</v>
      </c>
      <c r="C407">
        <v>5335</v>
      </c>
      <c r="D407" s="19">
        <v>46094</v>
      </c>
      <c r="E407" t="s">
        <v>691</v>
      </c>
      <c r="F407" t="s">
        <v>23</v>
      </c>
      <c r="G407" t="e">
        <f>VLOOKUP($A407,'CA-US List'!$A:$C,3,0)</f>
        <v>#N/A</v>
      </c>
      <c r="H407" t="s">
        <v>9</v>
      </c>
    </row>
    <row r="408" spans="1:8" x14ac:dyDescent="0.25">
      <c r="A408">
        <v>68817799</v>
      </c>
      <c r="B408">
        <v>1352</v>
      </c>
      <c r="C408">
        <v>3208</v>
      </c>
      <c r="D408" s="19">
        <v>46095</v>
      </c>
      <c r="E408" t="s">
        <v>691</v>
      </c>
      <c r="F408" t="s">
        <v>23</v>
      </c>
      <c r="G408" t="e">
        <f>VLOOKUP($A408,'CA-US List'!$A:$C,3,0)</f>
        <v>#N/A</v>
      </c>
      <c r="H408" t="s">
        <v>9</v>
      </c>
    </row>
    <row r="409" spans="1:8" x14ac:dyDescent="0.25">
      <c r="A409">
        <v>68817799</v>
      </c>
      <c r="B409">
        <v>1352</v>
      </c>
      <c r="C409">
        <v>3979</v>
      </c>
      <c r="D409" s="19">
        <v>46095</v>
      </c>
      <c r="E409" t="s">
        <v>691</v>
      </c>
      <c r="F409" t="s">
        <v>23</v>
      </c>
      <c r="G409" t="e">
        <f>VLOOKUP($A409,'CA-US List'!$A:$C,3,0)</f>
        <v>#N/A</v>
      </c>
      <c r="H409" t="s">
        <v>9</v>
      </c>
    </row>
    <row r="410" spans="1:8" x14ac:dyDescent="0.25">
      <c r="A410">
        <v>68817799</v>
      </c>
      <c r="B410">
        <v>1352</v>
      </c>
      <c r="C410">
        <v>4850</v>
      </c>
      <c r="D410" s="19">
        <v>46086</v>
      </c>
      <c r="E410" t="s">
        <v>691</v>
      </c>
      <c r="F410" t="s">
        <v>23</v>
      </c>
      <c r="G410" t="e">
        <f>VLOOKUP($A410,'CA-US List'!$A:$C,3,0)</f>
        <v>#N/A</v>
      </c>
      <c r="H410" t="s">
        <v>9</v>
      </c>
    </row>
    <row r="411" spans="1:8" x14ac:dyDescent="0.25">
      <c r="A411">
        <v>68817799</v>
      </c>
      <c r="B411">
        <v>1352</v>
      </c>
      <c r="C411">
        <v>8500</v>
      </c>
      <c r="D411" s="19">
        <v>46087</v>
      </c>
      <c r="E411" t="s">
        <v>691</v>
      </c>
      <c r="F411" t="s">
        <v>23</v>
      </c>
      <c r="G411" t="e">
        <f>VLOOKUP($A411,'CA-US List'!$A:$C,3,0)</f>
        <v>#N/A</v>
      </c>
      <c r="H411" t="s">
        <v>9</v>
      </c>
    </row>
    <row r="412" spans="1:8" x14ac:dyDescent="0.25">
      <c r="A412">
        <v>68817799</v>
      </c>
      <c r="B412">
        <v>1352</v>
      </c>
      <c r="C412">
        <v>5555</v>
      </c>
      <c r="D412" s="19">
        <v>46087</v>
      </c>
      <c r="E412" t="s">
        <v>691</v>
      </c>
      <c r="F412" t="s">
        <v>23</v>
      </c>
      <c r="G412" t="e">
        <f>VLOOKUP($A412,'CA-US List'!$A:$C,3,0)</f>
        <v>#N/A</v>
      </c>
      <c r="H412" t="s">
        <v>9</v>
      </c>
    </row>
    <row r="413" spans="1:8" x14ac:dyDescent="0.25">
      <c r="A413">
        <v>68817799</v>
      </c>
      <c r="B413">
        <v>1352</v>
      </c>
      <c r="C413">
        <v>7349</v>
      </c>
      <c r="D413" s="19">
        <v>46088</v>
      </c>
      <c r="E413" t="s">
        <v>691</v>
      </c>
      <c r="F413" t="s">
        <v>23</v>
      </c>
      <c r="G413" t="e">
        <f>VLOOKUP($A413,'CA-US List'!$A:$C,3,0)</f>
        <v>#N/A</v>
      </c>
      <c r="H413" t="s">
        <v>9</v>
      </c>
    </row>
    <row r="414" spans="1:8" x14ac:dyDescent="0.25">
      <c r="A414">
        <v>68817799</v>
      </c>
      <c r="B414">
        <v>1352</v>
      </c>
      <c r="C414">
        <v>4199</v>
      </c>
      <c r="D414" s="19">
        <v>46088</v>
      </c>
      <c r="E414" t="s">
        <v>691</v>
      </c>
      <c r="F414" t="s">
        <v>23</v>
      </c>
      <c r="G414" t="e">
        <f>VLOOKUP($A414,'CA-US List'!$A:$C,3,0)</f>
        <v>#N/A</v>
      </c>
      <c r="H414" t="s">
        <v>9</v>
      </c>
    </row>
    <row r="415" spans="1:8" x14ac:dyDescent="0.25">
      <c r="A415">
        <v>68817799</v>
      </c>
      <c r="B415">
        <v>1352</v>
      </c>
      <c r="C415">
        <v>9750</v>
      </c>
      <c r="D415" s="19">
        <v>46089</v>
      </c>
      <c r="E415" t="s">
        <v>691</v>
      </c>
      <c r="F415" t="s">
        <v>23</v>
      </c>
      <c r="G415" t="e">
        <f>VLOOKUP($A415,'CA-US List'!$A:$C,3,0)</f>
        <v>#N/A</v>
      </c>
      <c r="H415" t="s">
        <v>9</v>
      </c>
    </row>
    <row r="416" spans="1:8" x14ac:dyDescent="0.25">
      <c r="A416">
        <v>68817799</v>
      </c>
      <c r="B416">
        <v>1352</v>
      </c>
      <c r="C416">
        <v>176</v>
      </c>
      <c r="D416" s="19">
        <v>46090</v>
      </c>
      <c r="E416" t="s">
        <v>691</v>
      </c>
      <c r="F416" t="s">
        <v>23</v>
      </c>
      <c r="G416" t="e">
        <f>VLOOKUP($A416,'CA-US List'!$A:$C,3,0)</f>
        <v>#N/A</v>
      </c>
      <c r="H416" t="s">
        <v>9</v>
      </c>
    </row>
    <row r="417" spans="1:8" x14ac:dyDescent="0.25">
      <c r="A417">
        <v>68817799</v>
      </c>
      <c r="B417">
        <v>1352</v>
      </c>
      <c r="C417">
        <v>4400</v>
      </c>
      <c r="D417" s="19">
        <v>46089</v>
      </c>
      <c r="E417" t="s">
        <v>691</v>
      </c>
      <c r="F417" t="s">
        <v>23</v>
      </c>
      <c r="G417" t="e">
        <f>VLOOKUP($A417,'CA-US List'!$A:$C,3,0)</f>
        <v>#N/A</v>
      </c>
      <c r="H417" t="s">
        <v>9</v>
      </c>
    </row>
    <row r="418" spans="1:8" x14ac:dyDescent="0.25">
      <c r="A418">
        <v>68817799</v>
      </c>
      <c r="B418">
        <v>1352</v>
      </c>
      <c r="C418">
        <v>4222</v>
      </c>
      <c r="D418" s="19">
        <v>46090</v>
      </c>
      <c r="E418" t="s">
        <v>691</v>
      </c>
      <c r="F418" t="s">
        <v>23</v>
      </c>
      <c r="G418" t="e">
        <f>VLOOKUP($A418,'CA-US List'!$A:$C,3,0)</f>
        <v>#N/A</v>
      </c>
      <c r="H418" t="s">
        <v>9</v>
      </c>
    </row>
    <row r="419" spans="1:8" x14ac:dyDescent="0.25">
      <c r="A419">
        <v>68817800</v>
      </c>
      <c r="B419">
        <v>1352</v>
      </c>
      <c r="C419">
        <v>4165</v>
      </c>
      <c r="D419" s="19">
        <v>46079</v>
      </c>
      <c r="E419" t="s">
        <v>693</v>
      </c>
      <c r="F419" t="s">
        <v>8</v>
      </c>
      <c r="G419" t="e">
        <f>VLOOKUP($A419,'CA-US List'!$A:$C,3,0)</f>
        <v>#N/A</v>
      </c>
      <c r="H419" t="s">
        <v>9</v>
      </c>
    </row>
    <row r="420" spans="1:8" x14ac:dyDescent="0.25">
      <c r="A420">
        <v>68817800</v>
      </c>
      <c r="B420">
        <v>1352</v>
      </c>
      <c r="C420">
        <v>6057</v>
      </c>
      <c r="D420" s="19">
        <v>46080</v>
      </c>
      <c r="E420" t="s">
        <v>693</v>
      </c>
      <c r="F420" t="s">
        <v>8</v>
      </c>
      <c r="G420" t="e">
        <f>VLOOKUP($A420,'CA-US List'!$A:$C,3,0)</f>
        <v>#N/A</v>
      </c>
      <c r="H420" t="s">
        <v>9</v>
      </c>
    </row>
    <row r="421" spans="1:8" x14ac:dyDescent="0.25">
      <c r="A421">
        <v>68817800</v>
      </c>
      <c r="B421">
        <v>1352</v>
      </c>
      <c r="C421">
        <v>6665</v>
      </c>
      <c r="D421" s="19">
        <v>46078</v>
      </c>
      <c r="E421" t="s">
        <v>693</v>
      </c>
      <c r="F421" t="s">
        <v>8</v>
      </c>
      <c r="G421" t="e">
        <f>VLOOKUP($A421,'CA-US List'!$A:$C,3,0)</f>
        <v>#N/A</v>
      </c>
      <c r="H421" t="s">
        <v>9</v>
      </c>
    </row>
    <row r="422" spans="1:8" x14ac:dyDescent="0.25">
      <c r="A422">
        <v>68817800</v>
      </c>
      <c r="B422">
        <v>1352</v>
      </c>
      <c r="C422">
        <v>6</v>
      </c>
      <c r="D422" s="19">
        <v>46079</v>
      </c>
      <c r="E422" t="s">
        <v>693</v>
      </c>
      <c r="F422" t="s">
        <v>8</v>
      </c>
      <c r="G422" t="e">
        <f>VLOOKUP($A422,'CA-US List'!$A:$C,3,0)</f>
        <v>#N/A</v>
      </c>
      <c r="H422" t="s">
        <v>9</v>
      </c>
    </row>
    <row r="423" spans="1:8" x14ac:dyDescent="0.25">
      <c r="A423">
        <v>68817800</v>
      </c>
      <c r="B423">
        <v>1352</v>
      </c>
      <c r="C423">
        <v>5010</v>
      </c>
      <c r="D423" s="19">
        <v>46078</v>
      </c>
      <c r="E423" t="s">
        <v>693</v>
      </c>
      <c r="F423" t="s">
        <v>8</v>
      </c>
      <c r="G423" t="e">
        <f>VLOOKUP($A423,'CA-US List'!$A:$C,3,0)</f>
        <v>#N/A</v>
      </c>
      <c r="H423" t="s">
        <v>9</v>
      </c>
    </row>
    <row r="424" spans="1:8" x14ac:dyDescent="0.25">
      <c r="A424">
        <v>68817800</v>
      </c>
      <c r="B424">
        <v>1352</v>
      </c>
      <c r="C424">
        <v>9025</v>
      </c>
      <c r="D424" s="19">
        <v>46079</v>
      </c>
      <c r="E424" t="s">
        <v>693</v>
      </c>
      <c r="F424" t="s">
        <v>8</v>
      </c>
      <c r="G424" t="e">
        <f>VLOOKUP($A424,'CA-US List'!$A:$C,3,0)</f>
        <v>#N/A</v>
      </c>
      <c r="H424" t="s">
        <v>9</v>
      </c>
    </row>
    <row r="425" spans="1:8" x14ac:dyDescent="0.25">
      <c r="A425">
        <v>68817801</v>
      </c>
      <c r="B425">
        <v>1352</v>
      </c>
      <c r="C425">
        <v>7561</v>
      </c>
      <c r="D425" s="19">
        <v>46088</v>
      </c>
      <c r="E425" t="s">
        <v>102</v>
      </c>
      <c r="F425" t="s">
        <v>8</v>
      </c>
      <c r="G425" t="e">
        <f>VLOOKUP($A425,'CA-US List'!$A:$C,3,0)</f>
        <v>#N/A</v>
      </c>
      <c r="H425" t="s">
        <v>9</v>
      </c>
    </row>
    <row r="426" spans="1:8" x14ac:dyDescent="0.25">
      <c r="A426">
        <v>68817801</v>
      </c>
      <c r="B426">
        <v>1352</v>
      </c>
      <c r="C426">
        <v>7534</v>
      </c>
      <c r="D426" s="19">
        <v>46089</v>
      </c>
      <c r="E426" t="s">
        <v>102</v>
      </c>
      <c r="F426" t="s">
        <v>8</v>
      </c>
      <c r="G426" t="e">
        <f>VLOOKUP($A426,'CA-US List'!$A:$C,3,0)</f>
        <v>#N/A</v>
      </c>
      <c r="H426" t="s">
        <v>9</v>
      </c>
    </row>
    <row r="427" spans="1:8" x14ac:dyDescent="0.25">
      <c r="A427">
        <v>68817801</v>
      </c>
      <c r="B427">
        <v>1352</v>
      </c>
      <c r="C427">
        <v>4752</v>
      </c>
      <c r="D427" s="19">
        <v>46089</v>
      </c>
      <c r="E427" t="s">
        <v>102</v>
      </c>
      <c r="F427" t="s">
        <v>8</v>
      </c>
      <c r="G427" t="e">
        <f>VLOOKUP($A427,'CA-US List'!$A:$C,3,0)</f>
        <v>#N/A</v>
      </c>
      <c r="H427" t="s">
        <v>9</v>
      </c>
    </row>
    <row r="428" spans="1:8" x14ac:dyDescent="0.25">
      <c r="A428">
        <v>68817801</v>
      </c>
      <c r="B428">
        <v>1352</v>
      </c>
      <c r="C428">
        <v>5928</v>
      </c>
      <c r="D428" s="19">
        <v>46090</v>
      </c>
      <c r="E428" t="s">
        <v>102</v>
      </c>
      <c r="F428" t="s">
        <v>8</v>
      </c>
      <c r="G428" t="e">
        <f>VLOOKUP($A428,'CA-US List'!$A:$C,3,0)</f>
        <v>#N/A</v>
      </c>
      <c r="H428" t="s">
        <v>9</v>
      </c>
    </row>
    <row r="429" spans="1:8" x14ac:dyDescent="0.25">
      <c r="A429">
        <v>68850683</v>
      </c>
      <c r="B429">
        <v>1352</v>
      </c>
      <c r="C429">
        <v>3435</v>
      </c>
      <c r="D429" s="19">
        <v>46105</v>
      </c>
      <c r="E429" t="s">
        <v>87</v>
      </c>
      <c r="F429" t="s">
        <v>8</v>
      </c>
      <c r="G429" t="e">
        <f>VLOOKUP($A429,'CA-US List'!$A:$C,3,0)</f>
        <v>#N/A</v>
      </c>
      <c r="H429" t="s">
        <v>9</v>
      </c>
    </row>
    <row r="430" spans="1:8" x14ac:dyDescent="0.25">
      <c r="A430">
        <v>68850683</v>
      </c>
      <c r="B430">
        <v>1352</v>
      </c>
      <c r="C430">
        <v>704</v>
      </c>
      <c r="D430" s="19">
        <v>46104</v>
      </c>
      <c r="E430" t="s">
        <v>87</v>
      </c>
      <c r="F430" t="s">
        <v>8</v>
      </c>
      <c r="G430" t="e">
        <f>VLOOKUP($A430,'CA-US List'!$A:$C,3,0)</f>
        <v>#N/A</v>
      </c>
      <c r="H430" t="s">
        <v>9</v>
      </c>
    </row>
    <row r="431" spans="1:8" x14ac:dyDescent="0.25">
      <c r="A431">
        <v>68850683</v>
      </c>
      <c r="B431">
        <v>1352</v>
      </c>
      <c r="C431">
        <v>9449</v>
      </c>
      <c r="D431" s="19">
        <v>46105</v>
      </c>
      <c r="E431" t="s">
        <v>87</v>
      </c>
      <c r="F431" t="s">
        <v>8</v>
      </c>
      <c r="G431" t="e">
        <f>VLOOKUP($A431,'CA-US List'!$A:$C,3,0)</f>
        <v>#N/A</v>
      </c>
      <c r="H431" t="s">
        <v>9</v>
      </c>
    </row>
    <row r="432" spans="1:8" x14ac:dyDescent="0.25">
      <c r="A432">
        <v>68850684</v>
      </c>
      <c r="B432">
        <v>1352</v>
      </c>
      <c r="C432">
        <v>7382</v>
      </c>
      <c r="D432" s="19">
        <v>46078</v>
      </c>
      <c r="E432" t="s">
        <v>151</v>
      </c>
      <c r="F432" t="s">
        <v>23</v>
      </c>
      <c r="G432" t="e">
        <f>VLOOKUP($A432,'CA-US List'!$A:$C,3,0)</f>
        <v>#N/A</v>
      </c>
      <c r="H432" t="s">
        <v>9</v>
      </c>
    </row>
    <row r="433" spans="1:8" x14ac:dyDescent="0.25">
      <c r="A433">
        <v>68850684</v>
      </c>
      <c r="B433">
        <v>1352</v>
      </c>
      <c r="C433">
        <v>8049</v>
      </c>
      <c r="D433" s="19">
        <v>46079</v>
      </c>
      <c r="E433" t="s">
        <v>151</v>
      </c>
      <c r="F433" t="s">
        <v>23</v>
      </c>
      <c r="G433" t="e">
        <f>VLOOKUP($A433,'CA-US List'!$A:$C,3,0)</f>
        <v>#N/A</v>
      </c>
      <c r="H433" t="s">
        <v>9</v>
      </c>
    </row>
    <row r="434" spans="1:8" x14ac:dyDescent="0.25">
      <c r="A434">
        <v>68850684</v>
      </c>
      <c r="B434">
        <v>1352</v>
      </c>
      <c r="C434">
        <v>166</v>
      </c>
      <c r="D434" s="19">
        <v>46084</v>
      </c>
      <c r="E434" t="s">
        <v>151</v>
      </c>
      <c r="F434" t="s">
        <v>23</v>
      </c>
      <c r="G434" t="e">
        <f>VLOOKUP($A434,'CA-US List'!$A:$C,3,0)</f>
        <v>#N/A</v>
      </c>
      <c r="H434" t="s">
        <v>9</v>
      </c>
    </row>
    <row r="435" spans="1:8" x14ac:dyDescent="0.25">
      <c r="A435">
        <v>68850684</v>
      </c>
      <c r="B435">
        <v>1352</v>
      </c>
      <c r="C435">
        <v>0</v>
      </c>
      <c r="D435" s="19">
        <v>46085</v>
      </c>
      <c r="E435" t="s">
        <v>151</v>
      </c>
      <c r="F435" t="s">
        <v>23</v>
      </c>
      <c r="G435" t="e">
        <f>VLOOKUP($A435,'CA-US List'!$A:$C,3,0)</f>
        <v>#N/A</v>
      </c>
      <c r="H435" t="s">
        <v>9</v>
      </c>
    </row>
    <row r="436" spans="1:8" x14ac:dyDescent="0.25">
      <c r="A436">
        <v>68850684</v>
      </c>
      <c r="B436">
        <v>1352</v>
      </c>
      <c r="C436">
        <v>3872</v>
      </c>
      <c r="D436" s="19">
        <v>46079</v>
      </c>
      <c r="E436" t="s">
        <v>151</v>
      </c>
      <c r="F436" t="s">
        <v>23</v>
      </c>
      <c r="G436" t="e">
        <f>VLOOKUP($A436,'CA-US List'!$A:$C,3,0)</f>
        <v>#N/A</v>
      </c>
      <c r="H436" t="s">
        <v>9</v>
      </c>
    </row>
    <row r="437" spans="1:8" x14ac:dyDescent="0.25">
      <c r="A437">
        <v>68850684</v>
      </c>
      <c r="B437">
        <v>1352</v>
      </c>
      <c r="C437">
        <v>586</v>
      </c>
      <c r="D437" s="19">
        <v>46080</v>
      </c>
      <c r="E437" t="s">
        <v>151</v>
      </c>
      <c r="F437" t="s">
        <v>23</v>
      </c>
      <c r="G437" t="e">
        <f>VLOOKUP($A437,'CA-US List'!$A:$C,3,0)</f>
        <v>#N/A</v>
      </c>
      <c r="H437" t="s">
        <v>9</v>
      </c>
    </row>
    <row r="438" spans="1:8" x14ac:dyDescent="0.25">
      <c r="A438">
        <v>68851104</v>
      </c>
      <c r="B438">
        <v>1352</v>
      </c>
      <c r="C438">
        <v>6442</v>
      </c>
      <c r="D438" s="19">
        <v>46081</v>
      </c>
      <c r="E438" t="s">
        <v>16</v>
      </c>
      <c r="F438" t="s">
        <v>8</v>
      </c>
      <c r="G438" t="e">
        <f>VLOOKUP($A438,'CA-US List'!$A:$C,3,0)</f>
        <v>#N/A</v>
      </c>
      <c r="H438" t="s">
        <v>9</v>
      </c>
    </row>
    <row r="439" spans="1:8" x14ac:dyDescent="0.25">
      <c r="A439">
        <v>68851104</v>
      </c>
      <c r="B439">
        <v>1352</v>
      </c>
      <c r="C439">
        <v>4785</v>
      </c>
      <c r="D439" s="19">
        <v>46082</v>
      </c>
      <c r="E439" t="s">
        <v>16</v>
      </c>
      <c r="F439" t="s">
        <v>8</v>
      </c>
      <c r="G439" t="e">
        <f>VLOOKUP($A439,'CA-US List'!$A:$C,3,0)</f>
        <v>#N/A</v>
      </c>
      <c r="H439" t="s">
        <v>9</v>
      </c>
    </row>
    <row r="440" spans="1:8" x14ac:dyDescent="0.25">
      <c r="A440">
        <v>68851104</v>
      </c>
      <c r="B440">
        <v>1352</v>
      </c>
      <c r="C440">
        <v>2390</v>
      </c>
      <c r="D440" s="19">
        <v>46082</v>
      </c>
      <c r="E440" t="s">
        <v>16</v>
      </c>
      <c r="F440" t="s">
        <v>8</v>
      </c>
      <c r="G440" t="e">
        <f>VLOOKUP($A440,'CA-US List'!$A:$C,3,0)</f>
        <v>#N/A</v>
      </c>
      <c r="H440" t="s">
        <v>9</v>
      </c>
    </row>
    <row r="441" spans="1:8" x14ac:dyDescent="0.25">
      <c r="A441">
        <v>68851104</v>
      </c>
      <c r="B441">
        <v>1352</v>
      </c>
      <c r="C441">
        <v>8624</v>
      </c>
      <c r="D441" s="19">
        <v>46083</v>
      </c>
      <c r="E441" t="s">
        <v>16</v>
      </c>
      <c r="F441" t="s">
        <v>8</v>
      </c>
      <c r="G441" t="e">
        <f>VLOOKUP($A441,'CA-US List'!$A:$C,3,0)</f>
        <v>#N/A</v>
      </c>
      <c r="H441" t="s">
        <v>9</v>
      </c>
    </row>
    <row r="442" spans="1:8" x14ac:dyDescent="0.25">
      <c r="A442">
        <v>68851104</v>
      </c>
      <c r="B442">
        <v>1352</v>
      </c>
      <c r="C442">
        <v>5214</v>
      </c>
      <c r="D442" s="19">
        <v>46083</v>
      </c>
      <c r="E442" t="s">
        <v>16</v>
      </c>
      <c r="F442" t="s">
        <v>8</v>
      </c>
      <c r="G442" t="e">
        <f>VLOOKUP($A442,'CA-US List'!$A:$C,3,0)</f>
        <v>#N/A</v>
      </c>
      <c r="H442" t="s">
        <v>9</v>
      </c>
    </row>
    <row r="443" spans="1:8" x14ac:dyDescent="0.25">
      <c r="A443">
        <v>68851104</v>
      </c>
      <c r="B443">
        <v>1352</v>
      </c>
      <c r="C443">
        <v>9695</v>
      </c>
      <c r="D443" s="19">
        <v>46084</v>
      </c>
      <c r="E443" t="s">
        <v>16</v>
      </c>
      <c r="F443" t="s">
        <v>8</v>
      </c>
      <c r="G443" t="e">
        <f>VLOOKUP($A443,'CA-US List'!$A:$C,3,0)</f>
        <v>#N/A</v>
      </c>
      <c r="H443" t="s">
        <v>9</v>
      </c>
    </row>
    <row r="444" spans="1:8" x14ac:dyDescent="0.25">
      <c r="A444">
        <v>68851104</v>
      </c>
      <c r="B444">
        <v>1352</v>
      </c>
      <c r="C444">
        <v>176</v>
      </c>
      <c r="D444" s="19">
        <v>46105</v>
      </c>
      <c r="E444" t="s">
        <v>16</v>
      </c>
      <c r="F444" t="s">
        <v>8</v>
      </c>
      <c r="G444" t="e">
        <f>VLOOKUP($A444,'CA-US List'!$A:$C,3,0)</f>
        <v>#N/A</v>
      </c>
      <c r="H444" t="s">
        <v>9</v>
      </c>
    </row>
    <row r="445" spans="1:8" x14ac:dyDescent="0.25">
      <c r="A445">
        <v>68851104</v>
      </c>
      <c r="B445">
        <v>1352</v>
      </c>
      <c r="C445">
        <v>3200</v>
      </c>
      <c r="D445" s="19">
        <v>46084</v>
      </c>
      <c r="E445" t="s">
        <v>16</v>
      </c>
      <c r="F445" t="s">
        <v>8</v>
      </c>
      <c r="G445" t="e">
        <f>VLOOKUP($A445,'CA-US List'!$A:$C,3,0)</f>
        <v>#N/A</v>
      </c>
      <c r="H445" t="s">
        <v>9</v>
      </c>
    </row>
    <row r="446" spans="1:8" x14ac:dyDescent="0.25">
      <c r="A446">
        <v>68851104</v>
      </c>
      <c r="B446">
        <v>1352</v>
      </c>
      <c r="C446">
        <v>6793</v>
      </c>
      <c r="D446" s="19">
        <v>46085</v>
      </c>
      <c r="E446" t="s">
        <v>16</v>
      </c>
      <c r="F446" t="s">
        <v>8</v>
      </c>
      <c r="G446" t="e">
        <f>VLOOKUP($A446,'CA-US List'!$A:$C,3,0)</f>
        <v>#N/A</v>
      </c>
      <c r="H446" t="s">
        <v>9</v>
      </c>
    </row>
    <row r="447" spans="1:8" x14ac:dyDescent="0.25">
      <c r="A447">
        <v>68851104</v>
      </c>
      <c r="B447">
        <v>1352</v>
      </c>
      <c r="C447">
        <v>0</v>
      </c>
      <c r="D447" s="19">
        <v>46093</v>
      </c>
      <c r="E447" t="s">
        <v>16</v>
      </c>
      <c r="F447" t="s">
        <v>8</v>
      </c>
      <c r="G447" t="e">
        <f>VLOOKUP($A447,'CA-US List'!$A:$C,3,0)</f>
        <v>#N/A</v>
      </c>
      <c r="H447" t="s">
        <v>9</v>
      </c>
    </row>
    <row r="448" spans="1:8" x14ac:dyDescent="0.25">
      <c r="A448">
        <v>68851104</v>
      </c>
      <c r="B448">
        <v>1352</v>
      </c>
      <c r="C448">
        <v>5177</v>
      </c>
      <c r="D448" s="19">
        <v>46103</v>
      </c>
      <c r="E448" t="s">
        <v>16</v>
      </c>
      <c r="F448" t="s">
        <v>8</v>
      </c>
      <c r="G448" t="e">
        <f>VLOOKUP($A448,'CA-US List'!$A:$C,3,0)</f>
        <v>#N/A</v>
      </c>
      <c r="H448" t="s">
        <v>9</v>
      </c>
    </row>
    <row r="449" spans="1:8" x14ac:dyDescent="0.25">
      <c r="A449">
        <v>68851104</v>
      </c>
      <c r="B449">
        <v>1352</v>
      </c>
      <c r="C449">
        <v>4543</v>
      </c>
      <c r="D449" s="19">
        <v>46104</v>
      </c>
      <c r="E449" t="s">
        <v>16</v>
      </c>
      <c r="F449" t="s">
        <v>8</v>
      </c>
      <c r="G449" t="e">
        <f>VLOOKUP($A449,'CA-US List'!$A:$C,3,0)</f>
        <v>#N/A</v>
      </c>
      <c r="H449" t="s">
        <v>9</v>
      </c>
    </row>
    <row r="450" spans="1:8" x14ac:dyDescent="0.25">
      <c r="A450">
        <v>68851104</v>
      </c>
      <c r="B450">
        <v>1352</v>
      </c>
      <c r="C450">
        <v>11379</v>
      </c>
      <c r="D450" s="19">
        <v>46099</v>
      </c>
      <c r="E450" t="s">
        <v>16</v>
      </c>
      <c r="F450" t="s">
        <v>8</v>
      </c>
      <c r="G450" t="e">
        <f>VLOOKUP($A450,'CA-US List'!$A:$C,3,0)</f>
        <v>#N/A</v>
      </c>
      <c r="H450" t="s">
        <v>9</v>
      </c>
    </row>
    <row r="451" spans="1:8" x14ac:dyDescent="0.25">
      <c r="A451">
        <v>68851104</v>
      </c>
      <c r="B451">
        <v>1352</v>
      </c>
      <c r="C451">
        <v>12486</v>
      </c>
      <c r="D451" s="19">
        <v>46102</v>
      </c>
      <c r="E451" t="s">
        <v>16</v>
      </c>
      <c r="F451" t="s">
        <v>8</v>
      </c>
      <c r="G451" t="e">
        <f>VLOOKUP($A451,'CA-US List'!$A:$C,3,0)</f>
        <v>#N/A</v>
      </c>
      <c r="H451" t="s">
        <v>9</v>
      </c>
    </row>
    <row r="452" spans="1:8" x14ac:dyDescent="0.25">
      <c r="A452">
        <v>68851104</v>
      </c>
      <c r="B452">
        <v>1352</v>
      </c>
      <c r="C452">
        <v>9061</v>
      </c>
      <c r="D452" s="19">
        <v>46103</v>
      </c>
      <c r="E452" t="s">
        <v>16</v>
      </c>
      <c r="F452" t="s">
        <v>8</v>
      </c>
      <c r="G452" t="e">
        <f>VLOOKUP($A452,'CA-US List'!$A:$C,3,0)</f>
        <v>#N/A</v>
      </c>
      <c r="H452" t="s">
        <v>9</v>
      </c>
    </row>
    <row r="453" spans="1:8" x14ac:dyDescent="0.25">
      <c r="A453">
        <v>68851104</v>
      </c>
      <c r="B453">
        <v>1352</v>
      </c>
      <c r="C453">
        <v>4663</v>
      </c>
      <c r="D453" s="19">
        <v>46086</v>
      </c>
      <c r="E453" t="s">
        <v>16</v>
      </c>
      <c r="F453" t="s">
        <v>8</v>
      </c>
      <c r="G453" t="e">
        <f>VLOOKUP($A453,'CA-US List'!$A:$C,3,0)</f>
        <v>#N/A</v>
      </c>
      <c r="H453" t="s">
        <v>9</v>
      </c>
    </row>
    <row r="454" spans="1:8" x14ac:dyDescent="0.25">
      <c r="A454">
        <v>68851104</v>
      </c>
      <c r="B454">
        <v>1352</v>
      </c>
      <c r="C454">
        <v>8442</v>
      </c>
      <c r="D454" s="19">
        <v>46087</v>
      </c>
      <c r="E454" t="s">
        <v>16</v>
      </c>
      <c r="F454" t="s">
        <v>8</v>
      </c>
      <c r="G454" t="e">
        <f>VLOOKUP($A454,'CA-US List'!$A:$C,3,0)</f>
        <v>#N/A</v>
      </c>
      <c r="H454" t="s">
        <v>9</v>
      </c>
    </row>
    <row r="455" spans="1:8" x14ac:dyDescent="0.25">
      <c r="A455">
        <v>68851104</v>
      </c>
      <c r="B455">
        <v>1352</v>
      </c>
      <c r="C455">
        <v>4752</v>
      </c>
      <c r="D455" s="19">
        <v>46087</v>
      </c>
      <c r="E455" t="s">
        <v>16</v>
      </c>
      <c r="F455" t="s">
        <v>8</v>
      </c>
      <c r="G455" t="e">
        <f>VLOOKUP($A455,'CA-US List'!$A:$C,3,0)</f>
        <v>#N/A</v>
      </c>
      <c r="H455" t="s">
        <v>9</v>
      </c>
    </row>
    <row r="456" spans="1:8" x14ac:dyDescent="0.25">
      <c r="A456">
        <v>68851104</v>
      </c>
      <c r="B456">
        <v>1352</v>
      </c>
      <c r="C456">
        <v>4324</v>
      </c>
      <c r="D456" s="19">
        <v>46088</v>
      </c>
      <c r="E456" t="s">
        <v>16</v>
      </c>
      <c r="F456" t="s">
        <v>8</v>
      </c>
      <c r="G456" t="e">
        <f>VLOOKUP($A456,'CA-US List'!$A:$C,3,0)</f>
        <v>#N/A</v>
      </c>
      <c r="H456" t="s">
        <v>9</v>
      </c>
    </row>
    <row r="457" spans="1:8" x14ac:dyDescent="0.25">
      <c r="A457">
        <v>68851104</v>
      </c>
      <c r="B457">
        <v>1352</v>
      </c>
      <c r="C457">
        <v>3831</v>
      </c>
      <c r="D457" s="19">
        <v>46085</v>
      </c>
      <c r="E457" t="s">
        <v>16</v>
      </c>
      <c r="F457" t="s">
        <v>8</v>
      </c>
      <c r="G457" t="e">
        <f>VLOOKUP($A457,'CA-US List'!$A:$C,3,0)</f>
        <v>#N/A</v>
      </c>
      <c r="H457" t="s">
        <v>9</v>
      </c>
    </row>
    <row r="458" spans="1:8" x14ac:dyDescent="0.25">
      <c r="A458">
        <v>68851104</v>
      </c>
      <c r="B458">
        <v>1352</v>
      </c>
      <c r="C458">
        <v>3838</v>
      </c>
      <c r="D458" s="19">
        <v>46086</v>
      </c>
      <c r="E458" t="s">
        <v>16</v>
      </c>
      <c r="F458" t="s">
        <v>8</v>
      </c>
      <c r="G458" t="e">
        <f>VLOOKUP($A458,'CA-US List'!$A:$C,3,0)</f>
        <v>#N/A</v>
      </c>
      <c r="H458" t="s">
        <v>9</v>
      </c>
    </row>
    <row r="459" spans="1:8" x14ac:dyDescent="0.25">
      <c r="A459">
        <v>68851104</v>
      </c>
      <c r="B459">
        <v>1352</v>
      </c>
      <c r="C459">
        <v>33</v>
      </c>
      <c r="D459" s="19">
        <v>46093</v>
      </c>
      <c r="E459" t="s">
        <v>16</v>
      </c>
      <c r="F459" t="s">
        <v>8</v>
      </c>
      <c r="G459" t="e">
        <f>VLOOKUP($A459,'CA-US List'!$A:$C,3,0)</f>
        <v>#N/A</v>
      </c>
      <c r="H459" t="s">
        <v>9</v>
      </c>
    </row>
    <row r="460" spans="1:8" x14ac:dyDescent="0.25">
      <c r="A460">
        <v>68851104</v>
      </c>
      <c r="B460">
        <v>1352</v>
      </c>
      <c r="C460">
        <v>165</v>
      </c>
      <c r="D460" s="19">
        <v>46105</v>
      </c>
      <c r="E460" t="s">
        <v>16</v>
      </c>
      <c r="F460" t="s">
        <v>8</v>
      </c>
      <c r="G460" t="e">
        <f>VLOOKUP($A460,'CA-US List'!$A:$C,3,0)</f>
        <v>#N/A</v>
      </c>
      <c r="H460" t="s">
        <v>9</v>
      </c>
    </row>
    <row r="461" spans="1:8" x14ac:dyDescent="0.25">
      <c r="A461">
        <v>68851104</v>
      </c>
      <c r="B461">
        <v>1352</v>
      </c>
      <c r="C461">
        <v>6378</v>
      </c>
      <c r="D461" s="19">
        <v>46076</v>
      </c>
      <c r="E461" t="s">
        <v>16</v>
      </c>
      <c r="F461" t="s">
        <v>8</v>
      </c>
      <c r="G461" t="e">
        <f>VLOOKUP($A461,'CA-US List'!$A:$C,3,0)</f>
        <v>#N/A</v>
      </c>
      <c r="H461" t="s">
        <v>9</v>
      </c>
    </row>
    <row r="462" spans="1:8" x14ac:dyDescent="0.25">
      <c r="A462">
        <v>68851104</v>
      </c>
      <c r="B462">
        <v>1352</v>
      </c>
      <c r="C462">
        <v>148</v>
      </c>
      <c r="D462" s="19">
        <v>46076</v>
      </c>
      <c r="E462" t="s">
        <v>16</v>
      </c>
      <c r="F462" t="s">
        <v>8</v>
      </c>
      <c r="G462" t="e">
        <f>VLOOKUP($A462,'CA-US List'!$A:$C,3,0)</f>
        <v>#N/A</v>
      </c>
      <c r="H462" t="s">
        <v>9</v>
      </c>
    </row>
    <row r="463" spans="1:8" x14ac:dyDescent="0.25">
      <c r="A463">
        <v>68851104</v>
      </c>
      <c r="B463">
        <v>1352</v>
      </c>
      <c r="C463">
        <v>9284</v>
      </c>
      <c r="D463" s="19">
        <v>46077</v>
      </c>
      <c r="E463" t="s">
        <v>16</v>
      </c>
      <c r="F463" t="s">
        <v>8</v>
      </c>
      <c r="G463" t="e">
        <f>VLOOKUP($A463,'CA-US List'!$A:$C,3,0)</f>
        <v>#N/A</v>
      </c>
      <c r="H463" t="s">
        <v>9</v>
      </c>
    </row>
    <row r="464" spans="1:8" x14ac:dyDescent="0.25">
      <c r="A464">
        <v>68851104</v>
      </c>
      <c r="B464">
        <v>1352</v>
      </c>
      <c r="C464">
        <v>0</v>
      </c>
      <c r="D464" s="19">
        <v>46079</v>
      </c>
      <c r="E464" t="s">
        <v>16</v>
      </c>
      <c r="F464" t="s">
        <v>8</v>
      </c>
      <c r="G464" t="e">
        <f>VLOOKUP($A464,'CA-US List'!$A:$C,3,0)</f>
        <v>#N/A</v>
      </c>
      <c r="H464" t="s">
        <v>9</v>
      </c>
    </row>
    <row r="465" spans="1:8" x14ac:dyDescent="0.25">
      <c r="A465">
        <v>68851104</v>
      </c>
      <c r="B465">
        <v>1352</v>
      </c>
      <c r="C465">
        <v>-148</v>
      </c>
      <c r="D465" s="19">
        <v>46082</v>
      </c>
      <c r="E465" t="s">
        <v>16</v>
      </c>
      <c r="F465" t="s">
        <v>8</v>
      </c>
      <c r="G465" t="e">
        <f>VLOOKUP($A465,'CA-US List'!$A:$C,3,0)</f>
        <v>#N/A</v>
      </c>
      <c r="H465" t="s">
        <v>9</v>
      </c>
    </row>
    <row r="466" spans="1:8" x14ac:dyDescent="0.25">
      <c r="A466">
        <v>68851104</v>
      </c>
      <c r="B466">
        <v>1352</v>
      </c>
      <c r="C466">
        <v>126</v>
      </c>
      <c r="D466" s="19">
        <v>46090</v>
      </c>
      <c r="E466" t="s">
        <v>16</v>
      </c>
      <c r="F466" t="s">
        <v>8</v>
      </c>
      <c r="G466" t="e">
        <f>VLOOKUP($A466,'CA-US List'!$A:$C,3,0)</f>
        <v>#N/A</v>
      </c>
      <c r="H466" t="s">
        <v>9</v>
      </c>
    </row>
    <row r="467" spans="1:8" x14ac:dyDescent="0.25">
      <c r="A467">
        <v>68851104</v>
      </c>
      <c r="B467">
        <v>1352</v>
      </c>
      <c r="C467">
        <v>5104</v>
      </c>
      <c r="D467" s="19">
        <v>46077</v>
      </c>
      <c r="E467" t="s">
        <v>16</v>
      </c>
      <c r="F467" t="s">
        <v>8</v>
      </c>
      <c r="G467" t="e">
        <f>VLOOKUP($A467,'CA-US List'!$A:$C,3,0)</f>
        <v>#N/A</v>
      </c>
      <c r="H467" t="s">
        <v>9</v>
      </c>
    </row>
    <row r="468" spans="1:8" x14ac:dyDescent="0.25">
      <c r="A468">
        <v>68851104</v>
      </c>
      <c r="B468">
        <v>1352</v>
      </c>
      <c r="C468">
        <v>2402</v>
      </c>
      <c r="D468" s="19">
        <v>46078</v>
      </c>
      <c r="E468" t="s">
        <v>16</v>
      </c>
      <c r="F468" t="s">
        <v>8</v>
      </c>
      <c r="G468" t="e">
        <f>VLOOKUP($A468,'CA-US List'!$A:$C,3,0)</f>
        <v>#N/A</v>
      </c>
      <c r="H468" t="s">
        <v>9</v>
      </c>
    </row>
    <row r="469" spans="1:8" x14ac:dyDescent="0.25">
      <c r="A469">
        <v>68851104</v>
      </c>
      <c r="B469">
        <v>1352</v>
      </c>
      <c r="C469">
        <v>5913</v>
      </c>
      <c r="D469" s="19">
        <v>46099</v>
      </c>
      <c r="E469" t="s">
        <v>16</v>
      </c>
      <c r="F469" t="s">
        <v>8</v>
      </c>
      <c r="G469" t="e">
        <f>VLOOKUP($A469,'CA-US List'!$A:$C,3,0)</f>
        <v>#N/A</v>
      </c>
      <c r="H469" t="s">
        <v>9</v>
      </c>
    </row>
    <row r="470" spans="1:8" x14ac:dyDescent="0.25">
      <c r="A470">
        <v>68851104</v>
      </c>
      <c r="B470">
        <v>1352</v>
      </c>
      <c r="C470">
        <v>9877</v>
      </c>
      <c r="D470" s="19">
        <v>46100</v>
      </c>
      <c r="E470" t="s">
        <v>16</v>
      </c>
      <c r="F470" t="s">
        <v>8</v>
      </c>
      <c r="G470" t="e">
        <f>VLOOKUP($A470,'CA-US List'!$A:$C,3,0)</f>
        <v>#N/A</v>
      </c>
      <c r="H470" t="s">
        <v>9</v>
      </c>
    </row>
    <row r="471" spans="1:8" x14ac:dyDescent="0.25">
      <c r="A471">
        <v>68851104</v>
      </c>
      <c r="B471">
        <v>1352</v>
      </c>
      <c r="C471">
        <v>6512</v>
      </c>
      <c r="D471" s="19">
        <v>46100</v>
      </c>
      <c r="E471" t="s">
        <v>16</v>
      </c>
      <c r="F471" t="s">
        <v>8</v>
      </c>
      <c r="G471" t="e">
        <f>VLOOKUP($A471,'CA-US List'!$A:$C,3,0)</f>
        <v>#N/A</v>
      </c>
      <c r="H471" t="s">
        <v>9</v>
      </c>
    </row>
    <row r="472" spans="1:8" x14ac:dyDescent="0.25">
      <c r="A472">
        <v>68851104</v>
      </c>
      <c r="B472">
        <v>1352</v>
      </c>
      <c r="C472">
        <v>9204</v>
      </c>
      <c r="D472" s="19">
        <v>46101</v>
      </c>
      <c r="E472" t="s">
        <v>16</v>
      </c>
      <c r="F472" t="s">
        <v>8</v>
      </c>
      <c r="G472" t="e">
        <f>VLOOKUP($A472,'CA-US List'!$A:$C,3,0)</f>
        <v>#N/A</v>
      </c>
      <c r="H472" t="s">
        <v>9</v>
      </c>
    </row>
    <row r="473" spans="1:8" x14ac:dyDescent="0.25">
      <c r="A473">
        <v>68851107</v>
      </c>
      <c r="B473">
        <v>1352</v>
      </c>
      <c r="C473">
        <v>0</v>
      </c>
      <c r="D473" s="19">
        <v>46078</v>
      </c>
      <c r="E473" t="s">
        <v>11</v>
      </c>
      <c r="F473" t="s">
        <v>23</v>
      </c>
      <c r="G473" t="e">
        <f>VLOOKUP($A473,'CA-US List'!$A:$C,3,0)</f>
        <v>#N/A</v>
      </c>
      <c r="H473" t="s">
        <v>9</v>
      </c>
    </row>
    <row r="474" spans="1:8" x14ac:dyDescent="0.25">
      <c r="A474">
        <v>68851107</v>
      </c>
      <c r="B474">
        <v>1352</v>
      </c>
      <c r="C474">
        <v>0</v>
      </c>
      <c r="D474" s="19">
        <v>46079</v>
      </c>
      <c r="E474" t="s">
        <v>11</v>
      </c>
      <c r="F474" t="s">
        <v>23</v>
      </c>
      <c r="G474" t="e">
        <f>VLOOKUP($A474,'CA-US List'!$A:$C,3,0)</f>
        <v>#N/A</v>
      </c>
      <c r="H474" t="s">
        <v>9</v>
      </c>
    </row>
    <row r="475" spans="1:8" x14ac:dyDescent="0.25">
      <c r="A475">
        <v>68851107</v>
      </c>
      <c r="B475">
        <v>1352</v>
      </c>
      <c r="C475">
        <v>0</v>
      </c>
      <c r="D475" s="19">
        <v>46076</v>
      </c>
      <c r="E475" t="s">
        <v>11</v>
      </c>
      <c r="F475" t="s">
        <v>23</v>
      </c>
      <c r="G475" t="e">
        <f>VLOOKUP($A475,'CA-US List'!$A:$C,3,0)</f>
        <v>#N/A</v>
      </c>
      <c r="H475" t="s">
        <v>9</v>
      </c>
    </row>
    <row r="476" spans="1:8" x14ac:dyDescent="0.25">
      <c r="A476">
        <v>68851107</v>
      </c>
      <c r="B476">
        <v>1352</v>
      </c>
      <c r="C476">
        <v>0</v>
      </c>
      <c r="D476" s="19">
        <v>46079</v>
      </c>
      <c r="E476" t="s">
        <v>11</v>
      </c>
      <c r="F476" t="s">
        <v>23</v>
      </c>
      <c r="G476" t="e">
        <f>VLOOKUP($A476,'CA-US List'!$A:$C,3,0)</f>
        <v>#N/A</v>
      </c>
      <c r="H476" t="s">
        <v>9</v>
      </c>
    </row>
    <row r="477" spans="1:8" x14ac:dyDescent="0.25">
      <c r="A477">
        <v>68851107</v>
      </c>
      <c r="B477">
        <v>1352</v>
      </c>
      <c r="C477">
        <v>5651</v>
      </c>
      <c r="D477" s="19">
        <v>46076</v>
      </c>
      <c r="E477" t="s">
        <v>11</v>
      </c>
      <c r="F477" t="s">
        <v>23</v>
      </c>
      <c r="G477" t="e">
        <f>VLOOKUP($A477,'CA-US List'!$A:$C,3,0)</f>
        <v>#N/A</v>
      </c>
      <c r="H477" t="s">
        <v>9</v>
      </c>
    </row>
    <row r="478" spans="1:8" x14ac:dyDescent="0.25">
      <c r="A478">
        <v>68851107</v>
      </c>
      <c r="B478">
        <v>1352</v>
      </c>
      <c r="C478">
        <v>139</v>
      </c>
      <c r="D478" s="19">
        <v>46076</v>
      </c>
      <c r="E478" t="s">
        <v>11</v>
      </c>
      <c r="F478" t="s">
        <v>23</v>
      </c>
      <c r="G478" t="e">
        <f>VLOOKUP($A478,'CA-US List'!$A:$C,3,0)</f>
        <v>#N/A</v>
      </c>
      <c r="H478" t="s">
        <v>9</v>
      </c>
    </row>
    <row r="479" spans="1:8" x14ac:dyDescent="0.25">
      <c r="A479">
        <v>68851107</v>
      </c>
      <c r="B479">
        <v>1352</v>
      </c>
      <c r="C479">
        <v>9296</v>
      </c>
      <c r="D479" s="19">
        <v>46077</v>
      </c>
      <c r="E479" t="s">
        <v>11</v>
      </c>
      <c r="F479" t="s">
        <v>23</v>
      </c>
      <c r="G479" t="e">
        <f>VLOOKUP($A479,'CA-US List'!$A:$C,3,0)</f>
        <v>#N/A</v>
      </c>
      <c r="H479" t="s">
        <v>9</v>
      </c>
    </row>
    <row r="480" spans="1:8" x14ac:dyDescent="0.25">
      <c r="A480">
        <v>68851107</v>
      </c>
      <c r="B480">
        <v>1352</v>
      </c>
      <c r="C480">
        <v>4326</v>
      </c>
      <c r="D480" s="19">
        <v>46077</v>
      </c>
      <c r="E480" t="s">
        <v>11</v>
      </c>
      <c r="F480" t="s">
        <v>23</v>
      </c>
      <c r="G480" t="e">
        <f>VLOOKUP($A480,'CA-US List'!$A:$C,3,0)</f>
        <v>#N/A</v>
      </c>
      <c r="H480" t="s">
        <v>9</v>
      </c>
    </row>
    <row r="481" spans="1:8" x14ac:dyDescent="0.25">
      <c r="A481">
        <v>68851107</v>
      </c>
      <c r="B481">
        <v>1352</v>
      </c>
      <c r="C481">
        <v>6191</v>
      </c>
      <c r="D481" s="19">
        <v>46078</v>
      </c>
      <c r="E481" t="s">
        <v>11</v>
      </c>
      <c r="F481" t="s">
        <v>23</v>
      </c>
      <c r="G481" t="e">
        <f>VLOOKUP($A481,'CA-US List'!$A:$C,3,0)</f>
        <v>#N/A</v>
      </c>
      <c r="H481" t="s">
        <v>9</v>
      </c>
    </row>
    <row r="482" spans="1:8" x14ac:dyDescent="0.25">
      <c r="A482">
        <v>68851109</v>
      </c>
      <c r="B482">
        <v>1352</v>
      </c>
      <c r="C482">
        <v>3690</v>
      </c>
      <c r="D482" s="19">
        <v>46098</v>
      </c>
      <c r="E482" t="s">
        <v>22</v>
      </c>
      <c r="F482" t="s">
        <v>8</v>
      </c>
      <c r="G482" t="e">
        <f>VLOOKUP($A482,'CA-US List'!$A:$C,3,0)</f>
        <v>#N/A</v>
      </c>
      <c r="H482" t="s">
        <v>9</v>
      </c>
    </row>
    <row r="483" spans="1:8" x14ac:dyDescent="0.25">
      <c r="A483">
        <v>68852591</v>
      </c>
      <c r="B483">
        <v>1352</v>
      </c>
      <c r="C483">
        <v>2376</v>
      </c>
      <c r="D483" s="19">
        <v>46083</v>
      </c>
      <c r="E483" t="s">
        <v>68</v>
      </c>
      <c r="F483" t="s">
        <v>19</v>
      </c>
      <c r="G483" t="e">
        <f>VLOOKUP($A483,'CA-US List'!$A:$C,3,0)</f>
        <v>#N/A</v>
      </c>
      <c r="H483" t="s">
        <v>9</v>
      </c>
    </row>
    <row r="484" spans="1:8" x14ac:dyDescent="0.25">
      <c r="A484">
        <v>68852591</v>
      </c>
      <c r="B484">
        <v>1352</v>
      </c>
      <c r="C484">
        <v>1050</v>
      </c>
      <c r="D484" s="19">
        <v>46084</v>
      </c>
      <c r="E484" t="s">
        <v>68</v>
      </c>
      <c r="F484" t="s">
        <v>19</v>
      </c>
      <c r="G484" t="e">
        <f>VLOOKUP($A484,'CA-US List'!$A:$C,3,0)</f>
        <v>#N/A</v>
      </c>
      <c r="H484" t="s">
        <v>9</v>
      </c>
    </row>
    <row r="485" spans="1:8" x14ac:dyDescent="0.25">
      <c r="A485">
        <v>68852591</v>
      </c>
      <c r="B485">
        <v>1352</v>
      </c>
      <c r="C485">
        <v>1980</v>
      </c>
      <c r="D485" s="19">
        <v>46084</v>
      </c>
      <c r="E485" t="s">
        <v>68</v>
      </c>
      <c r="F485" t="s">
        <v>19</v>
      </c>
      <c r="G485" t="e">
        <f>VLOOKUP($A485,'CA-US List'!$A:$C,3,0)</f>
        <v>#N/A</v>
      </c>
      <c r="H485" t="s">
        <v>9</v>
      </c>
    </row>
    <row r="486" spans="1:8" x14ac:dyDescent="0.25">
      <c r="A486">
        <v>68852591</v>
      </c>
      <c r="B486">
        <v>1352</v>
      </c>
      <c r="C486">
        <v>1042</v>
      </c>
      <c r="D486" s="19">
        <v>46085</v>
      </c>
      <c r="E486" t="s">
        <v>68</v>
      </c>
      <c r="F486" t="s">
        <v>19</v>
      </c>
      <c r="G486" t="e">
        <f>VLOOKUP($A486,'CA-US List'!$A:$C,3,0)</f>
        <v>#N/A</v>
      </c>
      <c r="H486" t="s">
        <v>9</v>
      </c>
    </row>
    <row r="487" spans="1:8" x14ac:dyDescent="0.25">
      <c r="A487">
        <v>68852591</v>
      </c>
      <c r="B487">
        <v>1352</v>
      </c>
      <c r="C487">
        <v>3036</v>
      </c>
      <c r="D487" s="19">
        <v>46085</v>
      </c>
      <c r="E487" t="s">
        <v>68</v>
      </c>
      <c r="F487" t="s">
        <v>19</v>
      </c>
      <c r="G487" t="e">
        <f>VLOOKUP($A487,'CA-US List'!$A:$C,3,0)</f>
        <v>#N/A</v>
      </c>
      <c r="H487" t="s">
        <v>9</v>
      </c>
    </row>
    <row r="488" spans="1:8" x14ac:dyDescent="0.25">
      <c r="A488">
        <v>68852591</v>
      </c>
      <c r="B488">
        <v>1352</v>
      </c>
      <c r="C488">
        <v>3686</v>
      </c>
      <c r="D488" s="19">
        <v>46086</v>
      </c>
      <c r="E488" t="s">
        <v>68</v>
      </c>
      <c r="F488" t="s">
        <v>19</v>
      </c>
      <c r="G488" t="e">
        <f>VLOOKUP($A488,'CA-US List'!$A:$C,3,0)</f>
        <v>#N/A</v>
      </c>
      <c r="H488" t="s">
        <v>9</v>
      </c>
    </row>
    <row r="489" spans="1:8" x14ac:dyDescent="0.25">
      <c r="A489">
        <v>68852591</v>
      </c>
      <c r="B489">
        <v>1352</v>
      </c>
      <c r="C489">
        <v>2376</v>
      </c>
      <c r="D489" s="19">
        <v>46087</v>
      </c>
      <c r="E489" t="s">
        <v>68</v>
      </c>
      <c r="F489" t="s">
        <v>19</v>
      </c>
      <c r="G489" t="e">
        <f>VLOOKUP($A489,'CA-US List'!$A:$C,3,0)</f>
        <v>#N/A</v>
      </c>
      <c r="H489" t="s">
        <v>9</v>
      </c>
    </row>
    <row r="490" spans="1:8" x14ac:dyDescent="0.25">
      <c r="A490">
        <v>68852591</v>
      </c>
      <c r="B490">
        <v>1352</v>
      </c>
      <c r="C490">
        <v>3523</v>
      </c>
      <c r="D490" s="19">
        <v>46088</v>
      </c>
      <c r="E490" t="s">
        <v>68</v>
      </c>
      <c r="F490" t="s">
        <v>19</v>
      </c>
      <c r="G490" t="e">
        <f>VLOOKUP($A490,'CA-US List'!$A:$C,3,0)</f>
        <v>#N/A</v>
      </c>
      <c r="H490" t="s">
        <v>9</v>
      </c>
    </row>
    <row r="491" spans="1:8" x14ac:dyDescent="0.25">
      <c r="A491">
        <v>68852591</v>
      </c>
      <c r="B491">
        <v>1352</v>
      </c>
      <c r="C491">
        <v>2244</v>
      </c>
      <c r="D491" s="19">
        <v>46088</v>
      </c>
      <c r="E491" t="s">
        <v>68</v>
      </c>
      <c r="F491" t="s">
        <v>19</v>
      </c>
      <c r="G491" t="e">
        <f>VLOOKUP($A491,'CA-US List'!$A:$C,3,0)</f>
        <v>#N/A</v>
      </c>
      <c r="H491" t="s">
        <v>9</v>
      </c>
    </row>
    <row r="492" spans="1:8" x14ac:dyDescent="0.25">
      <c r="A492">
        <v>68852591</v>
      </c>
      <c r="B492">
        <v>1352</v>
      </c>
      <c r="C492">
        <v>2053</v>
      </c>
      <c r="D492" s="19">
        <v>46089</v>
      </c>
      <c r="E492" t="s">
        <v>68</v>
      </c>
      <c r="F492" t="s">
        <v>19</v>
      </c>
      <c r="G492" t="e">
        <f>VLOOKUP($A492,'CA-US List'!$A:$C,3,0)</f>
        <v>#N/A</v>
      </c>
      <c r="H492" t="s">
        <v>9</v>
      </c>
    </row>
    <row r="493" spans="1:8" x14ac:dyDescent="0.25">
      <c r="A493">
        <v>68852591</v>
      </c>
      <c r="B493">
        <v>1352</v>
      </c>
      <c r="C493">
        <v>699</v>
      </c>
      <c r="D493" s="19">
        <v>46076</v>
      </c>
      <c r="E493" t="s">
        <v>68</v>
      </c>
      <c r="F493" t="s">
        <v>19</v>
      </c>
      <c r="G493" t="e">
        <f>VLOOKUP($A493,'CA-US List'!$A:$C,3,0)</f>
        <v>#N/A</v>
      </c>
      <c r="H493" t="s">
        <v>9</v>
      </c>
    </row>
    <row r="494" spans="1:8" x14ac:dyDescent="0.25">
      <c r="A494">
        <v>68852591</v>
      </c>
      <c r="B494">
        <v>1352</v>
      </c>
      <c r="C494">
        <v>231</v>
      </c>
      <c r="D494" s="19">
        <v>46077</v>
      </c>
      <c r="E494" t="s">
        <v>68</v>
      </c>
      <c r="F494" t="s">
        <v>19</v>
      </c>
      <c r="G494" t="e">
        <f>VLOOKUP($A494,'CA-US List'!$A:$C,3,0)</f>
        <v>#N/A</v>
      </c>
      <c r="H494" t="s">
        <v>9</v>
      </c>
    </row>
    <row r="495" spans="1:8" x14ac:dyDescent="0.25">
      <c r="A495">
        <v>68852591</v>
      </c>
      <c r="B495">
        <v>1352</v>
      </c>
      <c r="C495">
        <v>2376</v>
      </c>
      <c r="D495" s="19">
        <v>46077</v>
      </c>
      <c r="E495" t="s">
        <v>68</v>
      </c>
      <c r="F495" t="s">
        <v>19</v>
      </c>
      <c r="G495" t="e">
        <f>VLOOKUP($A495,'CA-US List'!$A:$C,3,0)</f>
        <v>#N/A</v>
      </c>
      <c r="H495" t="s">
        <v>9</v>
      </c>
    </row>
    <row r="496" spans="1:8" x14ac:dyDescent="0.25">
      <c r="A496">
        <v>68852591</v>
      </c>
      <c r="B496">
        <v>1352</v>
      </c>
      <c r="C496">
        <v>4195</v>
      </c>
      <c r="D496" s="19">
        <v>46078</v>
      </c>
      <c r="E496" t="s">
        <v>68</v>
      </c>
      <c r="F496" t="s">
        <v>19</v>
      </c>
      <c r="G496" t="e">
        <f>VLOOKUP($A496,'CA-US List'!$A:$C,3,0)</f>
        <v>#N/A</v>
      </c>
      <c r="H496" t="s">
        <v>9</v>
      </c>
    </row>
    <row r="497" spans="1:8" x14ac:dyDescent="0.25">
      <c r="A497">
        <v>68852591</v>
      </c>
      <c r="B497">
        <v>1352</v>
      </c>
      <c r="C497">
        <v>2376</v>
      </c>
      <c r="D497" s="19">
        <v>46078</v>
      </c>
      <c r="E497" t="s">
        <v>68</v>
      </c>
      <c r="F497" t="s">
        <v>19</v>
      </c>
      <c r="G497" t="e">
        <f>VLOOKUP($A497,'CA-US List'!$A:$C,3,0)</f>
        <v>#N/A</v>
      </c>
      <c r="H497" t="s">
        <v>9</v>
      </c>
    </row>
    <row r="498" spans="1:8" x14ac:dyDescent="0.25">
      <c r="A498">
        <v>68852591</v>
      </c>
      <c r="B498">
        <v>1352</v>
      </c>
      <c r="C498">
        <v>3526</v>
      </c>
      <c r="D498" s="19">
        <v>46079</v>
      </c>
      <c r="E498" t="s">
        <v>68</v>
      </c>
      <c r="F498" t="s">
        <v>19</v>
      </c>
      <c r="G498" t="e">
        <f>VLOOKUP($A498,'CA-US List'!$A:$C,3,0)</f>
        <v>#N/A</v>
      </c>
      <c r="H498" t="s">
        <v>9</v>
      </c>
    </row>
    <row r="499" spans="1:8" x14ac:dyDescent="0.25">
      <c r="A499">
        <v>68852591</v>
      </c>
      <c r="B499">
        <v>1352</v>
      </c>
      <c r="C499">
        <v>3036</v>
      </c>
      <c r="D499" s="19">
        <v>46079</v>
      </c>
      <c r="E499" t="s">
        <v>68</v>
      </c>
      <c r="F499" t="s">
        <v>19</v>
      </c>
      <c r="G499" t="e">
        <f>VLOOKUP($A499,'CA-US List'!$A:$C,3,0)</f>
        <v>#N/A</v>
      </c>
      <c r="H499" t="s">
        <v>9</v>
      </c>
    </row>
    <row r="500" spans="1:8" x14ac:dyDescent="0.25">
      <c r="A500">
        <v>68852591</v>
      </c>
      <c r="B500">
        <v>1352</v>
      </c>
      <c r="C500">
        <v>3468</v>
      </c>
      <c r="D500" s="19">
        <v>46080</v>
      </c>
      <c r="E500" t="s">
        <v>68</v>
      </c>
      <c r="F500" t="s">
        <v>19</v>
      </c>
      <c r="G500" t="e">
        <f>VLOOKUP($A500,'CA-US List'!$A:$C,3,0)</f>
        <v>#N/A</v>
      </c>
      <c r="H500" t="s">
        <v>9</v>
      </c>
    </row>
    <row r="501" spans="1:8" x14ac:dyDescent="0.25">
      <c r="A501">
        <v>68852591</v>
      </c>
      <c r="B501">
        <v>1352</v>
      </c>
      <c r="C501">
        <v>2386</v>
      </c>
      <c r="D501" s="19">
        <v>46080</v>
      </c>
      <c r="E501" t="s">
        <v>68</v>
      </c>
      <c r="F501" t="s">
        <v>19</v>
      </c>
      <c r="G501" t="e">
        <f>VLOOKUP($A501,'CA-US List'!$A:$C,3,0)</f>
        <v>#N/A</v>
      </c>
      <c r="H501" t="s">
        <v>9</v>
      </c>
    </row>
    <row r="502" spans="1:8" x14ac:dyDescent="0.25">
      <c r="A502">
        <v>68852591</v>
      </c>
      <c r="B502">
        <v>1352</v>
      </c>
      <c r="C502">
        <v>2508</v>
      </c>
      <c r="D502" s="19">
        <v>46081</v>
      </c>
      <c r="E502" t="s">
        <v>68</v>
      </c>
      <c r="F502" t="s">
        <v>19</v>
      </c>
      <c r="G502" t="e">
        <f>VLOOKUP($A502,'CA-US List'!$A:$C,3,0)</f>
        <v>#N/A</v>
      </c>
      <c r="H502" t="s">
        <v>9</v>
      </c>
    </row>
    <row r="503" spans="1:8" x14ac:dyDescent="0.25">
      <c r="A503">
        <v>68852591</v>
      </c>
      <c r="B503">
        <v>1352</v>
      </c>
      <c r="C503">
        <v>2334</v>
      </c>
      <c r="D503" s="19">
        <v>46082</v>
      </c>
      <c r="E503" t="s">
        <v>68</v>
      </c>
      <c r="F503" t="s">
        <v>19</v>
      </c>
      <c r="G503" t="e">
        <f>VLOOKUP($A503,'CA-US List'!$A:$C,3,0)</f>
        <v>#N/A</v>
      </c>
      <c r="H503" t="s">
        <v>9</v>
      </c>
    </row>
    <row r="504" spans="1:8" x14ac:dyDescent="0.25">
      <c r="A504">
        <v>68852591</v>
      </c>
      <c r="B504">
        <v>1352</v>
      </c>
      <c r="C504">
        <v>262</v>
      </c>
      <c r="D504" s="19">
        <v>46093</v>
      </c>
      <c r="E504" t="s">
        <v>68</v>
      </c>
      <c r="F504" t="s">
        <v>19</v>
      </c>
      <c r="G504" t="e">
        <f>VLOOKUP($A504,'CA-US List'!$A:$C,3,0)</f>
        <v>#N/A</v>
      </c>
      <c r="H504" t="s">
        <v>9</v>
      </c>
    </row>
    <row r="505" spans="1:8" x14ac:dyDescent="0.25">
      <c r="A505">
        <v>68852591</v>
      </c>
      <c r="B505">
        <v>1352</v>
      </c>
      <c r="C505">
        <v>2244</v>
      </c>
      <c r="D505" s="19">
        <v>46082</v>
      </c>
      <c r="E505" t="s">
        <v>68</v>
      </c>
      <c r="F505" t="s">
        <v>19</v>
      </c>
      <c r="G505" t="e">
        <f>VLOOKUP($A505,'CA-US List'!$A:$C,3,0)</f>
        <v>#N/A</v>
      </c>
      <c r="H505" t="s">
        <v>9</v>
      </c>
    </row>
    <row r="506" spans="1:8" x14ac:dyDescent="0.25">
      <c r="A506">
        <v>68852591</v>
      </c>
      <c r="B506">
        <v>1352</v>
      </c>
      <c r="C506">
        <v>2153</v>
      </c>
      <c r="D506" s="19">
        <v>46083</v>
      </c>
      <c r="E506" t="s">
        <v>68</v>
      </c>
      <c r="F506" t="s">
        <v>19</v>
      </c>
      <c r="G506" t="e">
        <f>VLOOKUP($A506,'CA-US List'!$A:$C,3,0)</f>
        <v>#N/A</v>
      </c>
      <c r="H506" t="s">
        <v>9</v>
      </c>
    </row>
    <row r="507" spans="1:8" x14ac:dyDescent="0.25">
      <c r="A507">
        <v>68852591</v>
      </c>
      <c r="B507">
        <v>1352</v>
      </c>
      <c r="C507">
        <v>2772</v>
      </c>
      <c r="D507" s="19">
        <v>46086</v>
      </c>
      <c r="E507" t="s">
        <v>68</v>
      </c>
      <c r="F507" t="s">
        <v>19</v>
      </c>
      <c r="G507" t="e">
        <f>VLOOKUP($A507,'CA-US List'!$A:$C,3,0)</f>
        <v>#N/A</v>
      </c>
      <c r="H507" t="s">
        <v>9</v>
      </c>
    </row>
    <row r="508" spans="1:8" x14ac:dyDescent="0.25">
      <c r="A508">
        <v>68852591</v>
      </c>
      <c r="B508">
        <v>1352</v>
      </c>
      <c r="C508">
        <v>3703</v>
      </c>
      <c r="D508" s="19">
        <v>46087</v>
      </c>
      <c r="E508" t="s">
        <v>68</v>
      </c>
      <c r="F508" t="s">
        <v>19</v>
      </c>
      <c r="G508" t="e">
        <f>VLOOKUP($A508,'CA-US List'!$A:$C,3,0)</f>
        <v>#N/A</v>
      </c>
      <c r="H508" t="s">
        <v>9</v>
      </c>
    </row>
    <row r="509" spans="1:8" x14ac:dyDescent="0.25">
      <c r="A509">
        <v>68852591</v>
      </c>
      <c r="B509">
        <v>1352</v>
      </c>
      <c r="C509">
        <v>2430</v>
      </c>
      <c r="D509" s="19">
        <v>46076</v>
      </c>
      <c r="E509" t="s">
        <v>68</v>
      </c>
      <c r="F509" t="s">
        <v>19</v>
      </c>
      <c r="G509" t="e">
        <f>VLOOKUP($A509,'CA-US List'!$A:$C,3,0)</f>
        <v>#N/A</v>
      </c>
      <c r="H509" t="s">
        <v>9</v>
      </c>
    </row>
    <row r="510" spans="1:8" x14ac:dyDescent="0.25">
      <c r="A510">
        <v>68852591</v>
      </c>
      <c r="B510">
        <v>1352</v>
      </c>
      <c r="C510">
        <v>3960</v>
      </c>
      <c r="D510" s="19">
        <v>46077</v>
      </c>
      <c r="E510" t="s">
        <v>68</v>
      </c>
      <c r="F510" t="s">
        <v>19</v>
      </c>
      <c r="G510" t="e">
        <f>VLOOKUP($A510,'CA-US List'!$A:$C,3,0)</f>
        <v>#N/A</v>
      </c>
      <c r="H510" t="s">
        <v>9</v>
      </c>
    </row>
    <row r="511" spans="1:8" x14ac:dyDescent="0.25">
      <c r="A511">
        <v>68852591</v>
      </c>
      <c r="B511">
        <v>1352</v>
      </c>
      <c r="C511">
        <v>2037</v>
      </c>
      <c r="D511" s="19">
        <v>46081</v>
      </c>
      <c r="E511" t="s">
        <v>68</v>
      </c>
      <c r="F511" t="s">
        <v>19</v>
      </c>
      <c r="G511" t="e">
        <f>VLOOKUP($A511,'CA-US List'!$A:$C,3,0)</f>
        <v>#N/A</v>
      </c>
      <c r="H511" t="s">
        <v>9</v>
      </c>
    </row>
    <row r="512" spans="1:8" x14ac:dyDescent="0.25">
      <c r="A512">
        <v>68881268</v>
      </c>
      <c r="B512">
        <v>1352</v>
      </c>
      <c r="C512">
        <v>5591</v>
      </c>
      <c r="D512" s="19">
        <v>46080</v>
      </c>
      <c r="E512" t="s">
        <v>958</v>
      </c>
      <c r="F512" t="s">
        <v>23</v>
      </c>
      <c r="G512" t="e">
        <f>VLOOKUP($A512,'CA-US List'!$A:$C,3,0)</f>
        <v>#N/A</v>
      </c>
      <c r="H512" t="s">
        <v>9</v>
      </c>
    </row>
    <row r="513" spans="1:8" x14ac:dyDescent="0.25">
      <c r="A513">
        <v>68881268</v>
      </c>
      <c r="B513">
        <v>1352</v>
      </c>
      <c r="C513">
        <v>573</v>
      </c>
      <c r="D513" s="19">
        <v>46081</v>
      </c>
      <c r="E513" t="s">
        <v>958</v>
      </c>
      <c r="F513" t="s">
        <v>23</v>
      </c>
      <c r="G513" t="e">
        <f>VLOOKUP($A513,'CA-US List'!$A:$C,3,0)</f>
        <v>#N/A</v>
      </c>
      <c r="H513" t="s">
        <v>9</v>
      </c>
    </row>
    <row r="514" spans="1:8" x14ac:dyDescent="0.25">
      <c r="A514">
        <v>68881268</v>
      </c>
      <c r="B514">
        <v>1352</v>
      </c>
      <c r="C514">
        <v>2475</v>
      </c>
      <c r="D514" s="19">
        <v>46095</v>
      </c>
      <c r="E514" t="s">
        <v>958</v>
      </c>
      <c r="F514" t="s">
        <v>25</v>
      </c>
      <c r="G514" t="e">
        <f>VLOOKUP($A514,'CA-US List'!$A:$C,3,0)</f>
        <v>#N/A</v>
      </c>
      <c r="H514" t="s">
        <v>9</v>
      </c>
    </row>
    <row r="515" spans="1:8" x14ac:dyDescent="0.25">
      <c r="A515">
        <v>68881268</v>
      </c>
      <c r="B515">
        <v>1352</v>
      </c>
      <c r="C515">
        <v>1796</v>
      </c>
      <c r="D515" s="19">
        <v>46096</v>
      </c>
      <c r="E515" t="s">
        <v>958</v>
      </c>
      <c r="F515" t="s">
        <v>25</v>
      </c>
      <c r="G515" t="e">
        <f>VLOOKUP($A515,'CA-US List'!$A:$C,3,0)</f>
        <v>#N/A</v>
      </c>
      <c r="H515" t="s">
        <v>9</v>
      </c>
    </row>
    <row r="516" spans="1:8" x14ac:dyDescent="0.25">
      <c r="A516">
        <v>68881268</v>
      </c>
      <c r="B516">
        <v>1352</v>
      </c>
      <c r="C516">
        <v>5646</v>
      </c>
      <c r="D516" s="19">
        <v>46085</v>
      </c>
      <c r="E516" t="s">
        <v>958</v>
      </c>
      <c r="F516" t="s">
        <v>25</v>
      </c>
      <c r="G516" t="e">
        <f>VLOOKUP($A516,'CA-US List'!$A:$C,3,0)</f>
        <v>#N/A</v>
      </c>
      <c r="H516" t="s">
        <v>9</v>
      </c>
    </row>
    <row r="517" spans="1:8" x14ac:dyDescent="0.25">
      <c r="A517">
        <v>68881268</v>
      </c>
      <c r="B517">
        <v>1352</v>
      </c>
      <c r="C517">
        <v>308</v>
      </c>
      <c r="D517" s="19">
        <v>46086</v>
      </c>
      <c r="E517" t="s">
        <v>958</v>
      </c>
      <c r="F517" t="s">
        <v>25</v>
      </c>
      <c r="G517" t="e">
        <f>VLOOKUP($A517,'CA-US List'!$A:$C,3,0)</f>
        <v>#N/A</v>
      </c>
      <c r="H517" t="s">
        <v>9</v>
      </c>
    </row>
    <row r="518" spans="1:8" x14ac:dyDescent="0.25">
      <c r="A518">
        <v>68881270</v>
      </c>
      <c r="B518">
        <v>1352</v>
      </c>
      <c r="C518">
        <v>4</v>
      </c>
      <c r="D518" s="19">
        <v>46098</v>
      </c>
      <c r="E518" t="s">
        <v>729</v>
      </c>
      <c r="F518" t="s">
        <v>23</v>
      </c>
      <c r="G518" t="e">
        <f>VLOOKUP($A518,'CA-US List'!$A:$C,3,0)</f>
        <v>#N/A</v>
      </c>
      <c r="H518" t="s">
        <v>9</v>
      </c>
    </row>
    <row r="519" spans="1:8" x14ac:dyDescent="0.25">
      <c r="A519">
        <v>68881270</v>
      </c>
      <c r="B519">
        <v>1352</v>
      </c>
      <c r="C519">
        <v>11</v>
      </c>
      <c r="D519" s="19">
        <v>46086</v>
      </c>
      <c r="E519" t="s">
        <v>729</v>
      </c>
      <c r="F519" t="s">
        <v>23</v>
      </c>
      <c r="G519" t="e">
        <f>VLOOKUP($A519,'CA-US List'!$A:$C,3,0)</f>
        <v>#N/A</v>
      </c>
      <c r="H519" t="s">
        <v>9</v>
      </c>
    </row>
    <row r="520" spans="1:8" x14ac:dyDescent="0.25">
      <c r="A520">
        <v>68881270</v>
      </c>
      <c r="B520">
        <v>1352</v>
      </c>
      <c r="C520">
        <v>0</v>
      </c>
      <c r="D520" s="19">
        <v>46086</v>
      </c>
      <c r="E520" t="s">
        <v>729</v>
      </c>
      <c r="F520" t="s">
        <v>23</v>
      </c>
      <c r="G520" t="e">
        <f>VLOOKUP($A520,'CA-US List'!$A:$C,3,0)</f>
        <v>#N/A</v>
      </c>
      <c r="H520" t="s">
        <v>9</v>
      </c>
    </row>
    <row r="521" spans="1:8" x14ac:dyDescent="0.25">
      <c r="A521">
        <v>68881270</v>
      </c>
      <c r="B521">
        <v>1352</v>
      </c>
      <c r="C521">
        <v>7200</v>
      </c>
      <c r="D521" s="19">
        <v>46081</v>
      </c>
      <c r="E521" t="s">
        <v>729</v>
      </c>
      <c r="F521" t="s">
        <v>23</v>
      </c>
      <c r="G521" t="e">
        <f>VLOOKUP($A521,'CA-US List'!$A:$C,3,0)</f>
        <v>#N/A</v>
      </c>
      <c r="H521" t="s">
        <v>9</v>
      </c>
    </row>
    <row r="522" spans="1:8" x14ac:dyDescent="0.25">
      <c r="A522">
        <v>68881270</v>
      </c>
      <c r="B522">
        <v>1352</v>
      </c>
      <c r="C522">
        <v>5232</v>
      </c>
      <c r="D522" s="19">
        <v>46082</v>
      </c>
      <c r="E522" t="s">
        <v>729</v>
      </c>
      <c r="F522" t="s">
        <v>23</v>
      </c>
      <c r="G522" t="e">
        <f>VLOOKUP($A522,'CA-US List'!$A:$C,3,0)</f>
        <v>#N/A</v>
      </c>
      <c r="H522" t="s">
        <v>9</v>
      </c>
    </row>
    <row r="523" spans="1:8" x14ac:dyDescent="0.25">
      <c r="A523">
        <v>68881270</v>
      </c>
      <c r="B523">
        <v>1352</v>
      </c>
      <c r="C523">
        <v>176</v>
      </c>
      <c r="D523" s="19">
        <v>46093</v>
      </c>
      <c r="E523" t="s">
        <v>729</v>
      </c>
      <c r="F523" t="s">
        <v>23</v>
      </c>
      <c r="G523" t="e">
        <f>VLOOKUP($A523,'CA-US List'!$A:$C,3,0)</f>
        <v>#N/A</v>
      </c>
      <c r="H523" t="s">
        <v>9</v>
      </c>
    </row>
    <row r="524" spans="1:8" x14ac:dyDescent="0.25">
      <c r="A524">
        <v>68881270</v>
      </c>
      <c r="B524">
        <v>1352</v>
      </c>
      <c r="C524">
        <v>2622</v>
      </c>
      <c r="D524" s="19">
        <v>46082</v>
      </c>
      <c r="E524" t="s">
        <v>729</v>
      </c>
      <c r="F524" t="s">
        <v>23</v>
      </c>
      <c r="G524" t="e">
        <f>VLOOKUP($A524,'CA-US List'!$A:$C,3,0)</f>
        <v>#N/A</v>
      </c>
      <c r="H524" t="s">
        <v>9</v>
      </c>
    </row>
    <row r="525" spans="1:8" x14ac:dyDescent="0.25">
      <c r="A525">
        <v>68881270</v>
      </c>
      <c r="B525">
        <v>1352</v>
      </c>
      <c r="C525">
        <v>7082</v>
      </c>
      <c r="D525" s="19">
        <v>46083</v>
      </c>
      <c r="E525" t="s">
        <v>729</v>
      </c>
      <c r="F525" t="s">
        <v>23</v>
      </c>
      <c r="G525" t="e">
        <f>VLOOKUP($A525,'CA-US List'!$A:$C,3,0)</f>
        <v>#N/A</v>
      </c>
      <c r="H525" t="s">
        <v>9</v>
      </c>
    </row>
    <row r="526" spans="1:8" x14ac:dyDescent="0.25">
      <c r="A526">
        <v>68881270</v>
      </c>
      <c r="B526">
        <v>1352</v>
      </c>
      <c r="C526">
        <v>4917</v>
      </c>
      <c r="D526" s="19">
        <v>46083</v>
      </c>
      <c r="E526" t="s">
        <v>729</v>
      </c>
      <c r="F526" t="s">
        <v>23</v>
      </c>
      <c r="G526" t="e">
        <f>VLOOKUP($A526,'CA-US List'!$A:$C,3,0)</f>
        <v>#N/A</v>
      </c>
      <c r="H526" t="s">
        <v>9</v>
      </c>
    </row>
    <row r="527" spans="1:8" x14ac:dyDescent="0.25">
      <c r="A527">
        <v>68881270</v>
      </c>
      <c r="B527">
        <v>1352</v>
      </c>
      <c r="C527">
        <v>9113</v>
      </c>
      <c r="D527" s="19">
        <v>46084</v>
      </c>
      <c r="E527" t="s">
        <v>729</v>
      </c>
      <c r="F527" t="s">
        <v>23</v>
      </c>
      <c r="G527" t="e">
        <f>VLOOKUP($A527,'CA-US List'!$A:$C,3,0)</f>
        <v>#N/A</v>
      </c>
      <c r="H527" t="s">
        <v>9</v>
      </c>
    </row>
    <row r="528" spans="1:8" x14ac:dyDescent="0.25">
      <c r="A528">
        <v>68881270</v>
      </c>
      <c r="B528">
        <v>1352</v>
      </c>
      <c r="C528">
        <v>11</v>
      </c>
      <c r="D528" s="19">
        <v>46093</v>
      </c>
      <c r="E528" t="s">
        <v>729</v>
      </c>
      <c r="F528" t="s">
        <v>23</v>
      </c>
      <c r="G528" t="e">
        <f>VLOOKUP($A528,'CA-US List'!$A:$C,3,0)</f>
        <v>#N/A</v>
      </c>
      <c r="H528" t="s">
        <v>9</v>
      </c>
    </row>
    <row r="529" spans="1:8" x14ac:dyDescent="0.25">
      <c r="A529">
        <v>68881270</v>
      </c>
      <c r="B529">
        <v>1352</v>
      </c>
      <c r="C529">
        <v>5218</v>
      </c>
      <c r="D529" s="19">
        <v>46084</v>
      </c>
      <c r="E529" t="s">
        <v>729</v>
      </c>
      <c r="F529" t="s">
        <v>23</v>
      </c>
      <c r="G529" t="e">
        <f>VLOOKUP($A529,'CA-US List'!$A:$C,3,0)</f>
        <v>#N/A</v>
      </c>
      <c r="H529" t="s">
        <v>9</v>
      </c>
    </row>
    <row r="530" spans="1:8" x14ac:dyDescent="0.25">
      <c r="A530">
        <v>68881270</v>
      </c>
      <c r="B530">
        <v>1352</v>
      </c>
      <c r="C530">
        <v>714</v>
      </c>
      <c r="D530" s="19">
        <v>46085</v>
      </c>
      <c r="E530" t="s">
        <v>729</v>
      </c>
      <c r="F530" t="s">
        <v>23</v>
      </c>
      <c r="G530" t="e">
        <f>VLOOKUP($A530,'CA-US List'!$A:$C,3,0)</f>
        <v>#N/A</v>
      </c>
      <c r="H530" t="s">
        <v>9</v>
      </c>
    </row>
    <row r="531" spans="1:8" x14ac:dyDescent="0.25">
      <c r="A531">
        <v>68881270</v>
      </c>
      <c r="B531">
        <v>1352</v>
      </c>
      <c r="C531">
        <v>7649</v>
      </c>
      <c r="D531" s="19">
        <v>46081</v>
      </c>
      <c r="E531" t="s">
        <v>729</v>
      </c>
      <c r="F531" t="s">
        <v>23</v>
      </c>
      <c r="G531" t="e">
        <f>VLOOKUP($A531,'CA-US List'!$A:$C,3,0)</f>
        <v>#N/A</v>
      </c>
      <c r="H531" t="s">
        <v>9</v>
      </c>
    </row>
    <row r="532" spans="1:8" x14ac:dyDescent="0.25">
      <c r="A532">
        <v>68881270</v>
      </c>
      <c r="B532">
        <v>1352</v>
      </c>
      <c r="C532">
        <v>176</v>
      </c>
      <c r="D532" s="19">
        <v>46086</v>
      </c>
      <c r="E532" t="s">
        <v>729</v>
      </c>
      <c r="F532" t="s">
        <v>23</v>
      </c>
      <c r="G532" t="e">
        <f>VLOOKUP($A532,'CA-US List'!$A:$C,3,0)</f>
        <v>#N/A</v>
      </c>
      <c r="H532" t="s">
        <v>9</v>
      </c>
    </row>
    <row r="533" spans="1:8" x14ac:dyDescent="0.25">
      <c r="A533">
        <v>68881270</v>
      </c>
      <c r="B533">
        <v>1352</v>
      </c>
      <c r="C533">
        <v>8997</v>
      </c>
      <c r="D533" s="19">
        <v>46096</v>
      </c>
      <c r="E533" t="s">
        <v>729</v>
      </c>
      <c r="F533" t="s">
        <v>25</v>
      </c>
      <c r="G533" t="e">
        <f>VLOOKUP($A533,'CA-US List'!$A:$C,3,0)</f>
        <v>#N/A</v>
      </c>
      <c r="H533" t="s">
        <v>9</v>
      </c>
    </row>
    <row r="534" spans="1:8" x14ac:dyDescent="0.25">
      <c r="A534">
        <v>68881270</v>
      </c>
      <c r="B534">
        <v>1352</v>
      </c>
      <c r="C534">
        <v>5280</v>
      </c>
      <c r="D534" s="19">
        <v>46097</v>
      </c>
      <c r="E534" t="s">
        <v>729</v>
      </c>
      <c r="F534" t="s">
        <v>25</v>
      </c>
      <c r="G534" t="e">
        <f>VLOOKUP($A534,'CA-US List'!$A:$C,3,0)</f>
        <v>#N/A</v>
      </c>
      <c r="H534" t="s">
        <v>9</v>
      </c>
    </row>
    <row r="535" spans="1:8" x14ac:dyDescent="0.25">
      <c r="A535">
        <v>68881270</v>
      </c>
      <c r="B535">
        <v>1352</v>
      </c>
      <c r="C535">
        <v>5577</v>
      </c>
      <c r="D535" s="19">
        <v>46098</v>
      </c>
      <c r="E535" t="s">
        <v>729</v>
      </c>
      <c r="F535" t="s">
        <v>25</v>
      </c>
      <c r="G535" t="e">
        <f>VLOOKUP($A535,'CA-US List'!$A:$C,3,0)</f>
        <v>#N/A</v>
      </c>
      <c r="H535" t="s">
        <v>9</v>
      </c>
    </row>
    <row r="536" spans="1:8" x14ac:dyDescent="0.25">
      <c r="A536">
        <v>68881270</v>
      </c>
      <c r="B536">
        <v>1352</v>
      </c>
      <c r="C536">
        <v>4928</v>
      </c>
      <c r="D536" s="19">
        <v>46099</v>
      </c>
      <c r="E536" t="s">
        <v>729</v>
      </c>
      <c r="F536" t="s">
        <v>25</v>
      </c>
      <c r="G536" t="e">
        <f>VLOOKUP($A536,'CA-US List'!$A:$C,3,0)</f>
        <v>#N/A</v>
      </c>
      <c r="H536" t="s">
        <v>9</v>
      </c>
    </row>
    <row r="537" spans="1:8" x14ac:dyDescent="0.25">
      <c r="A537">
        <v>68881270</v>
      </c>
      <c r="B537">
        <v>1352</v>
      </c>
      <c r="C537">
        <v>7637</v>
      </c>
      <c r="D537" s="19">
        <v>46100</v>
      </c>
      <c r="E537" t="s">
        <v>729</v>
      </c>
      <c r="F537" t="s">
        <v>25</v>
      </c>
      <c r="G537" t="e">
        <f>VLOOKUP($A537,'CA-US List'!$A:$C,3,0)</f>
        <v>#N/A</v>
      </c>
      <c r="H537" t="s">
        <v>9</v>
      </c>
    </row>
    <row r="538" spans="1:8" x14ac:dyDescent="0.25">
      <c r="A538">
        <v>68881270</v>
      </c>
      <c r="B538">
        <v>1352</v>
      </c>
      <c r="C538">
        <v>176</v>
      </c>
      <c r="D538" s="19">
        <v>46101</v>
      </c>
      <c r="E538" t="s">
        <v>729</v>
      </c>
      <c r="F538" t="s">
        <v>25</v>
      </c>
      <c r="G538" t="e">
        <f>VLOOKUP($A538,'CA-US List'!$A:$C,3,0)</f>
        <v>#N/A</v>
      </c>
      <c r="H538" t="s">
        <v>9</v>
      </c>
    </row>
    <row r="539" spans="1:8" x14ac:dyDescent="0.25">
      <c r="A539">
        <v>68881270</v>
      </c>
      <c r="B539">
        <v>1352</v>
      </c>
      <c r="C539">
        <v>4917</v>
      </c>
      <c r="D539" s="19">
        <v>46098</v>
      </c>
      <c r="E539" t="s">
        <v>729</v>
      </c>
      <c r="F539" t="s">
        <v>25</v>
      </c>
      <c r="G539" t="e">
        <f>VLOOKUP($A539,'CA-US List'!$A:$C,3,0)</f>
        <v>#N/A</v>
      </c>
      <c r="H539" t="s">
        <v>9</v>
      </c>
    </row>
    <row r="540" spans="1:8" x14ac:dyDescent="0.25">
      <c r="A540">
        <v>68881270</v>
      </c>
      <c r="B540">
        <v>1352</v>
      </c>
      <c r="C540">
        <v>5962</v>
      </c>
      <c r="D540" s="19">
        <v>46099</v>
      </c>
      <c r="E540" t="s">
        <v>729</v>
      </c>
      <c r="F540" t="s">
        <v>25</v>
      </c>
      <c r="G540" t="e">
        <f>VLOOKUP($A540,'CA-US List'!$A:$C,3,0)</f>
        <v>#N/A</v>
      </c>
      <c r="H540" t="s">
        <v>9</v>
      </c>
    </row>
    <row r="541" spans="1:8" x14ac:dyDescent="0.25">
      <c r="A541">
        <v>68881270</v>
      </c>
      <c r="B541">
        <v>1352</v>
      </c>
      <c r="C541">
        <v>3377</v>
      </c>
      <c r="D541" s="19">
        <v>46100</v>
      </c>
      <c r="E541" t="s">
        <v>729</v>
      </c>
      <c r="F541" t="s">
        <v>25</v>
      </c>
      <c r="G541" t="e">
        <f>VLOOKUP($A541,'CA-US List'!$A:$C,3,0)</f>
        <v>#N/A</v>
      </c>
      <c r="H541" t="s">
        <v>9</v>
      </c>
    </row>
    <row r="542" spans="1:8" x14ac:dyDescent="0.25">
      <c r="A542">
        <v>68881270</v>
      </c>
      <c r="B542">
        <v>1352</v>
      </c>
      <c r="C542">
        <v>1416</v>
      </c>
      <c r="D542" s="19">
        <v>46101</v>
      </c>
      <c r="E542" t="s">
        <v>729</v>
      </c>
      <c r="F542" t="s">
        <v>25</v>
      </c>
      <c r="G542" t="e">
        <f>VLOOKUP($A542,'CA-US List'!$A:$C,3,0)</f>
        <v>#N/A</v>
      </c>
      <c r="H542" t="s">
        <v>9</v>
      </c>
    </row>
    <row r="543" spans="1:8" x14ac:dyDescent="0.25">
      <c r="A543">
        <v>68881270</v>
      </c>
      <c r="B543">
        <v>1352</v>
      </c>
      <c r="C543">
        <v>5984</v>
      </c>
      <c r="D543" s="19">
        <v>46101</v>
      </c>
      <c r="E543" t="s">
        <v>729</v>
      </c>
      <c r="F543" t="s">
        <v>25</v>
      </c>
      <c r="G543" t="e">
        <f>VLOOKUP($A543,'CA-US List'!$A:$C,3,0)</f>
        <v>#N/A</v>
      </c>
      <c r="H543" t="s">
        <v>9</v>
      </c>
    </row>
    <row r="544" spans="1:8" x14ac:dyDescent="0.25">
      <c r="A544">
        <v>68881270</v>
      </c>
      <c r="B544">
        <v>1352</v>
      </c>
      <c r="C544">
        <v>8817</v>
      </c>
      <c r="D544" s="19">
        <v>46102</v>
      </c>
      <c r="E544" t="s">
        <v>729</v>
      </c>
      <c r="F544" t="s">
        <v>25</v>
      </c>
      <c r="G544" t="e">
        <f>VLOOKUP($A544,'CA-US List'!$A:$C,3,0)</f>
        <v>#N/A</v>
      </c>
      <c r="H544" t="s">
        <v>9</v>
      </c>
    </row>
    <row r="545" spans="1:8" x14ac:dyDescent="0.25">
      <c r="A545">
        <v>68881270</v>
      </c>
      <c r="B545">
        <v>1352</v>
      </c>
      <c r="C545">
        <v>1056</v>
      </c>
      <c r="D545" s="19">
        <v>46085</v>
      </c>
      <c r="E545" t="s">
        <v>729</v>
      </c>
      <c r="F545" t="s">
        <v>25</v>
      </c>
      <c r="G545" t="e">
        <f>VLOOKUP($A545,'CA-US List'!$A:$C,3,0)</f>
        <v>#N/A</v>
      </c>
      <c r="H545" t="s">
        <v>9</v>
      </c>
    </row>
    <row r="546" spans="1:8" x14ac:dyDescent="0.25">
      <c r="A546">
        <v>68881270</v>
      </c>
      <c r="B546">
        <v>1352</v>
      </c>
      <c r="C546">
        <v>6842</v>
      </c>
      <c r="D546" s="19">
        <v>46086</v>
      </c>
      <c r="E546" t="s">
        <v>729</v>
      </c>
      <c r="F546" t="s">
        <v>25</v>
      </c>
      <c r="G546" t="e">
        <f>VLOOKUP($A546,'CA-US List'!$A:$C,3,0)</f>
        <v>#N/A</v>
      </c>
      <c r="H546" t="s">
        <v>9</v>
      </c>
    </row>
    <row r="547" spans="1:8" x14ac:dyDescent="0.25">
      <c r="A547">
        <v>68881270</v>
      </c>
      <c r="B547">
        <v>1352</v>
      </c>
      <c r="C547">
        <v>434</v>
      </c>
      <c r="D547" s="19">
        <v>46087</v>
      </c>
      <c r="E547" t="s">
        <v>729</v>
      </c>
      <c r="F547" t="s">
        <v>25</v>
      </c>
      <c r="G547" t="e">
        <f>VLOOKUP($A547,'CA-US List'!$A:$C,3,0)</f>
        <v>#N/A</v>
      </c>
      <c r="H547" t="s">
        <v>9</v>
      </c>
    </row>
    <row r="548" spans="1:8" x14ac:dyDescent="0.25">
      <c r="A548">
        <v>68881270</v>
      </c>
      <c r="B548">
        <v>1352</v>
      </c>
      <c r="C548">
        <v>4114</v>
      </c>
      <c r="D548" s="19">
        <v>46086</v>
      </c>
      <c r="E548" t="s">
        <v>729</v>
      </c>
      <c r="F548" t="s">
        <v>25</v>
      </c>
      <c r="G548" t="e">
        <f>VLOOKUP($A548,'CA-US List'!$A:$C,3,0)</f>
        <v>#N/A</v>
      </c>
      <c r="H548" t="s">
        <v>9</v>
      </c>
    </row>
    <row r="549" spans="1:8" x14ac:dyDescent="0.25">
      <c r="A549">
        <v>68881270</v>
      </c>
      <c r="B549">
        <v>1352</v>
      </c>
      <c r="C549">
        <v>9149</v>
      </c>
      <c r="D549" s="19">
        <v>46087</v>
      </c>
      <c r="E549" t="s">
        <v>729</v>
      </c>
      <c r="F549" t="s">
        <v>25</v>
      </c>
      <c r="G549" t="e">
        <f>VLOOKUP($A549,'CA-US List'!$A:$C,3,0)</f>
        <v>#N/A</v>
      </c>
      <c r="H549" t="s">
        <v>9</v>
      </c>
    </row>
    <row r="550" spans="1:8" x14ac:dyDescent="0.25">
      <c r="A550">
        <v>68881270</v>
      </c>
      <c r="B550">
        <v>1352</v>
      </c>
      <c r="C550">
        <v>434</v>
      </c>
      <c r="D550" s="19">
        <v>46090</v>
      </c>
      <c r="E550" t="s">
        <v>729</v>
      </c>
      <c r="F550" t="s">
        <v>25</v>
      </c>
      <c r="G550" t="e">
        <f>VLOOKUP($A550,'CA-US List'!$A:$C,3,0)</f>
        <v>#N/A</v>
      </c>
      <c r="H550" t="s">
        <v>9</v>
      </c>
    </row>
    <row r="551" spans="1:8" x14ac:dyDescent="0.25">
      <c r="A551">
        <v>68881270</v>
      </c>
      <c r="B551">
        <v>1352</v>
      </c>
      <c r="C551">
        <v>77</v>
      </c>
      <c r="D551" s="19">
        <v>46105</v>
      </c>
      <c r="E551" t="s">
        <v>729</v>
      </c>
      <c r="F551" t="s">
        <v>25</v>
      </c>
      <c r="G551" t="e">
        <f>VLOOKUP($A551,'CA-US List'!$A:$C,3,0)</f>
        <v>#N/A</v>
      </c>
      <c r="H551" t="s">
        <v>9</v>
      </c>
    </row>
    <row r="552" spans="1:8" x14ac:dyDescent="0.25">
      <c r="A552">
        <v>68881270</v>
      </c>
      <c r="B552">
        <v>1352</v>
      </c>
      <c r="C552">
        <v>4928</v>
      </c>
      <c r="D552" s="19">
        <v>46087</v>
      </c>
      <c r="E552" t="s">
        <v>729</v>
      </c>
      <c r="F552" t="s">
        <v>25</v>
      </c>
      <c r="G552" t="e">
        <f>VLOOKUP($A552,'CA-US List'!$A:$C,3,0)</f>
        <v>#N/A</v>
      </c>
      <c r="H552" t="s">
        <v>9</v>
      </c>
    </row>
    <row r="553" spans="1:8" x14ac:dyDescent="0.25">
      <c r="A553">
        <v>68881270</v>
      </c>
      <c r="B553">
        <v>1352</v>
      </c>
      <c r="C553">
        <v>9724</v>
      </c>
      <c r="D553" s="19">
        <v>46088</v>
      </c>
      <c r="E553" t="s">
        <v>729</v>
      </c>
      <c r="F553" t="s">
        <v>25</v>
      </c>
      <c r="G553" t="e">
        <f>VLOOKUP($A553,'CA-US List'!$A:$C,3,0)</f>
        <v>#N/A</v>
      </c>
      <c r="H553" t="s">
        <v>9</v>
      </c>
    </row>
    <row r="554" spans="1:8" x14ac:dyDescent="0.25">
      <c r="A554">
        <v>68881270</v>
      </c>
      <c r="B554">
        <v>1352</v>
      </c>
      <c r="C554">
        <v>6791</v>
      </c>
      <c r="D554" s="19">
        <v>46089</v>
      </c>
      <c r="E554" t="s">
        <v>729</v>
      </c>
      <c r="F554" t="s">
        <v>25</v>
      </c>
      <c r="G554" t="e">
        <f>VLOOKUP($A554,'CA-US List'!$A:$C,3,0)</f>
        <v>#N/A</v>
      </c>
      <c r="H554" t="s">
        <v>9</v>
      </c>
    </row>
    <row r="555" spans="1:8" x14ac:dyDescent="0.25">
      <c r="A555">
        <v>68881270</v>
      </c>
      <c r="B555">
        <v>1352</v>
      </c>
      <c r="C555">
        <v>5250</v>
      </c>
      <c r="D555" s="19">
        <v>46089</v>
      </c>
      <c r="E555" t="s">
        <v>729</v>
      </c>
      <c r="F555" t="s">
        <v>25</v>
      </c>
      <c r="G555" t="e">
        <f>VLOOKUP($A555,'CA-US List'!$A:$C,3,0)</f>
        <v>#N/A</v>
      </c>
      <c r="H555" t="s">
        <v>9</v>
      </c>
    </row>
    <row r="556" spans="1:8" x14ac:dyDescent="0.25">
      <c r="A556">
        <v>68881270</v>
      </c>
      <c r="B556">
        <v>1352</v>
      </c>
      <c r="C556">
        <v>9993</v>
      </c>
      <c r="D556" s="19">
        <v>46090</v>
      </c>
      <c r="E556" t="s">
        <v>729</v>
      </c>
      <c r="F556" t="s">
        <v>25</v>
      </c>
      <c r="G556" t="e">
        <f>VLOOKUP($A556,'CA-US List'!$A:$C,3,0)</f>
        <v>#N/A</v>
      </c>
      <c r="H556" t="s">
        <v>9</v>
      </c>
    </row>
    <row r="557" spans="1:8" x14ac:dyDescent="0.25">
      <c r="A557">
        <v>68881270</v>
      </c>
      <c r="B557">
        <v>1352</v>
      </c>
      <c r="C557">
        <v>165</v>
      </c>
      <c r="D557" s="19">
        <v>46091</v>
      </c>
      <c r="E557" t="s">
        <v>729</v>
      </c>
      <c r="F557" t="s">
        <v>25</v>
      </c>
      <c r="G557" t="e">
        <f>VLOOKUP($A557,'CA-US List'!$A:$C,3,0)</f>
        <v>#N/A</v>
      </c>
      <c r="H557" t="s">
        <v>9</v>
      </c>
    </row>
    <row r="558" spans="1:8" x14ac:dyDescent="0.25">
      <c r="A558">
        <v>68881270</v>
      </c>
      <c r="B558">
        <v>1352</v>
      </c>
      <c r="C558">
        <v>4048</v>
      </c>
      <c r="D558" s="19">
        <v>46090</v>
      </c>
      <c r="E558" t="s">
        <v>729</v>
      </c>
      <c r="F558" t="s">
        <v>25</v>
      </c>
      <c r="G558" t="e">
        <f>VLOOKUP($A558,'CA-US List'!$A:$C,3,0)</f>
        <v>#N/A</v>
      </c>
      <c r="H558" t="s">
        <v>9</v>
      </c>
    </row>
    <row r="559" spans="1:8" x14ac:dyDescent="0.25">
      <c r="A559">
        <v>68881270</v>
      </c>
      <c r="B559">
        <v>1352</v>
      </c>
      <c r="C559">
        <v>7151</v>
      </c>
      <c r="D559" s="19">
        <v>46091</v>
      </c>
      <c r="E559" t="s">
        <v>729</v>
      </c>
      <c r="F559" t="s">
        <v>25</v>
      </c>
      <c r="G559" t="e">
        <f>VLOOKUP($A559,'CA-US List'!$A:$C,3,0)</f>
        <v>#N/A</v>
      </c>
      <c r="H559" t="s">
        <v>9</v>
      </c>
    </row>
    <row r="560" spans="1:8" x14ac:dyDescent="0.25">
      <c r="A560">
        <v>68881270</v>
      </c>
      <c r="B560">
        <v>1352</v>
      </c>
      <c r="C560">
        <v>4818</v>
      </c>
      <c r="D560" s="19">
        <v>46091</v>
      </c>
      <c r="E560" t="s">
        <v>729</v>
      </c>
      <c r="F560" t="s">
        <v>25</v>
      </c>
      <c r="G560" t="e">
        <f>VLOOKUP($A560,'CA-US List'!$A:$C,3,0)</f>
        <v>#N/A</v>
      </c>
      <c r="H560" t="s">
        <v>9</v>
      </c>
    </row>
    <row r="561" spans="1:8" x14ac:dyDescent="0.25">
      <c r="A561">
        <v>68881270</v>
      </c>
      <c r="B561">
        <v>1352</v>
      </c>
      <c r="C561">
        <v>7442</v>
      </c>
      <c r="D561" s="19">
        <v>46092</v>
      </c>
      <c r="E561" t="s">
        <v>729</v>
      </c>
      <c r="F561" t="s">
        <v>25</v>
      </c>
      <c r="G561" t="e">
        <f>VLOOKUP($A561,'CA-US List'!$A:$C,3,0)</f>
        <v>#N/A</v>
      </c>
      <c r="H561" t="s">
        <v>9</v>
      </c>
    </row>
    <row r="562" spans="1:8" x14ac:dyDescent="0.25">
      <c r="A562">
        <v>68881270</v>
      </c>
      <c r="B562">
        <v>1352</v>
      </c>
      <c r="C562">
        <v>5407</v>
      </c>
      <c r="D562" s="19">
        <v>46097</v>
      </c>
      <c r="E562" t="s">
        <v>729</v>
      </c>
      <c r="F562" t="s">
        <v>25</v>
      </c>
      <c r="G562" t="e">
        <f>VLOOKUP($A562,'CA-US List'!$A:$C,3,0)</f>
        <v>#N/A</v>
      </c>
      <c r="H562" t="s">
        <v>9</v>
      </c>
    </row>
    <row r="563" spans="1:8" x14ac:dyDescent="0.25">
      <c r="A563">
        <v>68881270</v>
      </c>
      <c r="B563">
        <v>1352</v>
      </c>
      <c r="C563">
        <v>11</v>
      </c>
      <c r="D563" s="19">
        <v>46098</v>
      </c>
      <c r="E563" t="s">
        <v>729</v>
      </c>
      <c r="F563" t="s">
        <v>25</v>
      </c>
      <c r="G563" t="e">
        <f>VLOOKUP($A563,'CA-US List'!$A:$C,3,0)</f>
        <v>#N/A</v>
      </c>
      <c r="H563" t="s">
        <v>9</v>
      </c>
    </row>
    <row r="564" spans="1:8" x14ac:dyDescent="0.25">
      <c r="A564">
        <v>68899821</v>
      </c>
      <c r="B564">
        <v>1352</v>
      </c>
      <c r="C564">
        <v>5982</v>
      </c>
      <c r="D564" s="19">
        <v>46104</v>
      </c>
      <c r="E564" t="s">
        <v>960</v>
      </c>
      <c r="F564" t="s">
        <v>25</v>
      </c>
      <c r="G564" t="e">
        <f>VLOOKUP($A564,'CA-US List'!$A:$C,3,0)</f>
        <v>#N/A</v>
      </c>
      <c r="H564" t="s">
        <v>9</v>
      </c>
    </row>
    <row r="565" spans="1:8" x14ac:dyDescent="0.25">
      <c r="A565">
        <v>68899821</v>
      </c>
      <c r="B565">
        <v>1352</v>
      </c>
      <c r="C565">
        <v>8507</v>
      </c>
      <c r="D565" s="19">
        <v>46105</v>
      </c>
      <c r="E565" t="s">
        <v>960</v>
      </c>
      <c r="F565" t="s">
        <v>25</v>
      </c>
      <c r="G565" t="e">
        <f>VLOOKUP($A565,'CA-US List'!$A:$C,3,0)</f>
        <v>#N/A</v>
      </c>
      <c r="H565" t="s">
        <v>9</v>
      </c>
    </row>
    <row r="566" spans="1:8" x14ac:dyDescent="0.25">
      <c r="A566">
        <v>68899821</v>
      </c>
      <c r="B566">
        <v>1352</v>
      </c>
      <c r="C566">
        <v>7082</v>
      </c>
      <c r="D566" s="19">
        <v>46093</v>
      </c>
      <c r="E566" t="s">
        <v>960</v>
      </c>
      <c r="F566" t="s">
        <v>25</v>
      </c>
      <c r="G566" t="e">
        <f>VLOOKUP($A566,'CA-US List'!$A:$C,3,0)</f>
        <v>#N/A</v>
      </c>
      <c r="H566" t="s">
        <v>9</v>
      </c>
    </row>
    <row r="567" spans="1:8" x14ac:dyDescent="0.25">
      <c r="A567">
        <v>68899821</v>
      </c>
      <c r="B567">
        <v>1352</v>
      </c>
      <c r="C567">
        <v>5808</v>
      </c>
      <c r="D567" s="19">
        <v>46093</v>
      </c>
      <c r="E567" t="s">
        <v>960</v>
      </c>
      <c r="F567" t="s">
        <v>25</v>
      </c>
      <c r="G567" t="e">
        <f>VLOOKUP($A567,'CA-US List'!$A:$C,3,0)</f>
        <v>#N/A</v>
      </c>
      <c r="H567" t="s">
        <v>9</v>
      </c>
    </row>
    <row r="568" spans="1:8" x14ac:dyDescent="0.25">
      <c r="A568">
        <v>68899821</v>
      </c>
      <c r="B568">
        <v>1352</v>
      </c>
      <c r="C568">
        <v>9150</v>
      </c>
      <c r="D568" s="19">
        <v>46094</v>
      </c>
      <c r="E568" t="s">
        <v>960</v>
      </c>
      <c r="F568" t="s">
        <v>25</v>
      </c>
      <c r="G568" t="e">
        <f>VLOOKUP($A568,'CA-US List'!$A:$C,3,0)</f>
        <v>#N/A</v>
      </c>
      <c r="H568" t="s">
        <v>9</v>
      </c>
    </row>
    <row r="569" spans="1:8" x14ac:dyDescent="0.25">
      <c r="A569">
        <v>68899821</v>
      </c>
      <c r="B569">
        <v>1352</v>
      </c>
      <c r="C569">
        <v>5908</v>
      </c>
      <c r="D569" s="19">
        <v>46094</v>
      </c>
      <c r="E569" t="s">
        <v>960</v>
      </c>
      <c r="F569" t="s">
        <v>25</v>
      </c>
      <c r="G569" t="e">
        <f>VLOOKUP($A569,'CA-US List'!$A:$C,3,0)</f>
        <v>#N/A</v>
      </c>
      <c r="H569" t="s">
        <v>9</v>
      </c>
    </row>
    <row r="570" spans="1:8" x14ac:dyDescent="0.25">
      <c r="A570">
        <v>68899821</v>
      </c>
      <c r="B570">
        <v>1352</v>
      </c>
      <c r="C570">
        <v>8431</v>
      </c>
      <c r="D570" s="19">
        <v>46095</v>
      </c>
      <c r="E570" t="s">
        <v>960</v>
      </c>
      <c r="F570" t="s">
        <v>25</v>
      </c>
      <c r="G570" t="e">
        <f>VLOOKUP($A570,'CA-US List'!$A:$C,3,0)</f>
        <v>#N/A</v>
      </c>
      <c r="H570" t="s">
        <v>9</v>
      </c>
    </row>
    <row r="571" spans="1:8" x14ac:dyDescent="0.25">
      <c r="A571">
        <v>68899821</v>
      </c>
      <c r="B571">
        <v>1352</v>
      </c>
      <c r="C571">
        <v>1872</v>
      </c>
      <c r="D571" s="19">
        <v>46095</v>
      </c>
      <c r="E571" t="s">
        <v>960</v>
      </c>
      <c r="F571" t="s">
        <v>25</v>
      </c>
      <c r="G571" t="e">
        <f>VLOOKUP($A571,'CA-US List'!$A:$C,3,0)</f>
        <v>#N/A</v>
      </c>
      <c r="H571" t="s">
        <v>9</v>
      </c>
    </row>
    <row r="572" spans="1:8" x14ac:dyDescent="0.25">
      <c r="A572">
        <v>68899821</v>
      </c>
      <c r="B572">
        <v>1352</v>
      </c>
      <c r="C572">
        <v>1922</v>
      </c>
      <c r="D572" s="19">
        <v>46102</v>
      </c>
      <c r="E572" t="s">
        <v>960</v>
      </c>
      <c r="F572" t="s">
        <v>25</v>
      </c>
      <c r="G572" t="e">
        <f>VLOOKUP($A572,'CA-US List'!$A:$C,3,0)</f>
        <v>#N/A</v>
      </c>
      <c r="H572" t="s">
        <v>9</v>
      </c>
    </row>
    <row r="573" spans="1:8" x14ac:dyDescent="0.25">
      <c r="A573">
        <v>68899821</v>
      </c>
      <c r="B573">
        <v>1352</v>
      </c>
      <c r="C573">
        <v>7522</v>
      </c>
      <c r="D573" s="19">
        <v>46103</v>
      </c>
      <c r="E573" t="s">
        <v>960</v>
      </c>
      <c r="F573" t="s">
        <v>25</v>
      </c>
      <c r="G573" t="e">
        <f>VLOOKUP($A573,'CA-US List'!$A:$C,3,0)</f>
        <v>#N/A</v>
      </c>
      <c r="H573" t="s">
        <v>9</v>
      </c>
    </row>
    <row r="574" spans="1:8" x14ac:dyDescent="0.25">
      <c r="A574">
        <v>68899821</v>
      </c>
      <c r="B574">
        <v>1352</v>
      </c>
      <c r="C574">
        <v>5091</v>
      </c>
      <c r="D574" s="19">
        <v>46103</v>
      </c>
      <c r="E574" t="s">
        <v>960</v>
      </c>
      <c r="F574" t="s">
        <v>25</v>
      </c>
      <c r="G574" t="e">
        <f>VLOOKUP($A574,'CA-US List'!$A:$C,3,0)</f>
        <v>#N/A</v>
      </c>
      <c r="H574" t="s">
        <v>9</v>
      </c>
    </row>
    <row r="575" spans="1:8" x14ac:dyDescent="0.25">
      <c r="A575">
        <v>68899821</v>
      </c>
      <c r="B575">
        <v>1352</v>
      </c>
      <c r="C575">
        <v>9314</v>
      </c>
      <c r="D575" s="19">
        <v>46104</v>
      </c>
      <c r="E575" t="s">
        <v>960</v>
      </c>
      <c r="F575" t="s">
        <v>25</v>
      </c>
      <c r="G575" t="e">
        <f>VLOOKUP($A575,'CA-US List'!$A:$C,3,0)</f>
        <v>#N/A</v>
      </c>
      <c r="H575" t="s">
        <v>9</v>
      </c>
    </row>
    <row r="576" spans="1:8" x14ac:dyDescent="0.25">
      <c r="A576">
        <v>68899826</v>
      </c>
      <c r="B576">
        <v>1352</v>
      </c>
      <c r="C576">
        <v>7134</v>
      </c>
      <c r="D576" s="19">
        <v>46105</v>
      </c>
      <c r="E576" t="s">
        <v>962</v>
      </c>
      <c r="F576" t="s">
        <v>23</v>
      </c>
      <c r="G576" t="e">
        <f>VLOOKUP($A576,'CA-US List'!$A:$C,3,0)</f>
        <v>#N/A</v>
      </c>
      <c r="H576" t="s">
        <v>9</v>
      </c>
    </row>
    <row r="577" spans="1:8" x14ac:dyDescent="0.25">
      <c r="A577">
        <v>68930545</v>
      </c>
      <c r="B577">
        <v>1352</v>
      </c>
      <c r="C577">
        <v>6391</v>
      </c>
      <c r="D577" s="19">
        <v>46096</v>
      </c>
      <c r="E577" t="s">
        <v>134</v>
      </c>
      <c r="F577" t="s">
        <v>23</v>
      </c>
      <c r="G577" t="e">
        <f>VLOOKUP($A577,'CA-US List'!$A:$C,3,0)</f>
        <v>#N/A</v>
      </c>
      <c r="H577" t="s">
        <v>9</v>
      </c>
    </row>
    <row r="578" spans="1:8" x14ac:dyDescent="0.25">
      <c r="A578">
        <v>68930545</v>
      </c>
      <c r="B578">
        <v>1352</v>
      </c>
      <c r="C578">
        <v>7407</v>
      </c>
      <c r="D578" s="19">
        <v>46097</v>
      </c>
      <c r="E578" t="s">
        <v>134</v>
      </c>
      <c r="F578" t="s">
        <v>23</v>
      </c>
      <c r="G578" t="e">
        <f>VLOOKUP($A578,'CA-US List'!$A:$C,3,0)</f>
        <v>#N/A</v>
      </c>
      <c r="H578" t="s">
        <v>9</v>
      </c>
    </row>
    <row r="579" spans="1:8" x14ac:dyDescent="0.25">
      <c r="A579">
        <v>68930545</v>
      </c>
      <c r="B579">
        <v>1352</v>
      </c>
      <c r="C579">
        <v>5456</v>
      </c>
      <c r="D579" s="19">
        <v>46097</v>
      </c>
      <c r="E579" t="s">
        <v>134</v>
      </c>
      <c r="F579" t="s">
        <v>23</v>
      </c>
      <c r="G579" t="e">
        <f>VLOOKUP($A579,'CA-US List'!$A:$C,3,0)</f>
        <v>#N/A</v>
      </c>
      <c r="H579" t="s">
        <v>9</v>
      </c>
    </row>
    <row r="580" spans="1:8" x14ac:dyDescent="0.25">
      <c r="A580">
        <v>68930545</v>
      </c>
      <c r="B580">
        <v>1352</v>
      </c>
      <c r="C580">
        <v>4273</v>
      </c>
      <c r="D580" s="19">
        <v>46098</v>
      </c>
      <c r="E580" t="s">
        <v>134</v>
      </c>
      <c r="F580" t="s">
        <v>23</v>
      </c>
      <c r="G580" t="e">
        <f>VLOOKUP($A580,'CA-US List'!$A:$C,3,0)</f>
        <v>#N/A</v>
      </c>
      <c r="H580" t="s">
        <v>9</v>
      </c>
    </row>
    <row r="581" spans="1:8" x14ac:dyDescent="0.25">
      <c r="A581">
        <v>68930545</v>
      </c>
      <c r="B581">
        <v>1352</v>
      </c>
      <c r="C581">
        <v>5600</v>
      </c>
      <c r="D581" s="19">
        <v>46098</v>
      </c>
      <c r="E581" t="s">
        <v>134</v>
      </c>
      <c r="F581" t="s">
        <v>23</v>
      </c>
      <c r="G581" t="e">
        <f>VLOOKUP($A581,'CA-US List'!$A:$C,3,0)</f>
        <v>#N/A</v>
      </c>
      <c r="H581" t="s">
        <v>9</v>
      </c>
    </row>
    <row r="582" spans="1:8" x14ac:dyDescent="0.25">
      <c r="A582">
        <v>68930545</v>
      </c>
      <c r="B582">
        <v>1352</v>
      </c>
      <c r="C582">
        <v>7402</v>
      </c>
      <c r="D582" s="19">
        <v>46099</v>
      </c>
      <c r="E582" t="s">
        <v>134</v>
      </c>
      <c r="F582" t="s">
        <v>23</v>
      </c>
      <c r="G582" t="e">
        <f>VLOOKUP($A582,'CA-US List'!$A:$C,3,0)</f>
        <v>#N/A</v>
      </c>
      <c r="H582" t="s">
        <v>9</v>
      </c>
    </row>
    <row r="583" spans="1:8" x14ac:dyDescent="0.25">
      <c r="A583">
        <v>68930545</v>
      </c>
      <c r="B583">
        <v>1352</v>
      </c>
      <c r="C583">
        <v>6339</v>
      </c>
      <c r="D583" s="19">
        <v>46096</v>
      </c>
      <c r="E583" t="s">
        <v>134</v>
      </c>
      <c r="F583" t="s">
        <v>23</v>
      </c>
      <c r="G583" t="e">
        <f>VLOOKUP($A583,'CA-US List'!$A:$C,3,0)</f>
        <v>#N/A</v>
      </c>
      <c r="H583" t="s">
        <v>9</v>
      </c>
    </row>
    <row r="584" spans="1:8" x14ac:dyDescent="0.25">
      <c r="A584">
        <v>68930545</v>
      </c>
      <c r="B584">
        <v>1352</v>
      </c>
      <c r="C584">
        <v>27</v>
      </c>
      <c r="D584" s="19">
        <v>46098</v>
      </c>
      <c r="E584" t="s">
        <v>134</v>
      </c>
      <c r="F584" t="s">
        <v>23</v>
      </c>
      <c r="G584" t="e">
        <f>VLOOKUP($A584,'CA-US List'!$A:$C,3,0)</f>
        <v>#N/A</v>
      </c>
      <c r="H584" t="s">
        <v>9</v>
      </c>
    </row>
    <row r="585" spans="1:8" x14ac:dyDescent="0.25">
      <c r="A585">
        <v>68930545</v>
      </c>
      <c r="B585">
        <v>1352</v>
      </c>
      <c r="C585">
        <v>20</v>
      </c>
      <c r="D585" s="19">
        <v>46104</v>
      </c>
      <c r="E585" t="s">
        <v>134</v>
      </c>
      <c r="F585" t="s">
        <v>23</v>
      </c>
      <c r="G585" t="e">
        <f>VLOOKUP($A585,'CA-US List'!$A:$C,3,0)</f>
        <v>#N/A</v>
      </c>
      <c r="H585" t="s">
        <v>9</v>
      </c>
    </row>
    <row r="586" spans="1:8" x14ac:dyDescent="0.25">
      <c r="A586">
        <v>68930545</v>
      </c>
      <c r="B586">
        <v>1352</v>
      </c>
      <c r="C586">
        <v>5903</v>
      </c>
      <c r="D586" s="19">
        <v>46099</v>
      </c>
      <c r="E586" t="s">
        <v>134</v>
      </c>
      <c r="F586" t="s">
        <v>23</v>
      </c>
      <c r="G586" t="e">
        <f>VLOOKUP($A586,'CA-US List'!$A:$C,3,0)</f>
        <v>#N/A</v>
      </c>
      <c r="H586" t="s">
        <v>9</v>
      </c>
    </row>
    <row r="587" spans="1:8" x14ac:dyDescent="0.25">
      <c r="A587">
        <v>68930545</v>
      </c>
      <c r="B587">
        <v>1352</v>
      </c>
      <c r="C587">
        <v>2743</v>
      </c>
      <c r="D587" s="19">
        <v>46100</v>
      </c>
      <c r="E587" t="s">
        <v>134</v>
      </c>
      <c r="F587" t="s">
        <v>23</v>
      </c>
      <c r="G587" t="e">
        <f>VLOOKUP($A587,'CA-US List'!$A:$C,3,0)</f>
        <v>#N/A</v>
      </c>
      <c r="H587" t="s">
        <v>9</v>
      </c>
    </row>
    <row r="588" spans="1:8" x14ac:dyDescent="0.25">
      <c r="A588">
        <v>69568828</v>
      </c>
      <c r="B588">
        <v>1352</v>
      </c>
      <c r="C588">
        <v>11</v>
      </c>
      <c r="D588" s="19">
        <v>46086</v>
      </c>
      <c r="E588" t="s">
        <v>98</v>
      </c>
      <c r="F588" t="s">
        <v>23</v>
      </c>
      <c r="G588" t="e">
        <f>VLOOKUP($A588,'CA-US List'!$A:$C,3,0)</f>
        <v>#N/A</v>
      </c>
      <c r="H588" t="s">
        <v>9</v>
      </c>
    </row>
    <row r="589" spans="1:8" x14ac:dyDescent="0.25">
      <c r="A589">
        <v>69568828</v>
      </c>
      <c r="B589">
        <v>1352</v>
      </c>
      <c r="C589">
        <v>6160</v>
      </c>
      <c r="D589" s="19">
        <v>46091</v>
      </c>
      <c r="E589" t="s">
        <v>98</v>
      </c>
      <c r="F589" t="s">
        <v>8</v>
      </c>
      <c r="G589" t="e">
        <f>VLOOKUP($A589,'CA-US List'!$A:$C,3,0)</f>
        <v>#N/A</v>
      </c>
      <c r="H589" t="s">
        <v>9</v>
      </c>
    </row>
    <row r="590" spans="1:8" x14ac:dyDescent="0.25">
      <c r="A590">
        <v>69568828</v>
      </c>
      <c r="B590">
        <v>1352</v>
      </c>
      <c r="C590">
        <v>6316</v>
      </c>
      <c r="D590" s="19">
        <v>46092</v>
      </c>
      <c r="E590" t="s">
        <v>98</v>
      </c>
      <c r="F590" t="s">
        <v>8</v>
      </c>
      <c r="G590" t="e">
        <f>VLOOKUP($A590,'CA-US List'!$A:$C,3,0)</f>
        <v>#N/A</v>
      </c>
      <c r="H590" t="s">
        <v>9</v>
      </c>
    </row>
    <row r="591" spans="1:8" x14ac:dyDescent="0.25">
      <c r="A591">
        <v>69568828</v>
      </c>
      <c r="B591">
        <v>1352</v>
      </c>
      <c r="C591">
        <v>2816</v>
      </c>
      <c r="D591" s="19">
        <v>46090</v>
      </c>
      <c r="E591" t="s">
        <v>98</v>
      </c>
      <c r="F591" t="s">
        <v>8</v>
      </c>
      <c r="G591" t="e">
        <f>VLOOKUP($A591,'CA-US List'!$A:$C,3,0)</f>
        <v>#N/A</v>
      </c>
      <c r="H591" t="s">
        <v>9</v>
      </c>
    </row>
    <row r="592" spans="1:8" x14ac:dyDescent="0.25">
      <c r="A592">
        <v>69568828</v>
      </c>
      <c r="B592">
        <v>1352</v>
      </c>
      <c r="C592">
        <v>8213</v>
      </c>
      <c r="D592" s="19">
        <v>46091</v>
      </c>
      <c r="E592" t="s">
        <v>98</v>
      </c>
      <c r="F592" t="s">
        <v>8</v>
      </c>
      <c r="G592" t="e">
        <f>VLOOKUP($A592,'CA-US List'!$A:$C,3,0)</f>
        <v>#N/A</v>
      </c>
      <c r="H592" t="s">
        <v>9</v>
      </c>
    </row>
    <row r="593" spans="1:8" x14ac:dyDescent="0.25">
      <c r="A593">
        <v>69568828</v>
      </c>
      <c r="B593">
        <v>1352</v>
      </c>
      <c r="C593">
        <v>4464</v>
      </c>
      <c r="D593" s="19">
        <v>46104</v>
      </c>
      <c r="E593" t="s">
        <v>98</v>
      </c>
      <c r="F593" t="s">
        <v>8</v>
      </c>
      <c r="G593" t="e">
        <f>VLOOKUP($A593,'CA-US List'!$A:$C,3,0)</f>
        <v>#N/A</v>
      </c>
      <c r="H593" t="s">
        <v>9</v>
      </c>
    </row>
    <row r="594" spans="1:8" x14ac:dyDescent="0.25">
      <c r="A594">
        <v>69568829</v>
      </c>
      <c r="B594">
        <v>1352</v>
      </c>
      <c r="C594">
        <v>2365</v>
      </c>
      <c r="D594" s="19">
        <v>46081</v>
      </c>
      <c r="E594" t="s">
        <v>970</v>
      </c>
      <c r="F594" t="s">
        <v>8</v>
      </c>
      <c r="G594" t="e">
        <f>VLOOKUP($A594,'CA-US List'!$A:$C,3,0)</f>
        <v>#N/A</v>
      </c>
      <c r="H594" t="s">
        <v>9</v>
      </c>
    </row>
    <row r="595" spans="1:8" x14ac:dyDescent="0.25">
      <c r="A595">
        <v>69600846</v>
      </c>
      <c r="B595">
        <v>1352</v>
      </c>
      <c r="C595">
        <v>5833</v>
      </c>
      <c r="D595" s="19">
        <v>46088</v>
      </c>
      <c r="E595" t="s">
        <v>740</v>
      </c>
      <c r="F595" t="s">
        <v>35</v>
      </c>
      <c r="G595" t="e">
        <f>VLOOKUP($A595,'CA-US List'!$A:$C,3,0)</f>
        <v>#N/A</v>
      </c>
      <c r="H595" t="s">
        <v>9</v>
      </c>
    </row>
    <row r="596" spans="1:8" x14ac:dyDescent="0.25">
      <c r="A596">
        <v>69629468</v>
      </c>
      <c r="B596">
        <v>1352</v>
      </c>
      <c r="C596">
        <v>1</v>
      </c>
      <c r="D596" s="19">
        <v>46079</v>
      </c>
      <c r="E596" t="s">
        <v>38</v>
      </c>
      <c r="F596" t="s">
        <v>73</v>
      </c>
      <c r="G596" t="e">
        <f>VLOOKUP($A596,'CA-US List'!$A:$C,3,0)</f>
        <v>#N/A</v>
      </c>
      <c r="H596" t="s">
        <v>9</v>
      </c>
    </row>
    <row r="597" spans="1:8" x14ac:dyDescent="0.25">
      <c r="A597">
        <v>69629468</v>
      </c>
      <c r="B597">
        <v>1352</v>
      </c>
      <c r="C597">
        <v>1820</v>
      </c>
      <c r="D597" s="19">
        <v>46076</v>
      </c>
      <c r="E597" t="s">
        <v>38</v>
      </c>
      <c r="F597" t="s">
        <v>73</v>
      </c>
      <c r="G597" t="e">
        <f>VLOOKUP($A597,'CA-US List'!$A:$C,3,0)</f>
        <v>#N/A</v>
      </c>
      <c r="H597" t="s">
        <v>9</v>
      </c>
    </row>
    <row r="598" spans="1:8" x14ac:dyDescent="0.25">
      <c r="A598">
        <v>69629468</v>
      </c>
      <c r="B598">
        <v>1352</v>
      </c>
      <c r="C598">
        <v>3560</v>
      </c>
      <c r="D598" s="19">
        <v>46077</v>
      </c>
      <c r="E598" t="s">
        <v>38</v>
      </c>
      <c r="F598" t="s">
        <v>73</v>
      </c>
      <c r="G598" t="e">
        <f>VLOOKUP($A598,'CA-US List'!$A:$C,3,0)</f>
        <v>#N/A</v>
      </c>
      <c r="H598" t="s">
        <v>9</v>
      </c>
    </row>
    <row r="599" spans="1:8" x14ac:dyDescent="0.25">
      <c r="A599">
        <v>69629468</v>
      </c>
      <c r="B599">
        <v>1352</v>
      </c>
      <c r="C599">
        <v>1560</v>
      </c>
      <c r="D599" s="19">
        <v>46077</v>
      </c>
      <c r="E599" t="s">
        <v>38</v>
      </c>
      <c r="F599" t="s">
        <v>73</v>
      </c>
      <c r="G599" t="e">
        <f>VLOOKUP($A599,'CA-US List'!$A:$C,3,0)</f>
        <v>#N/A</v>
      </c>
      <c r="H599" t="s">
        <v>9</v>
      </c>
    </row>
    <row r="600" spans="1:8" x14ac:dyDescent="0.25">
      <c r="A600">
        <v>69629468</v>
      </c>
      <c r="B600">
        <v>1352</v>
      </c>
      <c r="C600">
        <v>2407</v>
      </c>
      <c r="D600" s="19">
        <v>46078</v>
      </c>
      <c r="E600" t="s">
        <v>38</v>
      </c>
      <c r="F600" t="s">
        <v>73</v>
      </c>
      <c r="G600" t="e">
        <f>VLOOKUP($A600,'CA-US List'!$A:$C,3,0)</f>
        <v>#N/A</v>
      </c>
      <c r="H600" t="s">
        <v>9</v>
      </c>
    </row>
    <row r="601" spans="1:8" x14ac:dyDescent="0.25">
      <c r="A601">
        <v>69629468</v>
      </c>
      <c r="B601">
        <v>1352</v>
      </c>
      <c r="C601">
        <v>1820</v>
      </c>
      <c r="D601" s="19">
        <v>46078</v>
      </c>
      <c r="E601" t="s">
        <v>38</v>
      </c>
      <c r="F601" t="s">
        <v>73</v>
      </c>
      <c r="G601" t="e">
        <f>VLOOKUP($A601,'CA-US List'!$A:$C,3,0)</f>
        <v>#N/A</v>
      </c>
      <c r="H601" t="s">
        <v>9</v>
      </c>
    </row>
    <row r="602" spans="1:8" x14ac:dyDescent="0.25">
      <c r="A602">
        <v>69629468</v>
      </c>
      <c r="B602">
        <v>1352</v>
      </c>
      <c r="C602">
        <v>3180</v>
      </c>
      <c r="D602" s="19">
        <v>46079</v>
      </c>
      <c r="E602" t="s">
        <v>38</v>
      </c>
      <c r="F602" t="s">
        <v>73</v>
      </c>
      <c r="G602" t="e">
        <f>VLOOKUP($A602,'CA-US List'!$A:$C,3,0)</f>
        <v>#N/A</v>
      </c>
      <c r="H602" t="s">
        <v>9</v>
      </c>
    </row>
    <row r="603" spans="1:8" x14ac:dyDescent="0.25">
      <c r="A603">
        <v>69629468</v>
      </c>
      <c r="B603">
        <v>1352</v>
      </c>
      <c r="C603">
        <v>1820</v>
      </c>
      <c r="D603" s="19">
        <v>46079</v>
      </c>
      <c r="E603" t="s">
        <v>38</v>
      </c>
      <c r="F603" t="s">
        <v>73</v>
      </c>
      <c r="G603" t="e">
        <f>VLOOKUP($A603,'CA-US List'!$A:$C,3,0)</f>
        <v>#N/A</v>
      </c>
      <c r="H603" t="s">
        <v>9</v>
      </c>
    </row>
    <row r="604" spans="1:8" x14ac:dyDescent="0.25">
      <c r="A604">
        <v>69629468</v>
      </c>
      <c r="B604">
        <v>1352</v>
      </c>
      <c r="C604">
        <v>2205</v>
      </c>
      <c r="D604" s="19">
        <v>46080</v>
      </c>
      <c r="E604" t="s">
        <v>38</v>
      </c>
      <c r="F604" t="s">
        <v>73</v>
      </c>
      <c r="G604" t="e">
        <f>VLOOKUP($A604,'CA-US List'!$A:$C,3,0)</f>
        <v>#N/A</v>
      </c>
      <c r="H604" t="s">
        <v>9</v>
      </c>
    </row>
    <row r="605" spans="1:8" x14ac:dyDescent="0.25">
      <c r="A605">
        <v>69629468</v>
      </c>
      <c r="B605">
        <v>1352</v>
      </c>
      <c r="C605">
        <v>910</v>
      </c>
      <c r="D605" s="19">
        <v>46090</v>
      </c>
      <c r="E605" t="s">
        <v>38</v>
      </c>
      <c r="F605" t="s">
        <v>73</v>
      </c>
      <c r="G605" t="e">
        <f>VLOOKUP($A605,'CA-US List'!$A:$C,3,0)</f>
        <v>#N/A</v>
      </c>
      <c r="H605" t="s">
        <v>9</v>
      </c>
    </row>
    <row r="606" spans="1:8" x14ac:dyDescent="0.25">
      <c r="A606">
        <v>69629468</v>
      </c>
      <c r="B606">
        <v>1352</v>
      </c>
      <c r="C606">
        <v>2965</v>
      </c>
      <c r="D606" s="19">
        <v>46091</v>
      </c>
      <c r="E606" t="s">
        <v>38</v>
      </c>
      <c r="F606" t="s">
        <v>73</v>
      </c>
      <c r="G606" t="e">
        <f>VLOOKUP($A606,'CA-US List'!$A:$C,3,0)</f>
        <v>#N/A</v>
      </c>
      <c r="H606" t="s">
        <v>9</v>
      </c>
    </row>
    <row r="607" spans="1:8" x14ac:dyDescent="0.25">
      <c r="A607">
        <v>69629468</v>
      </c>
      <c r="B607">
        <v>1352</v>
      </c>
      <c r="C607">
        <v>2730</v>
      </c>
      <c r="D607" s="19">
        <v>46091</v>
      </c>
      <c r="E607" t="s">
        <v>38</v>
      </c>
      <c r="F607" t="s">
        <v>73</v>
      </c>
      <c r="G607" t="e">
        <f>VLOOKUP($A607,'CA-US List'!$A:$C,3,0)</f>
        <v>#N/A</v>
      </c>
      <c r="H607" t="s">
        <v>9</v>
      </c>
    </row>
    <row r="608" spans="1:8" x14ac:dyDescent="0.25">
      <c r="A608">
        <v>69629468</v>
      </c>
      <c r="B608">
        <v>1352</v>
      </c>
      <c r="C608">
        <v>3074</v>
      </c>
      <c r="D608" s="19">
        <v>46092</v>
      </c>
      <c r="E608" t="s">
        <v>38</v>
      </c>
      <c r="F608" t="s">
        <v>73</v>
      </c>
      <c r="G608" t="e">
        <f>VLOOKUP($A608,'CA-US List'!$A:$C,3,0)</f>
        <v>#N/A</v>
      </c>
      <c r="H608" t="s">
        <v>9</v>
      </c>
    </row>
    <row r="609" spans="1:8" x14ac:dyDescent="0.25">
      <c r="A609">
        <v>69629468</v>
      </c>
      <c r="B609">
        <v>1352</v>
      </c>
      <c r="C609">
        <v>650</v>
      </c>
      <c r="D609" s="19">
        <v>46083</v>
      </c>
      <c r="E609" t="s">
        <v>38</v>
      </c>
      <c r="F609" t="s">
        <v>73</v>
      </c>
      <c r="G609" t="e">
        <f>VLOOKUP($A609,'CA-US List'!$A:$C,3,0)</f>
        <v>#N/A</v>
      </c>
      <c r="H609" t="s">
        <v>9</v>
      </c>
    </row>
    <row r="610" spans="1:8" x14ac:dyDescent="0.25">
      <c r="A610">
        <v>69629468</v>
      </c>
      <c r="B610">
        <v>1352</v>
      </c>
      <c r="C610">
        <v>2886</v>
      </c>
      <c r="D610" s="19">
        <v>46084</v>
      </c>
      <c r="E610" t="s">
        <v>38</v>
      </c>
      <c r="F610" t="s">
        <v>73</v>
      </c>
      <c r="G610" t="e">
        <f>VLOOKUP($A610,'CA-US List'!$A:$C,3,0)</f>
        <v>#N/A</v>
      </c>
      <c r="H610" t="s">
        <v>9</v>
      </c>
    </row>
    <row r="611" spans="1:8" x14ac:dyDescent="0.25">
      <c r="A611">
        <v>69629468</v>
      </c>
      <c r="B611">
        <v>1352</v>
      </c>
      <c r="C611">
        <v>1430</v>
      </c>
      <c r="D611" s="19">
        <v>46084</v>
      </c>
      <c r="E611" t="s">
        <v>38</v>
      </c>
      <c r="F611" t="s">
        <v>73</v>
      </c>
      <c r="G611" t="e">
        <f>VLOOKUP($A611,'CA-US List'!$A:$C,3,0)</f>
        <v>#N/A</v>
      </c>
      <c r="H611" t="s">
        <v>9</v>
      </c>
    </row>
    <row r="612" spans="1:8" x14ac:dyDescent="0.25">
      <c r="A612">
        <v>69629468</v>
      </c>
      <c r="B612">
        <v>1352</v>
      </c>
      <c r="C612">
        <v>2515</v>
      </c>
      <c r="D612" s="19">
        <v>46085</v>
      </c>
      <c r="E612" t="s">
        <v>38</v>
      </c>
      <c r="F612" t="s">
        <v>73</v>
      </c>
      <c r="G612" t="e">
        <f>VLOOKUP($A612,'CA-US List'!$A:$C,3,0)</f>
        <v>#N/A</v>
      </c>
      <c r="H612" t="s">
        <v>9</v>
      </c>
    </row>
    <row r="613" spans="1:8" x14ac:dyDescent="0.25">
      <c r="A613">
        <v>69629468</v>
      </c>
      <c r="B613">
        <v>1352</v>
      </c>
      <c r="C613">
        <v>130</v>
      </c>
      <c r="D613" s="19">
        <v>46086</v>
      </c>
      <c r="E613" t="s">
        <v>38</v>
      </c>
      <c r="F613" t="s">
        <v>73</v>
      </c>
      <c r="G613" t="e">
        <f>VLOOKUP($A613,'CA-US List'!$A:$C,3,0)</f>
        <v>#N/A</v>
      </c>
      <c r="H613" t="s">
        <v>9</v>
      </c>
    </row>
    <row r="614" spans="1:8" x14ac:dyDescent="0.25">
      <c r="A614">
        <v>69629468</v>
      </c>
      <c r="B614">
        <v>1352</v>
      </c>
      <c r="C614">
        <v>1690</v>
      </c>
      <c r="D614" s="19">
        <v>46085</v>
      </c>
      <c r="E614" t="s">
        <v>38</v>
      </c>
      <c r="F614" t="s">
        <v>73</v>
      </c>
      <c r="G614" t="e">
        <f>VLOOKUP($A614,'CA-US List'!$A:$C,3,0)</f>
        <v>#N/A</v>
      </c>
      <c r="H614" t="s">
        <v>9</v>
      </c>
    </row>
    <row r="615" spans="1:8" x14ac:dyDescent="0.25">
      <c r="A615">
        <v>69629468</v>
      </c>
      <c r="B615">
        <v>1352</v>
      </c>
      <c r="C615">
        <v>3156</v>
      </c>
      <c r="D615" s="19">
        <v>46086</v>
      </c>
      <c r="E615" t="s">
        <v>38</v>
      </c>
      <c r="F615" t="s">
        <v>73</v>
      </c>
      <c r="G615" t="e">
        <f>VLOOKUP($A615,'CA-US List'!$A:$C,3,0)</f>
        <v>#N/A</v>
      </c>
      <c r="H615" t="s">
        <v>9</v>
      </c>
    </row>
    <row r="616" spans="1:8" x14ac:dyDescent="0.25">
      <c r="A616">
        <v>69629468</v>
      </c>
      <c r="B616">
        <v>1352</v>
      </c>
      <c r="C616">
        <v>1560</v>
      </c>
      <c r="D616" s="19">
        <v>46086</v>
      </c>
      <c r="E616" t="s">
        <v>38</v>
      </c>
      <c r="F616" t="s">
        <v>73</v>
      </c>
      <c r="G616" t="e">
        <f>VLOOKUP($A616,'CA-US List'!$A:$C,3,0)</f>
        <v>#N/A</v>
      </c>
      <c r="H616" t="s">
        <v>9</v>
      </c>
    </row>
    <row r="617" spans="1:8" x14ac:dyDescent="0.25">
      <c r="A617">
        <v>69629468</v>
      </c>
      <c r="B617">
        <v>1352</v>
      </c>
      <c r="C617">
        <v>3250</v>
      </c>
      <c r="D617" s="19">
        <v>46087</v>
      </c>
      <c r="E617" t="s">
        <v>38</v>
      </c>
      <c r="F617" t="s">
        <v>73</v>
      </c>
      <c r="G617" t="e">
        <f>VLOOKUP($A617,'CA-US List'!$A:$C,3,0)</f>
        <v>#N/A</v>
      </c>
      <c r="H617" t="s">
        <v>9</v>
      </c>
    </row>
    <row r="618" spans="1:8" x14ac:dyDescent="0.25">
      <c r="A618">
        <v>69629468</v>
      </c>
      <c r="B618">
        <v>1352</v>
      </c>
      <c r="C618">
        <v>826</v>
      </c>
      <c r="D618" s="19">
        <v>46087</v>
      </c>
      <c r="E618" t="s">
        <v>38</v>
      </c>
      <c r="F618" t="s">
        <v>73</v>
      </c>
      <c r="G618" t="e">
        <f>VLOOKUP($A618,'CA-US List'!$A:$C,3,0)</f>
        <v>#N/A</v>
      </c>
      <c r="H618" t="s">
        <v>9</v>
      </c>
    </row>
    <row r="619" spans="1:8" x14ac:dyDescent="0.25">
      <c r="A619">
        <v>69629468</v>
      </c>
      <c r="B619">
        <v>1352</v>
      </c>
      <c r="C619">
        <v>2080</v>
      </c>
      <c r="D619" s="19">
        <v>46092</v>
      </c>
      <c r="E619" t="s">
        <v>38</v>
      </c>
      <c r="F619" t="s">
        <v>73</v>
      </c>
      <c r="G619" t="e">
        <f>VLOOKUP($A619,'CA-US List'!$A:$C,3,0)</f>
        <v>#N/A</v>
      </c>
      <c r="H619" t="s">
        <v>9</v>
      </c>
    </row>
    <row r="620" spans="1:8" x14ac:dyDescent="0.25">
      <c r="A620">
        <v>69629468</v>
      </c>
      <c r="B620">
        <v>1352</v>
      </c>
      <c r="C620">
        <v>3486</v>
      </c>
      <c r="D620" s="19">
        <v>46093</v>
      </c>
      <c r="E620" t="s">
        <v>38</v>
      </c>
      <c r="F620" t="s">
        <v>73</v>
      </c>
      <c r="G620" t="e">
        <f>VLOOKUP($A620,'CA-US List'!$A:$C,3,0)</f>
        <v>#N/A</v>
      </c>
      <c r="H620" t="s">
        <v>9</v>
      </c>
    </row>
    <row r="621" spans="1:8" x14ac:dyDescent="0.25">
      <c r="A621">
        <v>69629468</v>
      </c>
      <c r="B621">
        <v>1352</v>
      </c>
      <c r="C621">
        <v>2080</v>
      </c>
      <c r="D621" s="19">
        <v>46093</v>
      </c>
      <c r="E621" t="s">
        <v>38</v>
      </c>
      <c r="F621" t="s">
        <v>73</v>
      </c>
      <c r="G621" t="e">
        <f>VLOOKUP($A621,'CA-US List'!$A:$C,3,0)</f>
        <v>#N/A</v>
      </c>
      <c r="H621" t="s">
        <v>9</v>
      </c>
    </row>
    <row r="622" spans="1:8" x14ac:dyDescent="0.25">
      <c r="A622">
        <v>69629468</v>
      </c>
      <c r="B622">
        <v>1352</v>
      </c>
      <c r="C622">
        <v>1188</v>
      </c>
      <c r="D622" s="19">
        <v>46094</v>
      </c>
      <c r="E622" t="s">
        <v>38</v>
      </c>
      <c r="F622" t="s">
        <v>73</v>
      </c>
      <c r="G622" t="e">
        <f>VLOOKUP($A622,'CA-US List'!$A:$C,3,0)</f>
        <v>#N/A</v>
      </c>
      <c r="H622" t="s">
        <v>9</v>
      </c>
    </row>
    <row r="623" spans="1:8" x14ac:dyDescent="0.25">
      <c r="A623">
        <v>69629468</v>
      </c>
      <c r="B623">
        <v>1352</v>
      </c>
      <c r="C623">
        <v>1430</v>
      </c>
      <c r="D623" s="19">
        <v>46097</v>
      </c>
      <c r="E623" t="s">
        <v>38</v>
      </c>
      <c r="F623" t="s">
        <v>73</v>
      </c>
      <c r="G623" t="e">
        <f>VLOOKUP($A623,'CA-US List'!$A:$C,3,0)</f>
        <v>#N/A</v>
      </c>
      <c r="H623" t="s">
        <v>9</v>
      </c>
    </row>
    <row r="624" spans="1:8" x14ac:dyDescent="0.25">
      <c r="A624">
        <v>69629468</v>
      </c>
      <c r="B624">
        <v>1352</v>
      </c>
      <c r="C624">
        <v>1560</v>
      </c>
      <c r="D624" s="19">
        <v>46098</v>
      </c>
      <c r="E624" t="s">
        <v>38</v>
      </c>
      <c r="F624" t="s">
        <v>73</v>
      </c>
      <c r="G624" t="e">
        <f>VLOOKUP($A624,'CA-US List'!$A:$C,3,0)</f>
        <v>#N/A</v>
      </c>
      <c r="H624" t="s">
        <v>9</v>
      </c>
    </row>
    <row r="625" spans="1:8" x14ac:dyDescent="0.25">
      <c r="A625">
        <v>69629468</v>
      </c>
      <c r="B625">
        <v>1352</v>
      </c>
      <c r="C625">
        <v>1950</v>
      </c>
      <c r="D625" s="19">
        <v>46098</v>
      </c>
      <c r="E625" t="s">
        <v>38</v>
      </c>
      <c r="F625" t="s">
        <v>73</v>
      </c>
      <c r="G625" t="e">
        <f>VLOOKUP($A625,'CA-US List'!$A:$C,3,0)</f>
        <v>#N/A</v>
      </c>
      <c r="H625" t="s">
        <v>9</v>
      </c>
    </row>
    <row r="626" spans="1:8" x14ac:dyDescent="0.25">
      <c r="A626">
        <v>69629468</v>
      </c>
      <c r="B626">
        <v>1352</v>
      </c>
      <c r="C626">
        <v>2361</v>
      </c>
      <c r="D626" s="19">
        <v>46099</v>
      </c>
      <c r="E626" t="s">
        <v>38</v>
      </c>
      <c r="F626" t="s">
        <v>73</v>
      </c>
      <c r="G626" t="e">
        <f>VLOOKUP($A626,'CA-US List'!$A:$C,3,0)</f>
        <v>#N/A</v>
      </c>
      <c r="H626" t="s">
        <v>9</v>
      </c>
    </row>
    <row r="627" spans="1:8" x14ac:dyDescent="0.25">
      <c r="A627">
        <v>69629468</v>
      </c>
      <c r="B627">
        <v>1352</v>
      </c>
      <c r="C627">
        <v>1690</v>
      </c>
      <c r="D627" s="19">
        <v>46099</v>
      </c>
      <c r="E627" t="s">
        <v>38</v>
      </c>
      <c r="F627" t="s">
        <v>73</v>
      </c>
      <c r="G627" t="e">
        <f>VLOOKUP($A627,'CA-US List'!$A:$C,3,0)</f>
        <v>#N/A</v>
      </c>
      <c r="H627" t="s">
        <v>9</v>
      </c>
    </row>
    <row r="628" spans="1:8" x14ac:dyDescent="0.25">
      <c r="A628">
        <v>69629468</v>
      </c>
      <c r="B628">
        <v>1352</v>
      </c>
      <c r="C628">
        <v>3350</v>
      </c>
      <c r="D628" s="19">
        <v>46100</v>
      </c>
      <c r="E628" t="s">
        <v>38</v>
      </c>
      <c r="F628" t="s">
        <v>73</v>
      </c>
      <c r="G628" t="e">
        <f>VLOOKUP($A628,'CA-US List'!$A:$C,3,0)</f>
        <v>#N/A</v>
      </c>
      <c r="H628" t="s">
        <v>9</v>
      </c>
    </row>
    <row r="629" spans="1:8" x14ac:dyDescent="0.25">
      <c r="A629">
        <v>69629468</v>
      </c>
      <c r="B629">
        <v>1352</v>
      </c>
      <c r="C629">
        <v>1950</v>
      </c>
      <c r="D629" s="19">
        <v>46100</v>
      </c>
      <c r="E629" t="s">
        <v>38</v>
      </c>
      <c r="F629" t="s">
        <v>73</v>
      </c>
      <c r="G629" t="e">
        <f>VLOOKUP($A629,'CA-US List'!$A:$C,3,0)</f>
        <v>#N/A</v>
      </c>
      <c r="H629" t="s">
        <v>9</v>
      </c>
    </row>
    <row r="630" spans="1:8" x14ac:dyDescent="0.25">
      <c r="A630">
        <v>69629468</v>
      </c>
      <c r="B630">
        <v>1352</v>
      </c>
      <c r="C630">
        <v>2438</v>
      </c>
      <c r="D630" s="19">
        <v>46101</v>
      </c>
      <c r="E630" t="s">
        <v>38</v>
      </c>
      <c r="F630" t="s">
        <v>73</v>
      </c>
      <c r="G630" t="e">
        <f>VLOOKUP($A630,'CA-US List'!$A:$C,3,0)</f>
        <v>#N/A</v>
      </c>
      <c r="H630" t="s">
        <v>9</v>
      </c>
    </row>
    <row r="631" spans="1:8" x14ac:dyDescent="0.25">
      <c r="A631">
        <v>69629468</v>
      </c>
      <c r="B631">
        <v>1352</v>
      </c>
      <c r="C631">
        <v>390</v>
      </c>
      <c r="D631" s="19">
        <v>46102</v>
      </c>
      <c r="E631" t="s">
        <v>38</v>
      </c>
      <c r="F631" t="s">
        <v>73</v>
      </c>
      <c r="G631" t="e">
        <f>VLOOKUP($A631,'CA-US List'!$A:$C,3,0)</f>
        <v>#N/A</v>
      </c>
      <c r="H631" t="s">
        <v>9</v>
      </c>
    </row>
    <row r="632" spans="1:8" x14ac:dyDescent="0.25">
      <c r="A632">
        <v>69629468</v>
      </c>
      <c r="B632">
        <v>1352</v>
      </c>
      <c r="C632">
        <v>1262</v>
      </c>
      <c r="D632" s="19">
        <v>46102</v>
      </c>
      <c r="E632" t="s">
        <v>38</v>
      </c>
      <c r="F632" t="s">
        <v>73</v>
      </c>
      <c r="G632" t="e">
        <f>VLOOKUP($A632,'CA-US List'!$A:$C,3,0)</f>
        <v>#N/A</v>
      </c>
      <c r="H632" t="s">
        <v>9</v>
      </c>
    </row>
    <row r="633" spans="1:8" x14ac:dyDescent="0.25">
      <c r="A633">
        <v>69629468</v>
      </c>
      <c r="B633">
        <v>1352</v>
      </c>
      <c r="C633">
        <v>390</v>
      </c>
      <c r="D633" s="19">
        <v>46104</v>
      </c>
      <c r="E633" t="s">
        <v>38</v>
      </c>
      <c r="F633" t="s">
        <v>73</v>
      </c>
      <c r="G633" t="e">
        <f>VLOOKUP($A633,'CA-US List'!$A:$C,3,0)</f>
        <v>#N/A</v>
      </c>
      <c r="H633" t="s">
        <v>9</v>
      </c>
    </row>
    <row r="634" spans="1:8" x14ac:dyDescent="0.25">
      <c r="A634">
        <v>69629468</v>
      </c>
      <c r="B634">
        <v>1352</v>
      </c>
      <c r="C634">
        <v>1683</v>
      </c>
      <c r="D634" s="19">
        <v>46105</v>
      </c>
      <c r="E634" t="s">
        <v>38</v>
      </c>
      <c r="F634" t="s">
        <v>73</v>
      </c>
      <c r="G634" t="e">
        <f>VLOOKUP($A634,'CA-US List'!$A:$C,3,0)</f>
        <v>#N/A</v>
      </c>
      <c r="H634" t="s">
        <v>9</v>
      </c>
    </row>
    <row r="635" spans="1:8" x14ac:dyDescent="0.25">
      <c r="A635">
        <v>69629468</v>
      </c>
      <c r="B635">
        <v>1352</v>
      </c>
      <c r="C635">
        <v>2080</v>
      </c>
      <c r="D635" s="19">
        <v>46105</v>
      </c>
      <c r="E635" t="s">
        <v>38</v>
      </c>
      <c r="F635" t="s">
        <v>73</v>
      </c>
      <c r="G635" t="e">
        <f>VLOOKUP($A635,'CA-US List'!$A:$C,3,0)</f>
        <v>#N/A</v>
      </c>
      <c r="H635" t="s">
        <v>9</v>
      </c>
    </row>
    <row r="636" spans="1:8" x14ac:dyDescent="0.25">
      <c r="A636">
        <v>69700048</v>
      </c>
      <c r="B636">
        <v>1352</v>
      </c>
      <c r="C636">
        <v>2475</v>
      </c>
      <c r="D636" s="19">
        <v>46083</v>
      </c>
      <c r="E636" t="s">
        <v>104</v>
      </c>
      <c r="F636" t="s">
        <v>48</v>
      </c>
      <c r="G636" t="e">
        <f>VLOOKUP($A636,'CA-US List'!$A:$C,3,0)</f>
        <v>#N/A</v>
      </c>
      <c r="H636" t="s">
        <v>9</v>
      </c>
    </row>
    <row r="637" spans="1:8" x14ac:dyDescent="0.25">
      <c r="A637">
        <v>69700048</v>
      </c>
      <c r="B637">
        <v>1352</v>
      </c>
      <c r="C637">
        <v>5160</v>
      </c>
      <c r="D637" s="19">
        <v>46084</v>
      </c>
      <c r="E637" t="s">
        <v>104</v>
      </c>
      <c r="F637" t="s">
        <v>48</v>
      </c>
      <c r="G637" t="e">
        <f>VLOOKUP($A637,'CA-US List'!$A:$C,3,0)</f>
        <v>#N/A</v>
      </c>
      <c r="H637" t="s">
        <v>9</v>
      </c>
    </row>
    <row r="638" spans="1:8" x14ac:dyDescent="0.25">
      <c r="A638">
        <v>69700048</v>
      </c>
      <c r="B638">
        <v>1352</v>
      </c>
      <c r="C638">
        <v>225</v>
      </c>
      <c r="D638" s="19">
        <v>46085</v>
      </c>
      <c r="E638" t="s">
        <v>104</v>
      </c>
      <c r="F638" t="s">
        <v>48</v>
      </c>
      <c r="G638" t="e">
        <f>VLOOKUP($A638,'CA-US List'!$A:$C,3,0)</f>
        <v>#N/A</v>
      </c>
      <c r="H638" t="s">
        <v>9</v>
      </c>
    </row>
    <row r="639" spans="1:8" x14ac:dyDescent="0.25">
      <c r="A639">
        <v>69700048</v>
      </c>
      <c r="B639">
        <v>1352</v>
      </c>
      <c r="C639">
        <v>3375</v>
      </c>
      <c r="D639" s="19">
        <v>46084</v>
      </c>
      <c r="E639" t="s">
        <v>104</v>
      </c>
      <c r="F639" t="s">
        <v>48</v>
      </c>
      <c r="G639" t="e">
        <f>VLOOKUP($A639,'CA-US List'!$A:$C,3,0)</f>
        <v>#N/A</v>
      </c>
      <c r="H639" t="s">
        <v>9</v>
      </c>
    </row>
    <row r="640" spans="1:8" x14ac:dyDescent="0.25">
      <c r="A640">
        <v>69700048</v>
      </c>
      <c r="B640">
        <v>1352</v>
      </c>
      <c r="C640">
        <v>4326</v>
      </c>
      <c r="D640" s="19">
        <v>46085</v>
      </c>
      <c r="E640" t="s">
        <v>104</v>
      </c>
      <c r="F640" t="s">
        <v>48</v>
      </c>
      <c r="G640" t="e">
        <f>VLOOKUP($A640,'CA-US List'!$A:$C,3,0)</f>
        <v>#N/A</v>
      </c>
      <c r="H640" t="s">
        <v>9</v>
      </c>
    </row>
    <row r="641" spans="1:8" x14ac:dyDescent="0.25">
      <c r="A641">
        <v>69700048</v>
      </c>
      <c r="B641">
        <v>1352</v>
      </c>
      <c r="C641">
        <v>2700</v>
      </c>
      <c r="D641" s="19">
        <v>46085</v>
      </c>
      <c r="E641" t="s">
        <v>104</v>
      </c>
      <c r="F641" t="s">
        <v>48</v>
      </c>
      <c r="G641" t="e">
        <f>VLOOKUP($A641,'CA-US List'!$A:$C,3,0)</f>
        <v>#N/A</v>
      </c>
      <c r="H641" t="s">
        <v>9</v>
      </c>
    </row>
    <row r="642" spans="1:8" x14ac:dyDescent="0.25">
      <c r="A642">
        <v>69700048</v>
      </c>
      <c r="B642">
        <v>1352</v>
      </c>
      <c r="C642">
        <v>5400</v>
      </c>
      <c r="D642" s="19">
        <v>46086</v>
      </c>
      <c r="E642" t="s">
        <v>104</v>
      </c>
      <c r="F642" t="s">
        <v>48</v>
      </c>
      <c r="G642" t="e">
        <f>VLOOKUP($A642,'CA-US List'!$A:$C,3,0)</f>
        <v>#N/A</v>
      </c>
      <c r="H642" t="s">
        <v>9</v>
      </c>
    </row>
    <row r="643" spans="1:8" x14ac:dyDescent="0.25">
      <c r="A643">
        <v>69700048</v>
      </c>
      <c r="B643">
        <v>1352</v>
      </c>
      <c r="C643">
        <v>3150</v>
      </c>
      <c r="D643" s="19">
        <v>46086</v>
      </c>
      <c r="E643" t="s">
        <v>104</v>
      </c>
      <c r="F643" t="s">
        <v>48</v>
      </c>
      <c r="G643" t="e">
        <f>VLOOKUP($A643,'CA-US List'!$A:$C,3,0)</f>
        <v>#N/A</v>
      </c>
      <c r="H643" t="s">
        <v>9</v>
      </c>
    </row>
    <row r="644" spans="1:8" x14ac:dyDescent="0.25">
      <c r="A644">
        <v>69700048</v>
      </c>
      <c r="B644">
        <v>1352</v>
      </c>
      <c r="C644">
        <v>4274</v>
      </c>
      <c r="D644" s="19">
        <v>46087</v>
      </c>
      <c r="E644" t="s">
        <v>104</v>
      </c>
      <c r="F644" t="s">
        <v>48</v>
      </c>
      <c r="G644" t="e">
        <f>VLOOKUP($A644,'CA-US List'!$A:$C,3,0)</f>
        <v>#N/A</v>
      </c>
      <c r="H644" t="s">
        <v>9</v>
      </c>
    </row>
    <row r="645" spans="1:8" x14ac:dyDescent="0.25">
      <c r="A645">
        <v>69700048</v>
      </c>
      <c r="B645">
        <v>1352</v>
      </c>
      <c r="C645">
        <v>1637</v>
      </c>
      <c r="D645" s="19">
        <v>46087</v>
      </c>
      <c r="E645" t="s">
        <v>104</v>
      </c>
      <c r="F645" t="s">
        <v>48</v>
      </c>
      <c r="G645" t="e">
        <f>VLOOKUP($A645,'CA-US List'!$A:$C,3,0)</f>
        <v>#N/A</v>
      </c>
      <c r="H645" t="s">
        <v>9</v>
      </c>
    </row>
    <row r="646" spans="1:8" x14ac:dyDescent="0.25">
      <c r="A646">
        <v>69700048</v>
      </c>
      <c r="B646">
        <v>1352</v>
      </c>
      <c r="C646">
        <v>213</v>
      </c>
      <c r="D646" s="19">
        <v>46088</v>
      </c>
      <c r="E646" t="s">
        <v>104</v>
      </c>
      <c r="F646" t="s">
        <v>48</v>
      </c>
      <c r="G646" t="e">
        <f>VLOOKUP($A646,'CA-US List'!$A:$C,3,0)</f>
        <v>#N/A</v>
      </c>
      <c r="H646" t="s">
        <v>9</v>
      </c>
    </row>
    <row r="647" spans="1:8" x14ac:dyDescent="0.25">
      <c r="A647">
        <v>69725082</v>
      </c>
      <c r="B647">
        <v>1352</v>
      </c>
      <c r="C647">
        <v>1689</v>
      </c>
      <c r="D647" s="19">
        <v>46076</v>
      </c>
      <c r="E647" t="s">
        <v>71</v>
      </c>
      <c r="F647" t="s">
        <v>116</v>
      </c>
      <c r="G647" t="e">
        <f>VLOOKUP($A647,'CA-US List'!$A:$C,3,0)</f>
        <v>#N/A</v>
      </c>
      <c r="H647" t="s">
        <v>9</v>
      </c>
    </row>
    <row r="648" spans="1:8" x14ac:dyDescent="0.25">
      <c r="A648">
        <v>69725082</v>
      </c>
      <c r="B648">
        <v>1352</v>
      </c>
      <c r="C648">
        <v>1985</v>
      </c>
      <c r="D648" s="19">
        <v>46077</v>
      </c>
      <c r="E648" t="s">
        <v>71</v>
      </c>
      <c r="F648" t="s">
        <v>116</v>
      </c>
      <c r="G648" t="e">
        <f>VLOOKUP($A648,'CA-US List'!$A:$C,3,0)</f>
        <v>#N/A</v>
      </c>
      <c r="H648" t="s">
        <v>9</v>
      </c>
    </row>
    <row r="649" spans="1:8" x14ac:dyDescent="0.25">
      <c r="A649">
        <v>69725082</v>
      </c>
      <c r="B649">
        <v>1352</v>
      </c>
      <c r="C649">
        <v>1819</v>
      </c>
      <c r="D649" s="19">
        <v>46077</v>
      </c>
      <c r="E649" t="s">
        <v>71</v>
      </c>
      <c r="F649" t="s">
        <v>116</v>
      </c>
      <c r="G649" t="e">
        <f>VLOOKUP($A649,'CA-US List'!$A:$C,3,0)</f>
        <v>#N/A</v>
      </c>
      <c r="H649" t="s">
        <v>9</v>
      </c>
    </row>
    <row r="650" spans="1:8" x14ac:dyDescent="0.25">
      <c r="A650">
        <v>69725082</v>
      </c>
      <c r="B650">
        <v>1352</v>
      </c>
      <c r="C650">
        <v>2009</v>
      </c>
      <c r="D650" s="19">
        <v>46078</v>
      </c>
      <c r="E650" t="s">
        <v>71</v>
      </c>
      <c r="F650" t="s">
        <v>116</v>
      </c>
      <c r="G650" t="e">
        <f>VLOOKUP($A650,'CA-US List'!$A:$C,3,0)</f>
        <v>#N/A</v>
      </c>
      <c r="H650" t="s">
        <v>9</v>
      </c>
    </row>
    <row r="651" spans="1:8" x14ac:dyDescent="0.25">
      <c r="A651">
        <v>69725082</v>
      </c>
      <c r="B651">
        <v>1352</v>
      </c>
      <c r="C651">
        <v>2080</v>
      </c>
      <c r="D651" s="19">
        <v>46078</v>
      </c>
      <c r="E651" t="s">
        <v>71</v>
      </c>
      <c r="F651" t="s">
        <v>116</v>
      </c>
      <c r="G651" t="e">
        <f>VLOOKUP($A651,'CA-US List'!$A:$C,3,0)</f>
        <v>#N/A</v>
      </c>
      <c r="H651" t="s">
        <v>9</v>
      </c>
    </row>
    <row r="652" spans="1:8" x14ac:dyDescent="0.25">
      <c r="A652">
        <v>69725082</v>
      </c>
      <c r="B652">
        <v>1352</v>
      </c>
      <c r="C652">
        <v>3579</v>
      </c>
      <c r="D652" s="19">
        <v>46079</v>
      </c>
      <c r="E652" t="s">
        <v>71</v>
      </c>
      <c r="F652" t="s">
        <v>116</v>
      </c>
      <c r="G652" t="e">
        <f>VLOOKUP($A652,'CA-US List'!$A:$C,3,0)</f>
        <v>#N/A</v>
      </c>
      <c r="H652" t="s">
        <v>9</v>
      </c>
    </row>
    <row r="653" spans="1:8" x14ac:dyDescent="0.25">
      <c r="A653">
        <v>69725082</v>
      </c>
      <c r="B653">
        <v>1352</v>
      </c>
      <c r="C653">
        <v>2210</v>
      </c>
      <c r="D653" s="19">
        <v>46079</v>
      </c>
      <c r="E653" t="s">
        <v>71</v>
      </c>
      <c r="F653" t="s">
        <v>116</v>
      </c>
      <c r="G653" t="e">
        <f>VLOOKUP($A653,'CA-US List'!$A:$C,3,0)</f>
        <v>#N/A</v>
      </c>
      <c r="H653" t="s">
        <v>9</v>
      </c>
    </row>
    <row r="654" spans="1:8" x14ac:dyDescent="0.25">
      <c r="A654">
        <v>69725082</v>
      </c>
      <c r="B654">
        <v>1352</v>
      </c>
      <c r="C654">
        <v>3213</v>
      </c>
      <c r="D654" s="19">
        <v>46080</v>
      </c>
      <c r="E654" t="s">
        <v>71</v>
      </c>
      <c r="F654" t="s">
        <v>116</v>
      </c>
      <c r="G654" t="e">
        <f>VLOOKUP($A654,'CA-US List'!$A:$C,3,0)</f>
        <v>#N/A</v>
      </c>
      <c r="H654" t="s">
        <v>9</v>
      </c>
    </row>
    <row r="655" spans="1:8" x14ac:dyDescent="0.25">
      <c r="A655">
        <v>69725082</v>
      </c>
      <c r="B655">
        <v>1352</v>
      </c>
      <c r="C655">
        <v>2210</v>
      </c>
      <c r="D655" s="19">
        <v>46080</v>
      </c>
      <c r="E655" t="s">
        <v>71</v>
      </c>
      <c r="F655" t="s">
        <v>116</v>
      </c>
      <c r="G655" t="e">
        <f>VLOOKUP($A655,'CA-US List'!$A:$C,3,0)</f>
        <v>#N/A</v>
      </c>
      <c r="H655" t="s">
        <v>9</v>
      </c>
    </row>
    <row r="656" spans="1:8" x14ac:dyDescent="0.25">
      <c r="A656">
        <v>69725082</v>
      </c>
      <c r="B656">
        <v>1352</v>
      </c>
      <c r="C656">
        <v>1129</v>
      </c>
      <c r="D656" s="19">
        <v>46081</v>
      </c>
      <c r="E656" t="s">
        <v>71</v>
      </c>
      <c r="F656" t="s">
        <v>116</v>
      </c>
      <c r="G656" t="e">
        <f>VLOOKUP($A656,'CA-US List'!$A:$C,3,0)</f>
        <v>#N/A</v>
      </c>
      <c r="H656" t="s">
        <v>9</v>
      </c>
    </row>
    <row r="657" spans="1:8" x14ac:dyDescent="0.25">
      <c r="A657">
        <v>69725082</v>
      </c>
      <c r="B657">
        <v>1352</v>
      </c>
      <c r="C657">
        <v>130</v>
      </c>
      <c r="D657" s="19">
        <v>46076</v>
      </c>
      <c r="E657" t="s">
        <v>71</v>
      </c>
      <c r="F657" t="s">
        <v>76</v>
      </c>
      <c r="G657" t="e">
        <f>VLOOKUP($A657,'CA-US List'!$A:$C,3,0)</f>
        <v>#N/A</v>
      </c>
      <c r="H657" t="s">
        <v>9</v>
      </c>
    </row>
    <row r="658" spans="1:8" x14ac:dyDescent="0.25">
      <c r="A658">
        <v>69725082</v>
      </c>
      <c r="B658">
        <v>1352</v>
      </c>
      <c r="C658">
        <v>2080</v>
      </c>
      <c r="D658" s="19">
        <v>46083</v>
      </c>
      <c r="E658" t="s">
        <v>71</v>
      </c>
      <c r="F658" t="s">
        <v>116</v>
      </c>
      <c r="G658" t="e">
        <f>VLOOKUP($A658,'CA-US List'!$A:$C,3,0)</f>
        <v>#N/A</v>
      </c>
      <c r="H658" t="s">
        <v>9</v>
      </c>
    </row>
    <row r="659" spans="1:8" x14ac:dyDescent="0.25">
      <c r="A659">
        <v>69725082</v>
      </c>
      <c r="B659">
        <v>1352</v>
      </c>
      <c r="C659">
        <v>3544</v>
      </c>
      <c r="D659" s="19">
        <v>46084</v>
      </c>
      <c r="E659" t="s">
        <v>71</v>
      </c>
      <c r="F659" t="s">
        <v>116</v>
      </c>
      <c r="G659" t="e">
        <f>VLOOKUP($A659,'CA-US List'!$A:$C,3,0)</f>
        <v>#N/A</v>
      </c>
      <c r="H659" t="s">
        <v>9</v>
      </c>
    </row>
    <row r="660" spans="1:8" x14ac:dyDescent="0.25">
      <c r="A660">
        <v>69725082</v>
      </c>
      <c r="B660">
        <v>1352</v>
      </c>
      <c r="C660">
        <v>2470</v>
      </c>
      <c r="D660" s="19">
        <v>46084</v>
      </c>
      <c r="E660" t="s">
        <v>71</v>
      </c>
      <c r="F660" t="s">
        <v>116</v>
      </c>
      <c r="G660" t="e">
        <f>VLOOKUP($A660,'CA-US List'!$A:$C,3,0)</f>
        <v>#N/A</v>
      </c>
      <c r="H660" t="s">
        <v>9</v>
      </c>
    </row>
    <row r="661" spans="1:8" x14ac:dyDescent="0.25">
      <c r="A661">
        <v>69725082</v>
      </c>
      <c r="B661">
        <v>1352</v>
      </c>
      <c r="C661">
        <v>3315</v>
      </c>
      <c r="D661" s="19">
        <v>46085</v>
      </c>
      <c r="E661" t="s">
        <v>71</v>
      </c>
      <c r="F661" t="s">
        <v>116</v>
      </c>
      <c r="G661" t="e">
        <f>VLOOKUP($A661,'CA-US List'!$A:$C,3,0)</f>
        <v>#N/A</v>
      </c>
      <c r="H661" t="s">
        <v>9</v>
      </c>
    </row>
    <row r="662" spans="1:8" x14ac:dyDescent="0.25">
      <c r="A662">
        <v>69725082</v>
      </c>
      <c r="B662">
        <v>1352</v>
      </c>
      <c r="C662">
        <v>2080</v>
      </c>
      <c r="D662" s="19">
        <v>46085</v>
      </c>
      <c r="E662" t="s">
        <v>71</v>
      </c>
      <c r="F662" t="s">
        <v>116</v>
      </c>
      <c r="G662" t="e">
        <f>VLOOKUP($A662,'CA-US List'!$A:$C,3,0)</f>
        <v>#N/A</v>
      </c>
      <c r="H662" t="s">
        <v>9</v>
      </c>
    </row>
    <row r="663" spans="1:8" x14ac:dyDescent="0.25">
      <c r="A663">
        <v>69725082</v>
      </c>
      <c r="B663">
        <v>1352</v>
      </c>
      <c r="C663">
        <v>368</v>
      </c>
      <c r="D663" s="19">
        <v>46086</v>
      </c>
      <c r="E663" t="s">
        <v>71</v>
      </c>
      <c r="F663" t="s">
        <v>116</v>
      </c>
      <c r="G663" t="e">
        <f>VLOOKUP($A663,'CA-US List'!$A:$C,3,0)</f>
        <v>#N/A</v>
      </c>
      <c r="H663" t="s">
        <v>9</v>
      </c>
    </row>
    <row r="664" spans="1:8" x14ac:dyDescent="0.25">
      <c r="A664">
        <v>69725082</v>
      </c>
      <c r="B664">
        <v>1352</v>
      </c>
      <c r="C664">
        <v>2080</v>
      </c>
      <c r="D664" s="19">
        <v>46086</v>
      </c>
      <c r="E664" t="s">
        <v>71</v>
      </c>
      <c r="F664" t="s">
        <v>116</v>
      </c>
      <c r="G664" t="e">
        <f>VLOOKUP($A664,'CA-US List'!$A:$C,3,0)</f>
        <v>#N/A</v>
      </c>
      <c r="H664" t="s">
        <v>9</v>
      </c>
    </row>
    <row r="665" spans="1:8" x14ac:dyDescent="0.25">
      <c r="A665">
        <v>69725082</v>
      </c>
      <c r="B665">
        <v>1352</v>
      </c>
      <c r="C665">
        <v>2990</v>
      </c>
      <c r="D665" s="19">
        <v>46087</v>
      </c>
      <c r="E665" t="s">
        <v>71</v>
      </c>
      <c r="F665" t="s">
        <v>116</v>
      </c>
      <c r="G665" t="e">
        <f>VLOOKUP($A665,'CA-US List'!$A:$C,3,0)</f>
        <v>#N/A</v>
      </c>
      <c r="H665" t="s">
        <v>9</v>
      </c>
    </row>
    <row r="666" spans="1:8" x14ac:dyDescent="0.25">
      <c r="A666">
        <v>69725082</v>
      </c>
      <c r="B666">
        <v>1352</v>
      </c>
      <c r="C666">
        <v>1950</v>
      </c>
      <c r="D666" s="19">
        <v>46087</v>
      </c>
      <c r="E666" t="s">
        <v>71</v>
      </c>
      <c r="F666" t="s">
        <v>116</v>
      </c>
      <c r="G666" t="e">
        <f>VLOOKUP($A666,'CA-US List'!$A:$C,3,0)</f>
        <v>#N/A</v>
      </c>
      <c r="H666" t="s">
        <v>9</v>
      </c>
    </row>
    <row r="667" spans="1:8" x14ac:dyDescent="0.25">
      <c r="A667">
        <v>69725082</v>
      </c>
      <c r="B667">
        <v>1352</v>
      </c>
      <c r="C667">
        <v>2841</v>
      </c>
      <c r="D667" s="19">
        <v>46088</v>
      </c>
      <c r="E667" t="s">
        <v>71</v>
      </c>
      <c r="F667" t="s">
        <v>116</v>
      </c>
      <c r="G667" t="e">
        <f>VLOOKUP($A667,'CA-US List'!$A:$C,3,0)</f>
        <v>#N/A</v>
      </c>
      <c r="H667" t="s">
        <v>9</v>
      </c>
    </row>
    <row r="668" spans="1:8" x14ac:dyDescent="0.25">
      <c r="A668">
        <v>69725082</v>
      </c>
      <c r="B668">
        <v>1352</v>
      </c>
      <c r="C668">
        <v>130</v>
      </c>
      <c r="D668" s="19">
        <v>46093</v>
      </c>
      <c r="E668" t="s">
        <v>71</v>
      </c>
      <c r="F668" t="s">
        <v>116</v>
      </c>
      <c r="G668" t="e">
        <f>VLOOKUP($A668,'CA-US List'!$A:$C,3,0)</f>
        <v>#N/A</v>
      </c>
      <c r="H668" t="s">
        <v>9</v>
      </c>
    </row>
    <row r="669" spans="1:8" x14ac:dyDescent="0.25">
      <c r="A669">
        <v>69725083</v>
      </c>
      <c r="B669">
        <v>1352</v>
      </c>
      <c r="C669">
        <v>2207</v>
      </c>
      <c r="D669" s="19">
        <v>46091</v>
      </c>
      <c r="E669" t="s">
        <v>195</v>
      </c>
      <c r="F669" t="s">
        <v>72</v>
      </c>
      <c r="G669" t="e">
        <f>VLOOKUP($A669,'CA-US List'!$A:$C,3,0)</f>
        <v>#N/A</v>
      </c>
      <c r="H669" t="s">
        <v>9</v>
      </c>
    </row>
    <row r="670" spans="1:8" x14ac:dyDescent="0.25">
      <c r="A670">
        <v>69725083</v>
      </c>
      <c r="B670">
        <v>1352</v>
      </c>
      <c r="C670">
        <v>3075</v>
      </c>
      <c r="D670" s="19">
        <v>46092</v>
      </c>
      <c r="E670" t="s">
        <v>195</v>
      </c>
      <c r="F670" t="s">
        <v>72</v>
      </c>
      <c r="G670" t="e">
        <f>VLOOKUP($A670,'CA-US List'!$A:$C,3,0)</f>
        <v>#N/A</v>
      </c>
      <c r="H670" t="s">
        <v>9</v>
      </c>
    </row>
    <row r="671" spans="1:8" x14ac:dyDescent="0.25">
      <c r="A671">
        <v>69725083</v>
      </c>
      <c r="B671">
        <v>1352</v>
      </c>
      <c r="C671">
        <v>1950</v>
      </c>
      <c r="D671" s="19">
        <v>46092</v>
      </c>
      <c r="E671" t="s">
        <v>195</v>
      </c>
      <c r="F671" t="s">
        <v>72</v>
      </c>
      <c r="G671" t="e">
        <f>VLOOKUP($A671,'CA-US List'!$A:$C,3,0)</f>
        <v>#N/A</v>
      </c>
      <c r="H671" t="s">
        <v>9</v>
      </c>
    </row>
    <row r="672" spans="1:8" x14ac:dyDescent="0.25">
      <c r="A672">
        <v>69725083</v>
      </c>
      <c r="B672">
        <v>1352</v>
      </c>
      <c r="C672">
        <v>1853</v>
      </c>
      <c r="D672" s="19">
        <v>46093</v>
      </c>
      <c r="E672" t="s">
        <v>195</v>
      </c>
      <c r="F672" t="s">
        <v>72</v>
      </c>
      <c r="G672" t="e">
        <f>VLOOKUP($A672,'CA-US List'!$A:$C,3,0)</f>
        <v>#N/A</v>
      </c>
      <c r="H672" t="s">
        <v>9</v>
      </c>
    </row>
    <row r="673" spans="1:8" x14ac:dyDescent="0.25">
      <c r="A673">
        <v>69725083</v>
      </c>
      <c r="B673">
        <v>1352</v>
      </c>
      <c r="C673">
        <v>1820</v>
      </c>
      <c r="D673" s="19">
        <v>46093</v>
      </c>
      <c r="E673" t="s">
        <v>195</v>
      </c>
      <c r="F673" t="s">
        <v>72</v>
      </c>
      <c r="G673" t="e">
        <f>VLOOKUP($A673,'CA-US List'!$A:$C,3,0)</f>
        <v>#N/A</v>
      </c>
      <c r="H673" t="s">
        <v>9</v>
      </c>
    </row>
    <row r="674" spans="1:8" x14ac:dyDescent="0.25">
      <c r="A674">
        <v>69725083</v>
      </c>
      <c r="B674">
        <v>1352</v>
      </c>
      <c r="C674">
        <v>2990</v>
      </c>
      <c r="D674" s="19">
        <v>46094</v>
      </c>
      <c r="E674" t="s">
        <v>195</v>
      </c>
      <c r="F674" t="s">
        <v>72</v>
      </c>
      <c r="G674" t="e">
        <f>VLOOKUP($A674,'CA-US List'!$A:$C,3,0)</f>
        <v>#N/A</v>
      </c>
      <c r="H674" t="s">
        <v>9</v>
      </c>
    </row>
    <row r="675" spans="1:8" x14ac:dyDescent="0.25">
      <c r="A675">
        <v>69725083</v>
      </c>
      <c r="B675">
        <v>1352</v>
      </c>
      <c r="C675">
        <v>1430</v>
      </c>
      <c r="D675" s="19">
        <v>46094</v>
      </c>
      <c r="E675" t="s">
        <v>195</v>
      </c>
      <c r="F675" t="s">
        <v>72</v>
      </c>
      <c r="G675" t="e">
        <f>VLOOKUP($A675,'CA-US List'!$A:$C,3,0)</f>
        <v>#N/A</v>
      </c>
      <c r="H675" t="s">
        <v>9</v>
      </c>
    </row>
    <row r="676" spans="1:8" x14ac:dyDescent="0.25">
      <c r="A676">
        <v>69725083</v>
      </c>
      <c r="B676">
        <v>1352</v>
      </c>
      <c r="C676">
        <v>1746</v>
      </c>
      <c r="D676" s="19">
        <v>46095</v>
      </c>
      <c r="E676" t="s">
        <v>195</v>
      </c>
      <c r="F676" t="s">
        <v>72</v>
      </c>
      <c r="G676" t="e">
        <f>VLOOKUP($A676,'CA-US List'!$A:$C,3,0)</f>
        <v>#N/A</v>
      </c>
      <c r="H676" t="s">
        <v>9</v>
      </c>
    </row>
    <row r="677" spans="1:8" x14ac:dyDescent="0.25">
      <c r="A677">
        <v>69725083</v>
      </c>
      <c r="B677">
        <v>1352</v>
      </c>
      <c r="C677">
        <v>390</v>
      </c>
      <c r="D677" s="19">
        <v>46090</v>
      </c>
      <c r="E677" t="s">
        <v>195</v>
      </c>
      <c r="F677" t="s">
        <v>72</v>
      </c>
      <c r="G677" t="e">
        <f>VLOOKUP($A677,'CA-US List'!$A:$C,3,0)</f>
        <v>#N/A</v>
      </c>
      <c r="H677" t="s">
        <v>9</v>
      </c>
    </row>
    <row r="678" spans="1:8" x14ac:dyDescent="0.25">
      <c r="A678">
        <v>69725083</v>
      </c>
      <c r="B678">
        <v>1352</v>
      </c>
      <c r="C678">
        <v>3143</v>
      </c>
      <c r="D678" s="19">
        <v>46091</v>
      </c>
      <c r="E678" t="s">
        <v>195</v>
      </c>
      <c r="F678" t="s">
        <v>72</v>
      </c>
      <c r="G678" t="e">
        <f>VLOOKUP($A678,'CA-US List'!$A:$C,3,0)</f>
        <v>#N/A</v>
      </c>
      <c r="H678" t="s">
        <v>9</v>
      </c>
    </row>
    <row r="679" spans="1:8" x14ac:dyDescent="0.25">
      <c r="A679">
        <v>69725083</v>
      </c>
      <c r="B679">
        <v>1352</v>
      </c>
      <c r="C679">
        <v>1560</v>
      </c>
      <c r="D679" s="19">
        <v>46097</v>
      </c>
      <c r="E679" t="s">
        <v>195</v>
      </c>
      <c r="F679" t="s">
        <v>72</v>
      </c>
      <c r="G679" t="e">
        <f>VLOOKUP($A679,'CA-US List'!$A:$C,3,0)</f>
        <v>#N/A</v>
      </c>
      <c r="H679" t="s">
        <v>9</v>
      </c>
    </row>
    <row r="680" spans="1:8" x14ac:dyDescent="0.25">
      <c r="A680">
        <v>69725083</v>
      </c>
      <c r="B680">
        <v>1352</v>
      </c>
      <c r="C680">
        <v>1584</v>
      </c>
      <c r="D680" s="19">
        <v>46098</v>
      </c>
      <c r="E680" t="s">
        <v>195</v>
      </c>
      <c r="F680" t="s">
        <v>72</v>
      </c>
      <c r="G680" t="e">
        <f>VLOOKUP($A680,'CA-US List'!$A:$C,3,0)</f>
        <v>#N/A</v>
      </c>
      <c r="H680" t="s">
        <v>9</v>
      </c>
    </row>
    <row r="681" spans="1:8" x14ac:dyDescent="0.25">
      <c r="A681">
        <v>69725083</v>
      </c>
      <c r="B681">
        <v>1352</v>
      </c>
      <c r="C681">
        <v>2600</v>
      </c>
      <c r="D681" s="19">
        <v>46098</v>
      </c>
      <c r="E681" t="s">
        <v>195</v>
      </c>
      <c r="F681" t="s">
        <v>72</v>
      </c>
      <c r="G681" t="e">
        <f>VLOOKUP($A681,'CA-US List'!$A:$C,3,0)</f>
        <v>#N/A</v>
      </c>
      <c r="H681" t="s">
        <v>9</v>
      </c>
    </row>
    <row r="682" spans="1:8" x14ac:dyDescent="0.25">
      <c r="A682">
        <v>69725083</v>
      </c>
      <c r="B682">
        <v>1352</v>
      </c>
      <c r="C682">
        <v>3193</v>
      </c>
      <c r="D682" s="19">
        <v>46099</v>
      </c>
      <c r="E682" t="s">
        <v>195</v>
      </c>
      <c r="F682" t="s">
        <v>72</v>
      </c>
      <c r="G682" t="e">
        <f>VLOOKUP($A682,'CA-US List'!$A:$C,3,0)</f>
        <v>#N/A</v>
      </c>
      <c r="H682" t="s">
        <v>9</v>
      </c>
    </row>
    <row r="683" spans="1:8" x14ac:dyDescent="0.25">
      <c r="A683">
        <v>69725083</v>
      </c>
      <c r="B683">
        <v>1352</v>
      </c>
      <c r="C683">
        <v>2340</v>
      </c>
      <c r="D683" s="19">
        <v>46099</v>
      </c>
      <c r="E683" t="s">
        <v>195</v>
      </c>
      <c r="F683" t="s">
        <v>72</v>
      </c>
      <c r="G683" t="e">
        <f>VLOOKUP($A683,'CA-US List'!$A:$C,3,0)</f>
        <v>#N/A</v>
      </c>
      <c r="H683" t="s">
        <v>9</v>
      </c>
    </row>
    <row r="684" spans="1:8" x14ac:dyDescent="0.25">
      <c r="A684">
        <v>69725083</v>
      </c>
      <c r="B684">
        <v>1352</v>
      </c>
      <c r="C684">
        <v>3013</v>
      </c>
      <c r="D684" s="19">
        <v>46100</v>
      </c>
      <c r="E684" t="s">
        <v>195</v>
      </c>
      <c r="F684" t="s">
        <v>72</v>
      </c>
      <c r="G684" t="e">
        <f>VLOOKUP($A684,'CA-US List'!$A:$C,3,0)</f>
        <v>#N/A</v>
      </c>
      <c r="H684" t="s">
        <v>9</v>
      </c>
    </row>
    <row r="685" spans="1:8" x14ac:dyDescent="0.25">
      <c r="A685">
        <v>69725083</v>
      </c>
      <c r="B685">
        <v>1352</v>
      </c>
      <c r="C685">
        <v>2470</v>
      </c>
      <c r="D685" s="19">
        <v>46100</v>
      </c>
      <c r="E685" t="s">
        <v>195</v>
      </c>
      <c r="F685" t="s">
        <v>72</v>
      </c>
      <c r="G685" t="e">
        <f>VLOOKUP($A685,'CA-US List'!$A:$C,3,0)</f>
        <v>#N/A</v>
      </c>
      <c r="H685" t="s">
        <v>9</v>
      </c>
    </row>
    <row r="686" spans="1:8" x14ac:dyDescent="0.25">
      <c r="A686">
        <v>69725083</v>
      </c>
      <c r="B686">
        <v>1352</v>
      </c>
      <c r="C686">
        <v>2433</v>
      </c>
      <c r="D686" s="19">
        <v>46101</v>
      </c>
      <c r="E686" t="s">
        <v>195</v>
      </c>
      <c r="F686" t="s">
        <v>72</v>
      </c>
      <c r="G686" t="e">
        <f>VLOOKUP($A686,'CA-US List'!$A:$C,3,0)</f>
        <v>#N/A</v>
      </c>
      <c r="H686" t="s">
        <v>9</v>
      </c>
    </row>
    <row r="687" spans="1:8" x14ac:dyDescent="0.25">
      <c r="A687">
        <v>69725083</v>
      </c>
      <c r="B687">
        <v>1352</v>
      </c>
      <c r="C687">
        <v>637</v>
      </c>
      <c r="D687" s="19">
        <v>46101</v>
      </c>
      <c r="E687" t="s">
        <v>195</v>
      </c>
      <c r="F687" t="s">
        <v>72</v>
      </c>
      <c r="G687" t="e">
        <f>VLOOKUP($A687,'CA-US List'!$A:$C,3,0)</f>
        <v>#N/A</v>
      </c>
      <c r="H687" t="s">
        <v>9</v>
      </c>
    </row>
    <row r="688" spans="1:8" x14ac:dyDescent="0.25">
      <c r="A688">
        <v>69725083</v>
      </c>
      <c r="B688">
        <v>1352</v>
      </c>
      <c r="C688">
        <v>1903</v>
      </c>
      <c r="D688" s="19">
        <v>46102</v>
      </c>
      <c r="E688" t="s">
        <v>195</v>
      </c>
      <c r="F688" t="s">
        <v>72</v>
      </c>
      <c r="G688" t="e">
        <f>VLOOKUP($A688,'CA-US List'!$A:$C,3,0)</f>
        <v>#N/A</v>
      </c>
      <c r="H688" t="s">
        <v>9</v>
      </c>
    </row>
    <row r="689" spans="1:8" x14ac:dyDescent="0.25">
      <c r="A689">
        <v>69727314</v>
      </c>
      <c r="B689">
        <v>1352</v>
      </c>
      <c r="C689">
        <v>2210</v>
      </c>
      <c r="D689" s="19">
        <v>46090</v>
      </c>
      <c r="E689" t="s">
        <v>182</v>
      </c>
      <c r="F689" t="s">
        <v>116</v>
      </c>
      <c r="G689" t="e">
        <f>VLOOKUP($A689,'CA-US List'!$A:$C,3,0)</f>
        <v>#N/A</v>
      </c>
      <c r="H689" t="s">
        <v>9</v>
      </c>
    </row>
    <row r="690" spans="1:8" x14ac:dyDescent="0.25">
      <c r="A690">
        <v>69727314</v>
      </c>
      <c r="B690">
        <v>1352</v>
      </c>
      <c r="C690">
        <v>3120</v>
      </c>
      <c r="D690" s="19">
        <v>46091</v>
      </c>
      <c r="E690" t="s">
        <v>182</v>
      </c>
      <c r="F690" t="s">
        <v>116</v>
      </c>
      <c r="G690" t="e">
        <f>VLOOKUP($A690,'CA-US List'!$A:$C,3,0)</f>
        <v>#N/A</v>
      </c>
      <c r="H690" t="s">
        <v>9</v>
      </c>
    </row>
    <row r="691" spans="1:8" x14ac:dyDescent="0.25">
      <c r="A691">
        <v>69727314</v>
      </c>
      <c r="B691">
        <v>1352</v>
      </c>
      <c r="C691">
        <v>1950</v>
      </c>
      <c r="D691" s="19">
        <v>46091</v>
      </c>
      <c r="E691" t="s">
        <v>182</v>
      </c>
      <c r="F691" t="s">
        <v>116</v>
      </c>
      <c r="G691" t="e">
        <f>VLOOKUP($A691,'CA-US List'!$A:$C,3,0)</f>
        <v>#N/A</v>
      </c>
      <c r="H691" t="s">
        <v>9</v>
      </c>
    </row>
    <row r="692" spans="1:8" x14ac:dyDescent="0.25">
      <c r="A692">
        <v>69727314</v>
      </c>
      <c r="B692">
        <v>1352</v>
      </c>
      <c r="C692">
        <v>2749</v>
      </c>
      <c r="D692" s="19">
        <v>46092</v>
      </c>
      <c r="E692" t="s">
        <v>182</v>
      </c>
      <c r="F692" t="s">
        <v>116</v>
      </c>
      <c r="G692" t="e">
        <f>VLOOKUP($A692,'CA-US List'!$A:$C,3,0)</f>
        <v>#N/A</v>
      </c>
      <c r="H692" t="s">
        <v>9</v>
      </c>
    </row>
    <row r="693" spans="1:8" x14ac:dyDescent="0.25">
      <c r="A693">
        <v>69727314</v>
      </c>
      <c r="B693">
        <v>1352</v>
      </c>
      <c r="C693">
        <v>2600</v>
      </c>
      <c r="D693" s="19">
        <v>46092</v>
      </c>
      <c r="E693" t="s">
        <v>182</v>
      </c>
      <c r="F693" t="s">
        <v>116</v>
      </c>
      <c r="G693" t="e">
        <f>VLOOKUP($A693,'CA-US List'!$A:$C,3,0)</f>
        <v>#N/A</v>
      </c>
      <c r="H693" t="s">
        <v>9</v>
      </c>
    </row>
    <row r="694" spans="1:8" x14ac:dyDescent="0.25">
      <c r="A694">
        <v>69727314</v>
      </c>
      <c r="B694">
        <v>1352</v>
      </c>
      <c r="C694">
        <v>3396</v>
      </c>
      <c r="D694" s="19">
        <v>46093</v>
      </c>
      <c r="E694" t="s">
        <v>182</v>
      </c>
      <c r="F694" t="s">
        <v>116</v>
      </c>
      <c r="G694" t="e">
        <f>VLOOKUP($A694,'CA-US List'!$A:$C,3,0)</f>
        <v>#N/A</v>
      </c>
      <c r="H694" t="s">
        <v>9</v>
      </c>
    </row>
    <row r="695" spans="1:8" x14ac:dyDescent="0.25">
      <c r="A695">
        <v>69727314</v>
      </c>
      <c r="B695">
        <v>1352</v>
      </c>
      <c r="C695">
        <v>2730</v>
      </c>
      <c r="D695" s="19">
        <v>46093</v>
      </c>
      <c r="E695" t="s">
        <v>182</v>
      </c>
      <c r="F695" t="s">
        <v>116</v>
      </c>
      <c r="G695" t="e">
        <f>VLOOKUP($A695,'CA-US List'!$A:$C,3,0)</f>
        <v>#N/A</v>
      </c>
      <c r="H695" t="s">
        <v>9</v>
      </c>
    </row>
    <row r="696" spans="1:8" x14ac:dyDescent="0.25">
      <c r="A696">
        <v>69727314</v>
      </c>
      <c r="B696">
        <v>1352</v>
      </c>
      <c r="C696">
        <v>3169</v>
      </c>
      <c r="D696" s="19">
        <v>46094</v>
      </c>
      <c r="E696" t="s">
        <v>182</v>
      </c>
      <c r="F696" t="s">
        <v>116</v>
      </c>
      <c r="G696" t="e">
        <f>VLOOKUP($A696,'CA-US List'!$A:$C,3,0)</f>
        <v>#N/A</v>
      </c>
      <c r="H696" t="s">
        <v>9</v>
      </c>
    </row>
    <row r="697" spans="1:8" x14ac:dyDescent="0.25">
      <c r="A697">
        <v>69727314</v>
      </c>
      <c r="B697">
        <v>1352</v>
      </c>
      <c r="C697">
        <v>2080</v>
      </c>
      <c r="D697" s="19">
        <v>46097</v>
      </c>
      <c r="E697" t="s">
        <v>182</v>
      </c>
      <c r="F697" t="s">
        <v>116</v>
      </c>
      <c r="G697" t="e">
        <f>VLOOKUP($A697,'CA-US List'!$A:$C,3,0)</f>
        <v>#N/A</v>
      </c>
      <c r="H697" t="s">
        <v>9</v>
      </c>
    </row>
    <row r="698" spans="1:8" x14ac:dyDescent="0.25">
      <c r="A698">
        <v>69727314</v>
      </c>
      <c r="B698">
        <v>1352</v>
      </c>
      <c r="C698">
        <v>3174</v>
      </c>
      <c r="D698" s="19">
        <v>46098</v>
      </c>
      <c r="E698" t="s">
        <v>182</v>
      </c>
      <c r="F698" t="s">
        <v>116</v>
      </c>
      <c r="G698" t="e">
        <f>VLOOKUP($A698,'CA-US List'!$A:$C,3,0)</f>
        <v>#N/A</v>
      </c>
      <c r="H698" t="s">
        <v>9</v>
      </c>
    </row>
    <row r="699" spans="1:8" x14ac:dyDescent="0.25">
      <c r="A699">
        <v>69727314</v>
      </c>
      <c r="B699">
        <v>1352</v>
      </c>
      <c r="C699">
        <v>2210</v>
      </c>
      <c r="D699" s="19">
        <v>46098</v>
      </c>
      <c r="E699" t="s">
        <v>182</v>
      </c>
      <c r="F699" t="s">
        <v>116</v>
      </c>
      <c r="G699" t="e">
        <f>VLOOKUP($A699,'CA-US List'!$A:$C,3,0)</f>
        <v>#N/A</v>
      </c>
      <c r="H699" t="s">
        <v>9</v>
      </c>
    </row>
    <row r="700" spans="1:8" x14ac:dyDescent="0.25">
      <c r="A700">
        <v>69727314</v>
      </c>
      <c r="B700">
        <v>1352</v>
      </c>
      <c r="C700">
        <v>3364</v>
      </c>
      <c r="D700" s="19">
        <v>46099</v>
      </c>
      <c r="E700" t="s">
        <v>182</v>
      </c>
      <c r="F700" t="s">
        <v>116</v>
      </c>
      <c r="G700" t="e">
        <f>VLOOKUP($A700,'CA-US List'!$A:$C,3,0)</f>
        <v>#N/A</v>
      </c>
      <c r="H700" t="s">
        <v>9</v>
      </c>
    </row>
    <row r="701" spans="1:8" x14ac:dyDescent="0.25">
      <c r="A701">
        <v>69727314</v>
      </c>
      <c r="B701">
        <v>1352</v>
      </c>
      <c r="C701">
        <v>2470</v>
      </c>
      <c r="D701" s="19">
        <v>46099</v>
      </c>
      <c r="E701" t="s">
        <v>182</v>
      </c>
      <c r="F701" t="s">
        <v>116</v>
      </c>
      <c r="G701" t="e">
        <f>VLOOKUP($A701,'CA-US List'!$A:$C,3,0)</f>
        <v>#N/A</v>
      </c>
      <c r="H701" t="s">
        <v>9</v>
      </c>
    </row>
    <row r="702" spans="1:8" x14ac:dyDescent="0.25">
      <c r="A702">
        <v>69727314</v>
      </c>
      <c r="B702">
        <v>1352</v>
      </c>
      <c r="C702">
        <v>2555</v>
      </c>
      <c r="D702" s="19">
        <v>46100</v>
      </c>
      <c r="E702" t="s">
        <v>182</v>
      </c>
      <c r="F702" t="s">
        <v>116</v>
      </c>
      <c r="G702" t="e">
        <f>VLOOKUP($A702,'CA-US List'!$A:$C,3,0)</f>
        <v>#N/A</v>
      </c>
      <c r="H702" t="s">
        <v>9</v>
      </c>
    </row>
    <row r="703" spans="1:8" x14ac:dyDescent="0.25">
      <c r="A703">
        <v>69727314</v>
      </c>
      <c r="B703">
        <v>1352</v>
      </c>
      <c r="C703">
        <v>2080</v>
      </c>
      <c r="D703" s="19">
        <v>46100</v>
      </c>
      <c r="E703" t="s">
        <v>182</v>
      </c>
      <c r="F703" t="s">
        <v>116</v>
      </c>
      <c r="G703" t="e">
        <f>VLOOKUP($A703,'CA-US List'!$A:$C,3,0)</f>
        <v>#N/A</v>
      </c>
      <c r="H703" t="s">
        <v>9</v>
      </c>
    </row>
    <row r="704" spans="1:8" x14ac:dyDescent="0.25">
      <c r="A704">
        <v>69727314</v>
      </c>
      <c r="B704">
        <v>1352</v>
      </c>
      <c r="C704">
        <v>3285</v>
      </c>
      <c r="D704" s="19">
        <v>46101</v>
      </c>
      <c r="E704" t="s">
        <v>182</v>
      </c>
      <c r="F704" t="s">
        <v>116</v>
      </c>
      <c r="G704" t="e">
        <f>VLOOKUP($A704,'CA-US List'!$A:$C,3,0)</f>
        <v>#N/A</v>
      </c>
      <c r="H704" t="s">
        <v>9</v>
      </c>
    </row>
    <row r="705" spans="1:8" x14ac:dyDescent="0.25">
      <c r="A705">
        <v>69727314</v>
      </c>
      <c r="B705">
        <v>1352</v>
      </c>
      <c r="C705">
        <v>447</v>
      </c>
      <c r="D705" s="19">
        <v>46101</v>
      </c>
      <c r="E705" t="s">
        <v>182</v>
      </c>
      <c r="F705" t="s">
        <v>116</v>
      </c>
      <c r="G705" t="e">
        <f>VLOOKUP($A705,'CA-US List'!$A:$C,3,0)</f>
        <v>#N/A</v>
      </c>
      <c r="H705" t="s">
        <v>9</v>
      </c>
    </row>
    <row r="706" spans="1:8" x14ac:dyDescent="0.25">
      <c r="A706">
        <v>69727314</v>
      </c>
      <c r="B706">
        <v>1352</v>
      </c>
      <c r="C706">
        <v>1690</v>
      </c>
      <c r="D706" s="19">
        <v>46104</v>
      </c>
      <c r="E706" t="s">
        <v>182</v>
      </c>
      <c r="F706" t="s">
        <v>116</v>
      </c>
      <c r="G706" t="e">
        <f>VLOOKUP($A706,'CA-US List'!$A:$C,3,0)</f>
        <v>#N/A</v>
      </c>
      <c r="H706" t="s">
        <v>9</v>
      </c>
    </row>
    <row r="707" spans="1:8" x14ac:dyDescent="0.25">
      <c r="A707">
        <v>69727314</v>
      </c>
      <c r="B707">
        <v>1352</v>
      </c>
      <c r="C707">
        <v>3168</v>
      </c>
      <c r="D707" s="19">
        <v>46105</v>
      </c>
      <c r="E707" t="s">
        <v>182</v>
      </c>
      <c r="F707" t="s">
        <v>116</v>
      </c>
      <c r="G707" t="e">
        <f>VLOOKUP($A707,'CA-US List'!$A:$C,3,0)</f>
        <v>#N/A</v>
      </c>
      <c r="H707" t="s">
        <v>9</v>
      </c>
    </row>
    <row r="708" spans="1:8" x14ac:dyDescent="0.25">
      <c r="A708">
        <v>69727314</v>
      </c>
      <c r="B708">
        <v>1352</v>
      </c>
      <c r="C708">
        <v>2730</v>
      </c>
      <c r="D708" s="19">
        <v>46105</v>
      </c>
      <c r="E708" t="s">
        <v>182</v>
      </c>
      <c r="F708" t="s">
        <v>116</v>
      </c>
      <c r="G708" t="e">
        <f>VLOOKUP($A708,'CA-US List'!$A:$C,3,0)</f>
        <v>#N/A</v>
      </c>
      <c r="H708" t="s">
        <v>9</v>
      </c>
    </row>
    <row r="709" spans="1:8" x14ac:dyDescent="0.25">
      <c r="A709">
        <v>64330596</v>
      </c>
      <c r="B709">
        <v>2904</v>
      </c>
      <c r="C709">
        <v>350</v>
      </c>
      <c r="D709" s="19">
        <v>46084</v>
      </c>
      <c r="E709" t="s">
        <v>55</v>
      </c>
      <c r="F709" t="s">
        <v>56</v>
      </c>
      <c r="G709" t="e">
        <f>VLOOKUP($A709,'CA-US List'!$A:$C,3,0)</f>
        <v>#N/A</v>
      </c>
      <c r="H709" t="s">
        <v>9</v>
      </c>
    </row>
    <row r="710" spans="1:8" x14ac:dyDescent="0.25">
      <c r="A710">
        <v>64330596</v>
      </c>
      <c r="B710">
        <v>2904</v>
      </c>
      <c r="C710">
        <v>2530</v>
      </c>
      <c r="D710" s="19">
        <v>46084</v>
      </c>
      <c r="E710" t="s">
        <v>55</v>
      </c>
      <c r="F710" t="s">
        <v>56</v>
      </c>
      <c r="G710" t="e">
        <f>VLOOKUP($A710,'CA-US List'!$A:$C,3,0)</f>
        <v>#N/A</v>
      </c>
      <c r="H710" t="s">
        <v>9</v>
      </c>
    </row>
    <row r="711" spans="1:8" x14ac:dyDescent="0.25">
      <c r="A711">
        <v>64330596</v>
      </c>
      <c r="B711">
        <v>2904</v>
      </c>
      <c r="C711">
        <v>3819</v>
      </c>
      <c r="D711" s="19">
        <v>46085</v>
      </c>
      <c r="E711" t="s">
        <v>55</v>
      </c>
      <c r="F711" t="s">
        <v>56</v>
      </c>
      <c r="G711" t="e">
        <f>VLOOKUP($A711,'CA-US List'!$A:$C,3,0)</f>
        <v>#N/A</v>
      </c>
      <c r="H711" t="s">
        <v>9</v>
      </c>
    </row>
    <row r="712" spans="1:8" x14ac:dyDescent="0.25">
      <c r="A712">
        <v>64330596</v>
      </c>
      <c r="B712">
        <v>2904</v>
      </c>
      <c r="C712">
        <v>176</v>
      </c>
      <c r="D712" s="19">
        <v>46093</v>
      </c>
      <c r="E712" t="s">
        <v>55</v>
      </c>
      <c r="F712" t="s">
        <v>56</v>
      </c>
      <c r="G712" t="e">
        <f>VLOOKUP($A712,'CA-US List'!$A:$C,3,0)</f>
        <v>#N/A</v>
      </c>
      <c r="H712" t="s">
        <v>9</v>
      </c>
    </row>
    <row r="713" spans="1:8" x14ac:dyDescent="0.25">
      <c r="A713">
        <v>64330596</v>
      </c>
      <c r="B713">
        <v>2904</v>
      </c>
      <c r="C713">
        <v>4182</v>
      </c>
      <c r="D713" s="19">
        <v>46085</v>
      </c>
      <c r="E713" t="s">
        <v>55</v>
      </c>
      <c r="F713" t="s">
        <v>56</v>
      </c>
      <c r="G713" t="e">
        <f>VLOOKUP($A713,'CA-US List'!$A:$C,3,0)</f>
        <v>#N/A</v>
      </c>
      <c r="H713" t="s">
        <v>9</v>
      </c>
    </row>
    <row r="714" spans="1:8" x14ac:dyDescent="0.25">
      <c r="A714">
        <v>64330596</v>
      </c>
      <c r="B714">
        <v>2904</v>
      </c>
      <c r="C714">
        <v>5408</v>
      </c>
      <c r="D714" s="19">
        <v>46086</v>
      </c>
      <c r="E714" t="s">
        <v>55</v>
      </c>
      <c r="F714" t="s">
        <v>56</v>
      </c>
      <c r="G714" t="e">
        <f>VLOOKUP($A714,'CA-US List'!$A:$C,3,0)</f>
        <v>#N/A</v>
      </c>
      <c r="H714" t="s">
        <v>9</v>
      </c>
    </row>
    <row r="715" spans="1:8" x14ac:dyDescent="0.25">
      <c r="A715">
        <v>64330596</v>
      </c>
      <c r="B715">
        <v>2904</v>
      </c>
      <c r="C715">
        <v>16</v>
      </c>
      <c r="D715" s="19">
        <v>46098</v>
      </c>
      <c r="E715" t="s">
        <v>55</v>
      </c>
      <c r="F715" t="s">
        <v>56</v>
      </c>
      <c r="G715" t="e">
        <f>VLOOKUP($A715,'CA-US List'!$A:$C,3,0)</f>
        <v>#N/A</v>
      </c>
      <c r="H715" t="s">
        <v>9</v>
      </c>
    </row>
    <row r="716" spans="1:8" x14ac:dyDescent="0.25">
      <c r="A716">
        <v>64330596</v>
      </c>
      <c r="B716">
        <v>2904</v>
      </c>
      <c r="C716">
        <v>6078</v>
      </c>
      <c r="D716" s="19">
        <v>46086</v>
      </c>
      <c r="E716" t="s">
        <v>55</v>
      </c>
      <c r="F716" t="s">
        <v>56</v>
      </c>
      <c r="G716" t="e">
        <f>VLOOKUP($A716,'CA-US List'!$A:$C,3,0)</f>
        <v>#N/A</v>
      </c>
      <c r="H716" t="s">
        <v>9</v>
      </c>
    </row>
    <row r="717" spans="1:8" x14ac:dyDescent="0.25">
      <c r="A717">
        <v>64330596</v>
      </c>
      <c r="B717">
        <v>2904</v>
      </c>
      <c r="C717">
        <v>6864</v>
      </c>
      <c r="D717" s="19">
        <v>46087</v>
      </c>
      <c r="E717" t="s">
        <v>55</v>
      </c>
      <c r="F717" t="s">
        <v>56</v>
      </c>
      <c r="G717" t="e">
        <f>VLOOKUP($A717,'CA-US List'!$A:$C,3,0)</f>
        <v>#N/A</v>
      </c>
      <c r="H717" t="s">
        <v>9</v>
      </c>
    </row>
    <row r="718" spans="1:8" x14ac:dyDescent="0.25">
      <c r="A718">
        <v>64330596</v>
      </c>
      <c r="B718">
        <v>2904</v>
      </c>
      <c r="C718">
        <v>31</v>
      </c>
      <c r="D718" s="19">
        <v>46090</v>
      </c>
      <c r="E718" t="s">
        <v>55</v>
      </c>
      <c r="F718" t="s">
        <v>56</v>
      </c>
      <c r="G718" t="e">
        <f>VLOOKUP($A718,'CA-US List'!$A:$C,3,0)</f>
        <v>#N/A</v>
      </c>
      <c r="H718" t="s">
        <v>9</v>
      </c>
    </row>
    <row r="719" spans="1:8" x14ac:dyDescent="0.25">
      <c r="A719">
        <v>64330596</v>
      </c>
      <c r="B719">
        <v>2904</v>
      </c>
      <c r="C719">
        <v>-31</v>
      </c>
      <c r="D719" s="19">
        <v>46094</v>
      </c>
      <c r="E719" t="s">
        <v>55</v>
      </c>
      <c r="F719" t="s">
        <v>56</v>
      </c>
      <c r="G719" t="e">
        <f>VLOOKUP($A719,'CA-US List'!$A:$C,3,0)</f>
        <v>#N/A</v>
      </c>
      <c r="H719" t="s">
        <v>9</v>
      </c>
    </row>
    <row r="720" spans="1:8" x14ac:dyDescent="0.25">
      <c r="A720">
        <v>64330596</v>
      </c>
      <c r="B720">
        <v>2904</v>
      </c>
      <c r="C720">
        <v>3934</v>
      </c>
      <c r="D720" s="19">
        <v>46087</v>
      </c>
      <c r="E720" t="s">
        <v>55</v>
      </c>
      <c r="F720" t="s">
        <v>56</v>
      </c>
      <c r="G720" t="e">
        <f>VLOOKUP($A720,'CA-US List'!$A:$C,3,0)</f>
        <v>#N/A</v>
      </c>
      <c r="H720" t="s">
        <v>9</v>
      </c>
    </row>
    <row r="721" spans="1:8" x14ac:dyDescent="0.25">
      <c r="A721">
        <v>64330596</v>
      </c>
      <c r="B721">
        <v>2904</v>
      </c>
      <c r="C721">
        <v>5632</v>
      </c>
      <c r="D721" s="19">
        <v>46088</v>
      </c>
      <c r="E721" t="s">
        <v>55</v>
      </c>
      <c r="F721" t="s">
        <v>56</v>
      </c>
      <c r="G721" t="e">
        <f>VLOOKUP($A721,'CA-US List'!$A:$C,3,0)</f>
        <v>#N/A</v>
      </c>
      <c r="H721" t="s">
        <v>9</v>
      </c>
    </row>
    <row r="722" spans="1:8" x14ac:dyDescent="0.25">
      <c r="A722">
        <v>64330596</v>
      </c>
      <c r="B722">
        <v>2904</v>
      </c>
      <c r="C722">
        <v>5209</v>
      </c>
      <c r="D722" s="19">
        <v>46088</v>
      </c>
      <c r="E722" t="s">
        <v>55</v>
      </c>
      <c r="F722" t="s">
        <v>56</v>
      </c>
      <c r="G722" t="e">
        <f>VLOOKUP($A722,'CA-US List'!$A:$C,3,0)</f>
        <v>#N/A</v>
      </c>
      <c r="H722" t="s">
        <v>9</v>
      </c>
    </row>
    <row r="723" spans="1:8" x14ac:dyDescent="0.25">
      <c r="A723">
        <v>64330596</v>
      </c>
      <c r="B723">
        <v>2904</v>
      </c>
      <c r="C723">
        <v>5200</v>
      </c>
      <c r="D723" s="19">
        <v>46089</v>
      </c>
      <c r="E723" t="s">
        <v>55</v>
      </c>
      <c r="F723" t="s">
        <v>56</v>
      </c>
      <c r="G723" t="e">
        <f>VLOOKUP($A723,'CA-US List'!$A:$C,3,0)</f>
        <v>#N/A</v>
      </c>
      <c r="H723" t="s">
        <v>9</v>
      </c>
    </row>
    <row r="724" spans="1:8" x14ac:dyDescent="0.25">
      <c r="A724">
        <v>64330596</v>
      </c>
      <c r="B724">
        <v>2904</v>
      </c>
      <c r="C724">
        <v>5068</v>
      </c>
      <c r="D724" s="19">
        <v>46089</v>
      </c>
      <c r="E724" t="s">
        <v>55</v>
      </c>
      <c r="F724" t="s">
        <v>56</v>
      </c>
      <c r="G724" t="e">
        <f>VLOOKUP($A724,'CA-US List'!$A:$C,3,0)</f>
        <v>#N/A</v>
      </c>
      <c r="H724" t="s">
        <v>9</v>
      </c>
    </row>
    <row r="725" spans="1:8" x14ac:dyDescent="0.25">
      <c r="A725">
        <v>64330596</v>
      </c>
      <c r="B725">
        <v>2904</v>
      </c>
      <c r="C725">
        <v>4912</v>
      </c>
      <c r="D725" s="19">
        <v>46090</v>
      </c>
      <c r="E725" t="s">
        <v>55</v>
      </c>
      <c r="F725" t="s">
        <v>56</v>
      </c>
      <c r="G725" t="e">
        <f>VLOOKUP($A725,'CA-US List'!$A:$C,3,0)</f>
        <v>#N/A</v>
      </c>
      <c r="H725" t="s">
        <v>9</v>
      </c>
    </row>
    <row r="726" spans="1:8" x14ac:dyDescent="0.25">
      <c r="A726">
        <v>64330596</v>
      </c>
      <c r="B726">
        <v>2904</v>
      </c>
      <c r="C726">
        <v>4007</v>
      </c>
      <c r="D726" s="19">
        <v>46090</v>
      </c>
      <c r="E726" t="s">
        <v>55</v>
      </c>
      <c r="F726" t="s">
        <v>56</v>
      </c>
      <c r="G726" t="e">
        <f>VLOOKUP($A726,'CA-US List'!$A:$C,3,0)</f>
        <v>#N/A</v>
      </c>
      <c r="H726" t="s">
        <v>9</v>
      </c>
    </row>
    <row r="727" spans="1:8" x14ac:dyDescent="0.25">
      <c r="A727">
        <v>64330596</v>
      </c>
      <c r="B727">
        <v>2904</v>
      </c>
      <c r="C727">
        <v>6224</v>
      </c>
      <c r="D727" s="19">
        <v>46091</v>
      </c>
      <c r="E727" t="s">
        <v>55</v>
      </c>
      <c r="F727" t="s">
        <v>56</v>
      </c>
      <c r="G727" t="e">
        <f>VLOOKUP($A727,'CA-US List'!$A:$C,3,0)</f>
        <v>#N/A</v>
      </c>
      <c r="H727" t="s">
        <v>9</v>
      </c>
    </row>
    <row r="728" spans="1:8" x14ac:dyDescent="0.25">
      <c r="A728">
        <v>64330596</v>
      </c>
      <c r="B728">
        <v>2904</v>
      </c>
      <c r="C728">
        <v>4341</v>
      </c>
      <c r="D728" s="19">
        <v>46091</v>
      </c>
      <c r="E728" t="s">
        <v>55</v>
      </c>
      <c r="F728" t="s">
        <v>56</v>
      </c>
      <c r="G728" t="e">
        <f>VLOOKUP($A728,'CA-US List'!$A:$C,3,0)</f>
        <v>#N/A</v>
      </c>
      <c r="H728" t="s">
        <v>9</v>
      </c>
    </row>
    <row r="729" spans="1:8" x14ac:dyDescent="0.25">
      <c r="A729">
        <v>64330596</v>
      </c>
      <c r="B729">
        <v>2904</v>
      </c>
      <c r="C729">
        <v>4656</v>
      </c>
      <c r="D729" s="19">
        <v>46092</v>
      </c>
      <c r="E729" t="s">
        <v>55</v>
      </c>
      <c r="F729" t="s">
        <v>56</v>
      </c>
      <c r="G729" t="e">
        <f>VLOOKUP($A729,'CA-US List'!$A:$C,3,0)</f>
        <v>#N/A</v>
      </c>
      <c r="H729" t="s">
        <v>9</v>
      </c>
    </row>
    <row r="730" spans="1:8" x14ac:dyDescent="0.25">
      <c r="A730">
        <v>64330596</v>
      </c>
      <c r="B730">
        <v>2904</v>
      </c>
      <c r="C730">
        <v>5325</v>
      </c>
      <c r="D730" s="19">
        <v>46092</v>
      </c>
      <c r="E730" t="s">
        <v>55</v>
      </c>
      <c r="F730" t="s">
        <v>56</v>
      </c>
      <c r="G730" t="e">
        <f>VLOOKUP($A730,'CA-US List'!$A:$C,3,0)</f>
        <v>#N/A</v>
      </c>
      <c r="H730" t="s">
        <v>9</v>
      </c>
    </row>
    <row r="731" spans="1:8" x14ac:dyDescent="0.25">
      <c r="A731">
        <v>64330596</v>
      </c>
      <c r="B731">
        <v>2904</v>
      </c>
      <c r="C731">
        <v>6336</v>
      </c>
      <c r="D731" s="19">
        <v>46093</v>
      </c>
      <c r="E731" t="s">
        <v>55</v>
      </c>
      <c r="F731" t="s">
        <v>56</v>
      </c>
      <c r="G731" t="e">
        <f>VLOOKUP($A731,'CA-US List'!$A:$C,3,0)</f>
        <v>#N/A</v>
      </c>
      <c r="H731" t="s">
        <v>9</v>
      </c>
    </row>
    <row r="732" spans="1:8" x14ac:dyDescent="0.25">
      <c r="A732">
        <v>64330596</v>
      </c>
      <c r="B732">
        <v>2904</v>
      </c>
      <c r="C732">
        <v>372</v>
      </c>
      <c r="D732" s="19">
        <v>46093</v>
      </c>
      <c r="E732" t="s">
        <v>55</v>
      </c>
      <c r="F732" t="s">
        <v>56</v>
      </c>
      <c r="G732" t="e">
        <f>VLOOKUP($A732,'CA-US List'!$A:$C,3,0)</f>
        <v>#N/A</v>
      </c>
      <c r="H732" t="s">
        <v>9</v>
      </c>
    </row>
    <row r="733" spans="1:8" x14ac:dyDescent="0.25">
      <c r="A733">
        <v>64330596</v>
      </c>
      <c r="B733">
        <v>2904</v>
      </c>
      <c r="C733">
        <v>2501</v>
      </c>
      <c r="D733" s="19">
        <v>46094</v>
      </c>
      <c r="E733" t="s">
        <v>55</v>
      </c>
      <c r="F733" t="s">
        <v>56</v>
      </c>
      <c r="G733" t="e">
        <f>VLOOKUP($A733,'CA-US List'!$A:$C,3,0)</f>
        <v>#N/A</v>
      </c>
      <c r="H733" t="s">
        <v>9</v>
      </c>
    </row>
    <row r="734" spans="1:8" x14ac:dyDescent="0.25">
      <c r="A734">
        <v>64330596</v>
      </c>
      <c r="B734">
        <v>2904</v>
      </c>
      <c r="C734">
        <v>4922</v>
      </c>
      <c r="D734" s="19">
        <v>46094</v>
      </c>
      <c r="E734" t="s">
        <v>55</v>
      </c>
      <c r="F734" t="s">
        <v>56</v>
      </c>
      <c r="G734" t="e">
        <f>VLOOKUP($A734,'CA-US List'!$A:$C,3,0)</f>
        <v>#N/A</v>
      </c>
      <c r="H734" t="s">
        <v>9</v>
      </c>
    </row>
    <row r="735" spans="1:8" x14ac:dyDescent="0.25">
      <c r="A735">
        <v>64330596</v>
      </c>
      <c r="B735">
        <v>2904</v>
      </c>
      <c r="C735">
        <v>5616</v>
      </c>
      <c r="D735" s="19">
        <v>46095</v>
      </c>
      <c r="E735" t="s">
        <v>55</v>
      </c>
      <c r="F735" t="s">
        <v>56</v>
      </c>
      <c r="G735" t="e">
        <f>VLOOKUP($A735,'CA-US List'!$A:$C,3,0)</f>
        <v>#N/A</v>
      </c>
      <c r="H735" t="s">
        <v>9</v>
      </c>
    </row>
    <row r="736" spans="1:8" x14ac:dyDescent="0.25">
      <c r="A736">
        <v>64330596</v>
      </c>
      <c r="B736">
        <v>2904</v>
      </c>
      <c r="C736">
        <v>176</v>
      </c>
      <c r="D736" s="19">
        <v>46097</v>
      </c>
      <c r="E736" t="s">
        <v>55</v>
      </c>
      <c r="F736" t="s">
        <v>56</v>
      </c>
      <c r="G736" t="e">
        <f>VLOOKUP($A736,'CA-US List'!$A:$C,3,0)</f>
        <v>#N/A</v>
      </c>
      <c r="H736" t="s">
        <v>9</v>
      </c>
    </row>
    <row r="737" spans="1:8" x14ac:dyDescent="0.25">
      <c r="A737">
        <v>64330596</v>
      </c>
      <c r="B737">
        <v>2904</v>
      </c>
      <c r="C737">
        <v>11209</v>
      </c>
      <c r="D737" s="19">
        <v>46097</v>
      </c>
      <c r="E737" t="s">
        <v>55</v>
      </c>
      <c r="F737" t="s">
        <v>56</v>
      </c>
      <c r="G737" t="e">
        <f>VLOOKUP($A737,'CA-US List'!$A:$C,3,0)</f>
        <v>#N/A</v>
      </c>
      <c r="H737" t="s">
        <v>9</v>
      </c>
    </row>
    <row r="738" spans="1:8" x14ac:dyDescent="0.25">
      <c r="A738">
        <v>64330596</v>
      </c>
      <c r="B738">
        <v>2904</v>
      </c>
      <c r="C738">
        <v>12609</v>
      </c>
      <c r="D738" s="19">
        <v>46098</v>
      </c>
      <c r="E738" t="s">
        <v>55</v>
      </c>
      <c r="F738" t="s">
        <v>56</v>
      </c>
      <c r="G738" t="e">
        <f>VLOOKUP($A738,'CA-US List'!$A:$C,3,0)</f>
        <v>#N/A</v>
      </c>
      <c r="H738" t="s">
        <v>9</v>
      </c>
    </row>
    <row r="739" spans="1:8" x14ac:dyDescent="0.25">
      <c r="A739">
        <v>64330596</v>
      </c>
      <c r="B739">
        <v>2904</v>
      </c>
      <c r="C739">
        <v>-12609</v>
      </c>
      <c r="D739" s="19">
        <v>46100</v>
      </c>
      <c r="E739" t="s">
        <v>55</v>
      </c>
      <c r="F739" t="s">
        <v>56</v>
      </c>
      <c r="G739" t="e">
        <f>VLOOKUP($A739,'CA-US List'!$A:$C,3,0)</f>
        <v>#N/A</v>
      </c>
      <c r="H739" t="s">
        <v>9</v>
      </c>
    </row>
    <row r="740" spans="1:8" x14ac:dyDescent="0.25">
      <c r="A740">
        <v>64330596</v>
      </c>
      <c r="B740">
        <v>2904</v>
      </c>
      <c r="C740">
        <v>6336</v>
      </c>
      <c r="D740" s="19">
        <v>46097</v>
      </c>
      <c r="E740" t="s">
        <v>55</v>
      </c>
      <c r="F740" t="s">
        <v>56</v>
      </c>
      <c r="G740" t="e">
        <f>VLOOKUP($A740,'CA-US List'!$A:$C,3,0)</f>
        <v>#N/A</v>
      </c>
      <c r="H740" t="s">
        <v>9</v>
      </c>
    </row>
    <row r="741" spans="1:8" x14ac:dyDescent="0.25">
      <c r="A741">
        <v>64330596</v>
      </c>
      <c r="B741">
        <v>2904</v>
      </c>
      <c r="C741">
        <v>2694</v>
      </c>
      <c r="D741" s="19">
        <v>46098</v>
      </c>
      <c r="E741" t="s">
        <v>55</v>
      </c>
      <c r="F741" t="s">
        <v>56</v>
      </c>
      <c r="G741" t="e">
        <f>VLOOKUP($A741,'CA-US List'!$A:$C,3,0)</f>
        <v>#N/A</v>
      </c>
      <c r="H741" t="s">
        <v>9</v>
      </c>
    </row>
    <row r="742" spans="1:8" x14ac:dyDescent="0.25">
      <c r="A742">
        <v>64330596</v>
      </c>
      <c r="B742">
        <v>2904</v>
      </c>
      <c r="C742">
        <v>12609</v>
      </c>
      <c r="D742" s="19">
        <v>46097</v>
      </c>
      <c r="E742" t="s">
        <v>55</v>
      </c>
      <c r="F742" t="s">
        <v>56</v>
      </c>
      <c r="G742" t="e">
        <f>VLOOKUP($A742,'CA-US List'!$A:$C,3,0)</f>
        <v>#N/A</v>
      </c>
      <c r="H742" t="s">
        <v>9</v>
      </c>
    </row>
    <row r="743" spans="1:8" x14ac:dyDescent="0.25">
      <c r="A743">
        <v>64330596</v>
      </c>
      <c r="B743">
        <v>2904</v>
      </c>
      <c r="C743">
        <v>-12609</v>
      </c>
      <c r="D743" s="19">
        <v>46098</v>
      </c>
      <c r="E743" t="s">
        <v>55</v>
      </c>
      <c r="F743" t="s">
        <v>56</v>
      </c>
      <c r="G743" t="e">
        <f>VLOOKUP($A743,'CA-US List'!$A:$C,3,0)</f>
        <v>#N/A</v>
      </c>
      <c r="H743" t="s">
        <v>9</v>
      </c>
    </row>
    <row r="744" spans="1:8" x14ac:dyDescent="0.25">
      <c r="A744">
        <v>64330596</v>
      </c>
      <c r="B744">
        <v>2904</v>
      </c>
      <c r="C744">
        <v>12609</v>
      </c>
      <c r="D744" s="19">
        <v>46100</v>
      </c>
      <c r="E744" t="s">
        <v>55</v>
      </c>
      <c r="F744" t="s">
        <v>56</v>
      </c>
      <c r="G744" t="e">
        <f>VLOOKUP($A744,'CA-US List'!$A:$C,3,0)</f>
        <v>#N/A</v>
      </c>
      <c r="H744" t="s">
        <v>9</v>
      </c>
    </row>
    <row r="745" spans="1:8" x14ac:dyDescent="0.25">
      <c r="A745">
        <v>64330596</v>
      </c>
      <c r="B745">
        <v>2904</v>
      </c>
      <c r="C745">
        <v>1859</v>
      </c>
      <c r="D745" s="19">
        <v>46098</v>
      </c>
      <c r="E745" t="s">
        <v>55</v>
      </c>
      <c r="F745" t="s">
        <v>56</v>
      </c>
      <c r="G745" t="e">
        <f>VLOOKUP($A745,'CA-US List'!$A:$C,3,0)</f>
        <v>#N/A</v>
      </c>
      <c r="H745" t="s">
        <v>9</v>
      </c>
    </row>
    <row r="746" spans="1:8" x14ac:dyDescent="0.25">
      <c r="A746">
        <v>64330596</v>
      </c>
      <c r="B746">
        <v>2904</v>
      </c>
      <c r="C746">
        <v>0</v>
      </c>
      <c r="D746" s="19">
        <v>46099</v>
      </c>
      <c r="E746" t="s">
        <v>55</v>
      </c>
      <c r="F746" t="s">
        <v>56</v>
      </c>
      <c r="G746" t="e">
        <f>VLOOKUP($A746,'CA-US List'!$A:$C,3,0)</f>
        <v>#N/A</v>
      </c>
      <c r="H746" t="s">
        <v>9</v>
      </c>
    </row>
    <row r="747" spans="1:8" x14ac:dyDescent="0.25">
      <c r="A747">
        <v>64330611</v>
      </c>
      <c r="B747">
        <v>2904</v>
      </c>
      <c r="C747">
        <v>6451</v>
      </c>
      <c r="D747" s="19">
        <v>46076</v>
      </c>
      <c r="E747" t="s">
        <v>85</v>
      </c>
      <c r="F747" t="s">
        <v>56</v>
      </c>
      <c r="G747" t="e">
        <f>VLOOKUP($A747,'CA-US List'!$A:$C,3,0)</f>
        <v>#N/A</v>
      </c>
      <c r="H747" t="s">
        <v>9</v>
      </c>
    </row>
    <row r="748" spans="1:8" x14ac:dyDescent="0.25">
      <c r="A748">
        <v>64330611</v>
      </c>
      <c r="B748">
        <v>2904</v>
      </c>
      <c r="C748">
        <v>8190</v>
      </c>
      <c r="D748" s="19">
        <v>46076</v>
      </c>
      <c r="E748" t="s">
        <v>85</v>
      </c>
      <c r="F748" t="s">
        <v>56</v>
      </c>
      <c r="G748" t="e">
        <f>VLOOKUP($A748,'CA-US List'!$A:$C,3,0)</f>
        <v>#N/A</v>
      </c>
      <c r="H748" t="s">
        <v>9</v>
      </c>
    </row>
    <row r="749" spans="1:8" x14ac:dyDescent="0.25">
      <c r="A749">
        <v>64330611</v>
      </c>
      <c r="B749">
        <v>2904</v>
      </c>
      <c r="C749">
        <v>2159</v>
      </c>
      <c r="D749" s="19">
        <v>46077</v>
      </c>
      <c r="E749" t="s">
        <v>85</v>
      </c>
      <c r="F749" t="s">
        <v>56</v>
      </c>
      <c r="G749" t="e">
        <f>VLOOKUP($A749,'CA-US List'!$A:$C,3,0)</f>
        <v>#N/A</v>
      </c>
      <c r="H749" t="s">
        <v>9</v>
      </c>
    </row>
    <row r="750" spans="1:8" x14ac:dyDescent="0.25">
      <c r="A750">
        <v>64330611</v>
      </c>
      <c r="B750">
        <v>2904</v>
      </c>
      <c r="C750">
        <v>1974</v>
      </c>
      <c r="D750" s="19">
        <v>46077</v>
      </c>
      <c r="E750" t="s">
        <v>85</v>
      </c>
      <c r="F750" t="s">
        <v>56</v>
      </c>
      <c r="G750" t="e">
        <f>VLOOKUP($A750,'CA-US List'!$A:$C,3,0)</f>
        <v>#N/A</v>
      </c>
      <c r="H750" t="s">
        <v>9</v>
      </c>
    </row>
    <row r="751" spans="1:8" x14ac:dyDescent="0.25">
      <c r="A751">
        <v>64330611</v>
      </c>
      <c r="B751">
        <v>2904</v>
      </c>
      <c r="C751">
        <v>6509</v>
      </c>
      <c r="D751" s="19">
        <v>46078</v>
      </c>
      <c r="E751" t="s">
        <v>85</v>
      </c>
      <c r="F751" t="s">
        <v>56</v>
      </c>
      <c r="G751" t="e">
        <f>VLOOKUP($A751,'CA-US List'!$A:$C,3,0)</f>
        <v>#N/A</v>
      </c>
      <c r="H751" t="s">
        <v>9</v>
      </c>
    </row>
    <row r="752" spans="1:8" x14ac:dyDescent="0.25">
      <c r="A752">
        <v>64330611</v>
      </c>
      <c r="B752">
        <v>2904</v>
      </c>
      <c r="C752">
        <v>7140</v>
      </c>
      <c r="D752" s="19">
        <v>46078</v>
      </c>
      <c r="E752" t="s">
        <v>85</v>
      </c>
      <c r="F752" t="s">
        <v>56</v>
      </c>
      <c r="G752" t="e">
        <f>VLOOKUP($A752,'CA-US List'!$A:$C,3,0)</f>
        <v>#N/A</v>
      </c>
      <c r="H752" t="s">
        <v>9</v>
      </c>
    </row>
    <row r="753" spans="1:8" x14ac:dyDescent="0.25">
      <c r="A753">
        <v>64330611</v>
      </c>
      <c r="B753">
        <v>2904</v>
      </c>
      <c r="C753">
        <v>7749</v>
      </c>
      <c r="D753" s="19">
        <v>46079</v>
      </c>
      <c r="E753" t="s">
        <v>85</v>
      </c>
      <c r="F753" t="s">
        <v>56</v>
      </c>
      <c r="G753" t="e">
        <f>VLOOKUP($A753,'CA-US List'!$A:$C,3,0)</f>
        <v>#N/A</v>
      </c>
      <c r="H753" t="s">
        <v>9</v>
      </c>
    </row>
    <row r="754" spans="1:8" x14ac:dyDescent="0.25">
      <c r="A754">
        <v>64330611</v>
      </c>
      <c r="B754">
        <v>2904</v>
      </c>
      <c r="C754">
        <v>7770</v>
      </c>
      <c r="D754" s="19">
        <v>46079</v>
      </c>
      <c r="E754" t="s">
        <v>85</v>
      </c>
      <c r="F754" t="s">
        <v>56</v>
      </c>
      <c r="G754" t="e">
        <f>VLOOKUP($A754,'CA-US List'!$A:$C,3,0)</f>
        <v>#N/A</v>
      </c>
      <c r="H754" t="s">
        <v>9</v>
      </c>
    </row>
    <row r="755" spans="1:8" x14ac:dyDescent="0.25">
      <c r="A755">
        <v>64330611</v>
      </c>
      <c r="B755">
        <v>2904</v>
      </c>
      <c r="C755">
        <v>5819</v>
      </c>
      <c r="D755" s="19">
        <v>46080</v>
      </c>
      <c r="E755" t="s">
        <v>85</v>
      </c>
      <c r="F755" t="s">
        <v>56</v>
      </c>
      <c r="G755" t="e">
        <f>VLOOKUP($A755,'CA-US List'!$A:$C,3,0)</f>
        <v>#N/A</v>
      </c>
      <c r="H755" t="s">
        <v>9</v>
      </c>
    </row>
    <row r="756" spans="1:8" x14ac:dyDescent="0.25">
      <c r="A756">
        <v>64330611</v>
      </c>
      <c r="B756">
        <v>2904</v>
      </c>
      <c r="C756">
        <v>2938</v>
      </c>
      <c r="D756" s="19">
        <v>46080</v>
      </c>
      <c r="E756" t="s">
        <v>85</v>
      </c>
      <c r="F756" t="s">
        <v>56</v>
      </c>
      <c r="G756" t="e">
        <f>VLOOKUP($A756,'CA-US List'!$A:$C,3,0)</f>
        <v>#N/A</v>
      </c>
      <c r="H756" t="s">
        <v>9</v>
      </c>
    </row>
    <row r="757" spans="1:8" x14ac:dyDescent="0.25">
      <c r="A757">
        <v>64330611</v>
      </c>
      <c r="B757">
        <v>2904</v>
      </c>
      <c r="C757">
        <v>7512</v>
      </c>
      <c r="D757" s="19">
        <v>46081</v>
      </c>
      <c r="E757" t="s">
        <v>85</v>
      </c>
      <c r="F757" t="s">
        <v>56</v>
      </c>
      <c r="G757" t="e">
        <f>VLOOKUP($A757,'CA-US List'!$A:$C,3,0)</f>
        <v>#N/A</v>
      </c>
      <c r="H757" t="s">
        <v>9</v>
      </c>
    </row>
    <row r="758" spans="1:8" x14ac:dyDescent="0.25">
      <c r="A758">
        <v>64330611</v>
      </c>
      <c r="B758">
        <v>2904</v>
      </c>
      <c r="C758">
        <v>8607</v>
      </c>
      <c r="D758" s="19">
        <v>46081</v>
      </c>
      <c r="E758" t="s">
        <v>85</v>
      </c>
      <c r="F758" t="s">
        <v>56</v>
      </c>
      <c r="G758" t="e">
        <f>VLOOKUP($A758,'CA-US List'!$A:$C,3,0)</f>
        <v>#N/A</v>
      </c>
      <c r="H758" t="s">
        <v>9</v>
      </c>
    </row>
    <row r="759" spans="1:8" x14ac:dyDescent="0.25">
      <c r="A759">
        <v>64330611</v>
      </c>
      <c r="B759">
        <v>2904</v>
      </c>
      <c r="C759">
        <v>5670</v>
      </c>
      <c r="D759" s="19">
        <v>46082</v>
      </c>
      <c r="E759" t="s">
        <v>85</v>
      </c>
      <c r="F759" t="s">
        <v>56</v>
      </c>
      <c r="G759" t="e">
        <f>VLOOKUP($A759,'CA-US List'!$A:$C,3,0)</f>
        <v>#N/A</v>
      </c>
      <c r="H759" t="s">
        <v>9</v>
      </c>
    </row>
    <row r="760" spans="1:8" x14ac:dyDescent="0.25">
      <c r="A760">
        <v>64330611</v>
      </c>
      <c r="B760">
        <v>2904</v>
      </c>
      <c r="C760">
        <v>8400</v>
      </c>
      <c r="D760" s="19">
        <v>46082</v>
      </c>
      <c r="E760" t="s">
        <v>85</v>
      </c>
      <c r="F760" t="s">
        <v>56</v>
      </c>
      <c r="G760" t="e">
        <f>VLOOKUP($A760,'CA-US List'!$A:$C,3,0)</f>
        <v>#N/A</v>
      </c>
      <c r="H760" t="s">
        <v>9</v>
      </c>
    </row>
    <row r="761" spans="1:8" x14ac:dyDescent="0.25">
      <c r="A761">
        <v>64330611</v>
      </c>
      <c r="B761">
        <v>2904</v>
      </c>
      <c r="C761">
        <v>6154</v>
      </c>
      <c r="D761" s="19">
        <v>46083</v>
      </c>
      <c r="E761" t="s">
        <v>85</v>
      </c>
      <c r="F761" t="s">
        <v>56</v>
      </c>
      <c r="G761" t="e">
        <f>VLOOKUP($A761,'CA-US List'!$A:$C,3,0)</f>
        <v>#N/A</v>
      </c>
      <c r="H761" t="s">
        <v>9</v>
      </c>
    </row>
    <row r="762" spans="1:8" x14ac:dyDescent="0.25">
      <c r="A762">
        <v>64330611</v>
      </c>
      <c r="B762">
        <v>2904</v>
      </c>
      <c r="C762">
        <v>2230</v>
      </c>
      <c r="D762" s="19">
        <v>46083</v>
      </c>
      <c r="E762" t="s">
        <v>85</v>
      </c>
      <c r="F762" t="s">
        <v>56</v>
      </c>
      <c r="G762" t="e">
        <f>VLOOKUP($A762,'CA-US List'!$A:$C,3,0)</f>
        <v>#N/A</v>
      </c>
      <c r="H762" t="s">
        <v>9</v>
      </c>
    </row>
    <row r="763" spans="1:8" x14ac:dyDescent="0.25">
      <c r="A763">
        <v>64330612</v>
      </c>
      <c r="B763">
        <v>2904</v>
      </c>
      <c r="C763">
        <v>2061</v>
      </c>
      <c r="D763" s="19">
        <v>46101</v>
      </c>
      <c r="E763" t="s">
        <v>866</v>
      </c>
      <c r="F763" t="s">
        <v>56</v>
      </c>
      <c r="G763" t="e">
        <f>VLOOKUP($A763,'CA-US List'!$A:$C,3,0)</f>
        <v>#N/A</v>
      </c>
      <c r="H763" t="s">
        <v>9</v>
      </c>
    </row>
    <row r="764" spans="1:8" x14ac:dyDescent="0.25">
      <c r="A764">
        <v>64330612</v>
      </c>
      <c r="B764">
        <v>2904</v>
      </c>
      <c r="C764">
        <v>5434</v>
      </c>
      <c r="D764" s="19">
        <v>46101</v>
      </c>
      <c r="E764" t="s">
        <v>866</v>
      </c>
      <c r="F764" t="s">
        <v>56</v>
      </c>
      <c r="G764" t="e">
        <f>VLOOKUP($A764,'CA-US List'!$A:$C,3,0)</f>
        <v>#N/A</v>
      </c>
      <c r="H764" t="s">
        <v>9</v>
      </c>
    </row>
    <row r="765" spans="1:8" x14ac:dyDescent="0.25">
      <c r="A765">
        <v>64330612</v>
      </c>
      <c r="B765">
        <v>2904</v>
      </c>
      <c r="C765">
        <v>4105</v>
      </c>
      <c r="D765" s="19">
        <v>46102</v>
      </c>
      <c r="E765" t="s">
        <v>866</v>
      </c>
      <c r="F765" t="s">
        <v>56</v>
      </c>
      <c r="G765" t="e">
        <f>VLOOKUP($A765,'CA-US List'!$A:$C,3,0)</f>
        <v>#N/A</v>
      </c>
      <c r="H765" t="s">
        <v>9</v>
      </c>
    </row>
    <row r="766" spans="1:8" x14ac:dyDescent="0.25">
      <c r="A766">
        <v>64330612</v>
      </c>
      <c r="B766">
        <v>2904</v>
      </c>
      <c r="C766">
        <v>4955</v>
      </c>
      <c r="D766" s="19">
        <v>46102</v>
      </c>
      <c r="E766" t="s">
        <v>866</v>
      </c>
      <c r="F766" t="s">
        <v>56</v>
      </c>
      <c r="G766" t="e">
        <f>VLOOKUP($A766,'CA-US List'!$A:$C,3,0)</f>
        <v>#N/A</v>
      </c>
      <c r="H766" t="s">
        <v>9</v>
      </c>
    </row>
    <row r="767" spans="1:8" x14ac:dyDescent="0.25">
      <c r="A767">
        <v>64330612</v>
      </c>
      <c r="B767">
        <v>2904</v>
      </c>
      <c r="C767">
        <v>3922</v>
      </c>
      <c r="D767" s="19">
        <v>46103</v>
      </c>
      <c r="E767" t="s">
        <v>866</v>
      </c>
      <c r="F767" t="s">
        <v>56</v>
      </c>
      <c r="G767" t="e">
        <f>VLOOKUP($A767,'CA-US List'!$A:$C,3,0)</f>
        <v>#N/A</v>
      </c>
      <c r="H767" t="s">
        <v>9</v>
      </c>
    </row>
    <row r="768" spans="1:8" x14ac:dyDescent="0.25">
      <c r="A768">
        <v>64330612</v>
      </c>
      <c r="B768">
        <v>2904</v>
      </c>
      <c r="C768">
        <v>0</v>
      </c>
      <c r="D768" s="19">
        <v>46104</v>
      </c>
      <c r="E768" t="s">
        <v>866</v>
      </c>
      <c r="F768" t="s">
        <v>56</v>
      </c>
      <c r="G768" t="e">
        <f>VLOOKUP($A768,'CA-US List'!$A:$C,3,0)</f>
        <v>#N/A</v>
      </c>
      <c r="H768" t="s">
        <v>9</v>
      </c>
    </row>
    <row r="769" spans="1:8" x14ac:dyDescent="0.25">
      <c r="A769">
        <v>64331550</v>
      </c>
      <c r="B769">
        <v>2904</v>
      </c>
      <c r="C769">
        <v>9083</v>
      </c>
      <c r="D769" s="19">
        <v>46082</v>
      </c>
      <c r="E769" t="s">
        <v>520</v>
      </c>
      <c r="F769" t="s">
        <v>61</v>
      </c>
      <c r="G769" t="e">
        <f>VLOOKUP($A769,'CA-US List'!$A:$C,3,0)</f>
        <v>#N/A</v>
      </c>
      <c r="H769" t="s">
        <v>9</v>
      </c>
    </row>
    <row r="770" spans="1:8" x14ac:dyDescent="0.25">
      <c r="A770">
        <v>64331550</v>
      </c>
      <c r="B770">
        <v>2904</v>
      </c>
      <c r="C770">
        <v>7693</v>
      </c>
      <c r="D770" s="19">
        <v>46083</v>
      </c>
      <c r="E770" t="s">
        <v>520</v>
      </c>
      <c r="F770" t="s">
        <v>61</v>
      </c>
      <c r="G770" t="e">
        <f>VLOOKUP($A770,'CA-US List'!$A:$C,3,0)</f>
        <v>#N/A</v>
      </c>
      <c r="H770" t="s">
        <v>9</v>
      </c>
    </row>
    <row r="771" spans="1:8" x14ac:dyDescent="0.25">
      <c r="A771">
        <v>64331550</v>
      </c>
      <c r="B771">
        <v>2904</v>
      </c>
      <c r="C771">
        <v>11033</v>
      </c>
      <c r="D771" s="19">
        <v>46084</v>
      </c>
      <c r="E771" t="s">
        <v>520</v>
      </c>
      <c r="F771" t="s">
        <v>61</v>
      </c>
      <c r="G771" t="e">
        <f>VLOOKUP($A771,'CA-US List'!$A:$C,3,0)</f>
        <v>#N/A</v>
      </c>
      <c r="H771" t="s">
        <v>9</v>
      </c>
    </row>
    <row r="772" spans="1:8" x14ac:dyDescent="0.25">
      <c r="A772">
        <v>64331550</v>
      </c>
      <c r="B772">
        <v>2904</v>
      </c>
      <c r="C772">
        <v>9631</v>
      </c>
      <c r="D772" s="19">
        <v>46085</v>
      </c>
      <c r="E772" t="s">
        <v>520</v>
      </c>
      <c r="F772" t="s">
        <v>61</v>
      </c>
      <c r="G772" t="e">
        <f>VLOOKUP($A772,'CA-US List'!$A:$C,3,0)</f>
        <v>#N/A</v>
      </c>
      <c r="H772" t="s">
        <v>9</v>
      </c>
    </row>
    <row r="773" spans="1:8" x14ac:dyDescent="0.25">
      <c r="A773">
        <v>64331550</v>
      </c>
      <c r="B773">
        <v>2904</v>
      </c>
      <c r="C773">
        <v>15277</v>
      </c>
      <c r="D773" s="19">
        <v>46085</v>
      </c>
      <c r="E773" t="s">
        <v>520</v>
      </c>
      <c r="F773" t="s">
        <v>61</v>
      </c>
      <c r="G773" t="e">
        <f>VLOOKUP($A773,'CA-US List'!$A:$C,3,0)</f>
        <v>#N/A</v>
      </c>
      <c r="H773" t="s">
        <v>9</v>
      </c>
    </row>
    <row r="774" spans="1:8" x14ac:dyDescent="0.25">
      <c r="A774">
        <v>64331550</v>
      </c>
      <c r="B774">
        <v>2904</v>
      </c>
      <c r="C774">
        <v>10176</v>
      </c>
      <c r="D774" s="19">
        <v>46086</v>
      </c>
      <c r="E774" t="s">
        <v>520</v>
      </c>
      <c r="F774" t="s">
        <v>61</v>
      </c>
      <c r="G774" t="e">
        <f>VLOOKUP($A774,'CA-US List'!$A:$C,3,0)</f>
        <v>#N/A</v>
      </c>
      <c r="H774" t="s">
        <v>9</v>
      </c>
    </row>
    <row r="775" spans="1:8" x14ac:dyDescent="0.25">
      <c r="A775">
        <v>64331550</v>
      </c>
      <c r="B775">
        <v>2904</v>
      </c>
      <c r="C775">
        <v>3336</v>
      </c>
      <c r="D775" s="19">
        <v>46086</v>
      </c>
      <c r="E775" t="s">
        <v>520</v>
      </c>
      <c r="F775" t="s">
        <v>61</v>
      </c>
      <c r="G775" t="e">
        <f>VLOOKUP($A775,'CA-US List'!$A:$C,3,0)</f>
        <v>#N/A</v>
      </c>
      <c r="H775" t="s">
        <v>9</v>
      </c>
    </row>
    <row r="776" spans="1:8" x14ac:dyDescent="0.25">
      <c r="A776">
        <v>64331550</v>
      </c>
      <c r="B776">
        <v>2904</v>
      </c>
      <c r="C776">
        <v>10317</v>
      </c>
      <c r="D776" s="19">
        <v>46087</v>
      </c>
      <c r="E776" t="s">
        <v>520</v>
      </c>
      <c r="F776" t="s">
        <v>61</v>
      </c>
      <c r="G776" t="e">
        <f>VLOOKUP($A776,'CA-US List'!$A:$C,3,0)</f>
        <v>#N/A</v>
      </c>
      <c r="H776" t="s">
        <v>9</v>
      </c>
    </row>
    <row r="777" spans="1:8" x14ac:dyDescent="0.25">
      <c r="A777">
        <v>64331550</v>
      </c>
      <c r="B777">
        <v>2904</v>
      </c>
      <c r="C777">
        <v>12685</v>
      </c>
      <c r="D777" s="19">
        <v>46087</v>
      </c>
      <c r="E777" t="s">
        <v>520</v>
      </c>
      <c r="F777" t="s">
        <v>61</v>
      </c>
      <c r="G777" t="e">
        <f>VLOOKUP($A777,'CA-US List'!$A:$C,3,0)</f>
        <v>#N/A</v>
      </c>
      <c r="H777" t="s">
        <v>9</v>
      </c>
    </row>
    <row r="778" spans="1:8" x14ac:dyDescent="0.25">
      <c r="A778">
        <v>64331550</v>
      </c>
      <c r="B778">
        <v>2904</v>
      </c>
      <c r="C778">
        <v>14670</v>
      </c>
      <c r="D778" s="19">
        <v>46088</v>
      </c>
      <c r="E778" t="s">
        <v>520</v>
      </c>
      <c r="F778" t="s">
        <v>61</v>
      </c>
      <c r="G778" t="e">
        <f>VLOOKUP($A778,'CA-US List'!$A:$C,3,0)</f>
        <v>#N/A</v>
      </c>
      <c r="H778" t="s">
        <v>9</v>
      </c>
    </row>
    <row r="779" spans="1:8" x14ac:dyDescent="0.25">
      <c r="A779">
        <v>64331550</v>
      </c>
      <c r="B779">
        <v>2904</v>
      </c>
      <c r="C779">
        <v>15981</v>
      </c>
      <c r="D779" s="19">
        <v>46088</v>
      </c>
      <c r="E779" t="s">
        <v>520</v>
      </c>
      <c r="F779" t="s">
        <v>61</v>
      </c>
      <c r="G779" t="e">
        <f>VLOOKUP($A779,'CA-US List'!$A:$C,3,0)</f>
        <v>#N/A</v>
      </c>
      <c r="H779" t="s">
        <v>9</v>
      </c>
    </row>
    <row r="780" spans="1:8" x14ac:dyDescent="0.25">
      <c r="A780">
        <v>64331550</v>
      </c>
      <c r="B780">
        <v>2904</v>
      </c>
      <c r="C780">
        <v>9926</v>
      </c>
      <c r="D780" s="19">
        <v>46089</v>
      </c>
      <c r="E780" t="s">
        <v>520</v>
      </c>
      <c r="F780" t="s">
        <v>61</v>
      </c>
      <c r="G780" t="e">
        <f>VLOOKUP($A780,'CA-US List'!$A:$C,3,0)</f>
        <v>#N/A</v>
      </c>
      <c r="H780" t="s">
        <v>9</v>
      </c>
    </row>
    <row r="781" spans="1:8" x14ac:dyDescent="0.25">
      <c r="A781">
        <v>64331550</v>
      </c>
      <c r="B781">
        <v>2904</v>
      </c>
      <c r="C781">
        <v>17206</v>
      </c>
      <c r="D781" s="19">
        <v>46089</v>
      </c>
      <c r="E781" t="s">
        <v>520</v>
      </c>
      <c r="F781" t="s">
        <v>61</v>
      </c>
      <c r="G781" t="e">
        <f>VLOOKUP($A781,'CA-US List'!$A:$C,3,0)</f>
        <v>#N/A</v>
      </c>
      <c r="H781" t="s">
        <v>9</v>
      </c>
    </row>
    <row r="782" spans="1:8" x14ac:dyDescent="0.25">
      <c r="A782">
        <v>64331550</v>
      </c>
      <c r="B782">
        <v>2904</v>
      </c>
      <c r="C782">
        <v>1608</v>
      </c>
      <c r="D782" s="19">
        <v>46090</v>
      </c>
      <c r="E782" t="s">
        <v>520</v>
      </c>
      <c r="F782" t="s">
        <v>61</v>
      </c>
      <c r="G782" t="e">
        <f>VLOOKUP($A782,'CA-US List'!$A:$C,3,0)</f>
        <v>#N/A</v>
      </c>
      <c r="H782" t="s">
        <v>9</v>
      </c>
    </row>
    <row r="783" spans="1:8" x14ac:dyDescent="0.25">
      <c r="A783">
        <v>64331550</v>
      </c>
      <c r="B783">
        <v>2904</v>
      </c>
      <c r="C783">
        <v>7658</v>
      </c>
      <c r="D783" s="19">
        <v>46091</v>
      </c>
      <c r="E783" t="s">
        <v>520</v>
      </c>
      <c r="F783" t="s">
        <v>61</v>
      </c>
      <c r="G783" t="e">
        <f>VLOOKUP($A783,'CA-US List'!$A:$C,3,0)</f>
        <v>#N/A</v>
      </c>
      <c r="H783" t="s">
        <v>9</v>
      </c>
    </row>
    <row r="784" spans="1:8" x14ac:dyDescent="0.25">
      <c r="A784">
        <v>64331550</v>
      </c>
      <c r="B784">
        <v>2904</v>
      </c>
      <c r="C784">
        <v>11679</v>
      </c>
      <c r="D784" s="19">
        <v>46092</v>
      </c>
      <c r="E784" t="s">
        <v>520</v>
      </c>
      <c r="F784" t="s">
        <v>61</v>
      </c>
      <c r="G784" t="e">
        <f>VLOOKUP($A784,'CA-US List'!$A:$C,3,0)</f>
        <v>#N/A</v>
      </c>
      <c r="H784" t="s">
        <v>9</v>
      </c>
    </row>
    <row r="785" spans="1:8" x14ac:dyDescent="0.25">
      <c r="A785">
        <v>64331550</v>
      </c>
      <c r="B785">
        <v>2904</v>
      </c>
      <c r="C785">
        <v>11014</v>
      </c>
      <c r="D785" s="19">
        <v>46092</v>
      </c>
      <c r="E785" t="s">
        <v>520</v>
      </c>
      <c r="F785" t="s">
        <v>61</v>
      </c>
      <c r="G785" t="e">
        <f>VLOOKUP($A785,'CA-US List'!$A:$C,3,0)</f>
        <v>#N/A</v>
      </c>
      <c r="H785" t="s">
        <v>9</v>
      </c>
    </row>
    <row r="786" spans="1:8" x14ac:dyDescent="0.25">
      <c r="A786">
        <v>64331550</v>
      </c>
      <c r="B786">
        <v>2904</v>
      </c>
      <c r="C786">
        <v>10350</v>
      </c>
      <c r="D786" s="19">
        <v>46093</v>
      </c>
      <c r="E786" t="s">
        <v>520</v>
      </c>
      <c r="F786" t="s">
        <v>61</v>
      </c>
      <c r="G786" t="e">
        <f>VLOOKUP($A786,'CA-US List'!$A:$C,3,0)</f>
        <v>#N/A</v>
      </c>
      <c r="H786" t="s">
        <v>9</v>
      </c>
    </row>
    <row r="787" spans="1:8" x14ac:dyDescent="0.25">
      <c r="A787">
        <v>64331550</v>
      </c>
      <c r="B787">
        <v>2904</v>
      </c>
      <c r="C787">
        <v>14971</v>
      </c>
      <c r="D787" s="19">
        <v>46093</v>
      </c>
      <c r="E787" t="s">
        <v>520</v>
      </c>
      <c r="F787" t="s">
        <v>61</v>
      </c>
      <c r="G787" t="e">
        <f>VLOOKUP($A787,'CA-US List'!$A:$C,3,0)</f>
        <v>#N/A</v>
      </c>
      <c r="H787" t="s">
        <v>9</v>
      </c>
    </row>
    <row r="788" spans="1:8" x14ac:dyDescent="0.25">
      <c r="A788">
        <v>64331550</v>
      </c>
      <c r="B788">
        <v>2904</v>
      </c>
      <c r="C788">
        <v>2730</v>
      </c>
      <c r="D788" s="19">
        <v>46094</v>
      </c>
      <c r="E788" t="s">
        <v>520</v>
      </c>
      <c r="F788" t="s">
        <v>61</v>
      </c>
      <c r="G788" t="e">
        <f>VLOOKUP($A788,'CA-US List'!$A:$C,3,0)</f>
        <v>#N/A</v>
      </c>
      <c r="H788" t="s">
        <v>9</v>
      </c>
    </row>
    <row r="789" spans="1:8" x14ac:dyDescent="0.25">
      <c r="A789">
        <v>64331550</v>
      </c>
      <c r="B789">
        <v>2904</v>
      </c>
      <c r="C789">
        <v>11178</v>
      </c>
      <c r="D789" s="19">
        <v>46083</v>
      </c>
      <c r="E789" t="s">
        <v>520</v>
      </c>
      <c r="F789" t="s">
        <v>61</v>
      </c>
      <c r="G789" t="e">
        <f>VLOOKUP($A789,'CA-US List'!$A:$C,3,0)</f>
        <v>#N/A</v>
      </c>
      <c r="H789" t="s">
        <v>9</v>
      </c>
    </row>
    <row r="790" spans="1:8" x14ac:dyDescent="0.25">
      <c r="A790">
        <v>64331550</v>
      </c>
      <c r="B790">
        <v>2904</v>
      </c>
      <c r="C790">
        <v>10584</v>
      </c>
      <c r="D790" s="19">
        <v>46084</v>
      </c>
      <c r="E790" t="s">
        <v>520</v>
      </c>
      <c r="F790" t="s">
        <v>61</v>
      </c>
      <c r="G790" t="e">
        <f>VLOOKUP($A790,'CA-US List'!$A:$C,3,0)</f>
        <v>#N/A</v>
      </c>
      <c r="H790" t="s">
        <v>9</v>
      </c>
    </row>
    <row r="791" spans="1:8" x14ac:dyDescent="0.25">
      <c r="A791">
        <v>64331550</v>
      </c>
      <c r="B791">
        <v>2904</v>
      </c>
      <c r="C791">
        <v>214</v>
      </c>
      <c r="D791" s="19">
        <v>46082</v>
      </c>
      <c r="E791" t="s">
        <v>520</v>
      </c>
      <c r="F791" t="s">
        <v>61</v>
      </c>
      <c r="G791" t="e">
        <f>VLOOKUP($A791,'CA-US List'!$A:$C,3,0)</f>
        <v>#N/A</v>
      </c>
      <c r="H791" t="s">
        <v>9</v>
      </c>
    </row>
    <row r="792" spans="1:8" x14ac:dyDescent="0.25">
      <c r="A792">
        <v>64331550</v>
      </c>
      <c r="B792">
        <v>2904</v>
      </c>
      <c r="C792">
        <v>6099</v>
      </c>
      <c r="D792" s="19">
        <v>46094</v>
      </c>
      <c r="E792" t="s">
        <v>520</v>
      </c>
      <c r="F792" t="s">
        <v>61</v>
      </c>
      <c r="G792" t="e">
        <f>VLOOKUP($A792,'CA-US List'!$A:$C,3,0)</f>
        <v>#N/A</v>
      </c>
      <c r="H792" t="s">
        <v>9</v>
      </c>
    </row>
    <row r="793" spans="1:8" x14ac:dyDescent="0.25">
      <c r="A793">
        <v>64341106</v>
      </c>
      <c r="B793">
        <v>2904</v>
      </c>
      <c r="C793">
        <v>957</v>
      </c>
      <c r="D793" s="19">
        <v>46076</v>
      </c>
      <c r="E793" t="s">
        <v>42</v>
      </c>
      <c r="F793" t="s">
        <v>43</v>
      </c>
      <c r="G793" t="e">
        <f>VLOOKUP($A793,'CA-US List'!$A:$C,3,0)</f>
        <v>#N/A</v>
      </c>
      <c r="H793" t="s">
        <v>9</v>
      </c>
    </row>
    <row r="794" spans="1:8" x14ac:dyDescent="0.25">
      <c r="A794">
        <v>64341106</v>
      </c>
      <c r="B794">
        <v>2904</v>
      </c>
      <c r="C794">
        <v>1643</v>
      </c>
      <c r="D794" s="19">
        <v>46076</v>
      </c>
      <c r="E794" t="s">
        <v>42</v>
      </c>
      <c r="F794" t="s">
        <v>43</v>
      </c>
      <c r="G794" t="e">
        <f>VLOOKUP($A794,'CA-US List'!$A:$C,3,0)</f>
        <v>#N/A</v>
      </c>
      <c r="H794" t="s">
        <v>9</v>
      </c>
    </row>
    <row r="795" spans="1:8" x14ac:dyDescent="0.25">
      <c r="A795">
        <v>64341106</v>
      </c>
      <c r="B795">
        <v>2904</v>
      </c>
      <c r="C795">
        <v>2819</v>
      </c>
      <c r="D795" s="19">
        <v>46077</v>
      </c>
      <c r="E795" t="s">
        <v>42</v>
      </c>
      <c r="F795" t="s">
        <v>43</v>
      </c>
      <c r="G795" t="e">
        <f>VLOOKUP($A795,'CA-US List'!$A:$C,3,0)</f>
        <v>#N/A</v>
      </c>
      <c r="H795" t="s">
        <v>9</v>
      </c>
    </row>
    <row r="796" spans="1:8" x14ac:dyDescent="0.25">
      <c r="A796">
        <v>64341106</v>
      </c>
      <c r="B796">
        <v>2904</v>
      </c>
      <c r="C796">
        <v>438</v>
      </c>
      <c r="D796" s="19">
        <v>46077</v>
      </c>
      <c r="E796" t="s">
        <v>42</v>
      </c>
      <c r="F796" t="s">
        <v>43</v>
      </c>
      <c r="G796" t="e">
        <f>VLOOKUP($A796,'CA-US List'!$A:$C,3,0)</f>
        <v>#N/A</v>
      </c>
      <c r="H796" t="s">
        <v>9</v>
      </c>
    </row>
    <row r="797" spans="1:8" x14ac:dyDescent="0.25">
      <c r="A797">
        <v>64341106</v>
      </c>
      <c r="B797">
        <v>2904</v>
      </c>
      <c r="C797">
        <v>1040</v>
      </c>
      <c r="D797" s="19">
        <v>46078</v>
      </c>
      <c r="E797" t="s">
        <v>42</v>
      </c>
      <c r="F797" t="s">
        <v>43</v>
      </c>
      <c r="G797" t="e">
        <f>VLOOKUP($A797,'CA-US List'!$A:$C,3,0)</f>
        <v>#N/A</v>
      </c>
      <c r="H797" t="s">
        <v>9</v>
      </c>
    </row>
    <row r="798" spans="1:8" x14ac:dyDescent="0.25">
      <c r="A798">
        <v>64341106</v>
      </c>
      <c r="B798">
        <v>2904</v>
      </c>
      <c r="C798">
        <v>1215</v>
      </c>
      <c r="D798" s="19">
        <v>46078</v>
      </c>
      <c r="E798" t="s">
        <v>42</v>
      </c>
      <c r="F798" t="s">
        <v>43</v>
      </c>
      <c r="G798" t="e">
        <f>VLOOKUP($A798,'CA-US List'!$A:$C,3,0)</f>
        <v>#N/A</v>
      </c>
      <c r="H798" t="s">
        <v>9</v>
      </c>
    </row>
    <row r="799" spans="1:8" x14ac:dyDescent="0.25">
      <c r="A799">
        <v>64341106</v>
      </c>
      <c r="B799">
        <v>2904</v>
      </c>
      <c r="C799">
        <v>1383</v>
      </c>
      <c r="D799" s="19">
        <v>46090</v>
      </c>
      <c r="E799" t="s">
        <v>42</v>
      </c>
      <c r="F799" t="s">
        <v>43</v>
      </c>
      <c r="G799" t="e">
        <f>VLOOKUP($A799,'CA-US List'!$A:$C,3,0)</f>
        <v>#N/A</v>
      </c>
      <c r="H799" t="s">
        <v>9</v>
      </c>
    </row>
    <row r="800" spans="1:8" x14ac:dyDescent="0.25">
      <c r="A800">
        <v>64341106</v>
      </c>
      <c r="B800">
        <v>2904</v>
      </c>
      <c r="C800">
        <v>1527</v>
      </c>
      <c r="D800" s="19">
        <v>46091</v>
      </c>
      <c r="E800" t="s">
        <v>42</v>
      </c>
      <c r="F800" t="s">
        <v>43</v>
      </c>
      <c r="G800" t="e">
        <f>VLOOKUP($A800,'CA-US List'!$A:$C,3,0)</f>
        <v>#N/A</v>
      </c>
      <c r="H800" t="s">
        <v>9</v>
      </c>
    </row>
    <row r="801" spans="1:8" x14ac:dyDescent="0.25">
      <c r="A801">
        <v>64341106</v>
      </c>
      <c r="B801">
        <v>2904</v>
      </c>
      <c r="C801">
        <v>1922</v>
      </c>
      <c r="D801" s="19">
        <v>46091</v>
      </c>
      <c r="E801" t="s">
        <v>42</v>
      </c>
      <c r="F801" t="s">
        <v>43</v>
      </c>
      <c r="G801" t="e">
        <f>VLOOKUP($A801,'CA-US List'!$A:$C,3,0)</f>
        <v>#N/A</v>
      </c>
      <c r="H801" t="s">
        <v>9</v>
      </c>
    </row>
    <row r="802" spans="1:8" x14ac:dyDescent="0.25">
      <c r="A802">
        <v>64341106</v>
      </c>
      <c r="B802">
        <v>2904</v>
      </c>
      <c r="C802">
        <v>1300</v>
      </c>
      <c r="D802" s="19">
        <v>46092</v>
      </c>
      <c r="E802" t="s">
        <v>42</v>
      </c>
      <c r="F802" t="s">
        <v>43</v>
      </c>
      <c r="G802" t="e">
        <f>VLOOKUP($A802,'CA-US List'!$A:$C,3,0)</f>
        <v>#N/A</v>
      </c>
      <c r="H802" t="s">
        <v>9</v>
      </c>
    </row>
    <row r="803" spans="1:8" x14ac:dyDescent="0.25">
      <c r="A803">
        <v>64341106</v>
      </c>
      <c r="B803">
        <v>2904</v>
      </c>
      <c r="C803">
        <v>1634</v>
      </c>
      <c r="D803" s="19">
        <v>46092</v>
      </c>
      <c r="E803" t="s">
        <v>42</v>
      </c>
      <c r="F803" t="s">
        <v>43</v>
      </c>
      <c r="G803" t="e">
        <f>VLOOKUP($A803,'CA-US List'!$A:$C,3,0)</f>
        <v>#N/A</v>
      </c>
      <c r="H803" t="s">
        <v>9</v>
      </c>
    </row>
    <row r="804" spans="1:8" x14ac:dyDescent="0.25">
      <c r="A804">
        <v>64341106</v>
      </c>
      <c r="B804">
        <v>2904</v>
      </c>
      <c r="C804">
        <v>1950</v>
      </c>
      <c r="D804" s="19">
        <v>46093</v>
      </c>
      <c r="E804" t="s">
        <v>42</v>
      </c>
      <c r="F804" t="s">
        <v>43</v>
      </c>
      <c r="G804" t="e">
        <f>VLOOKUP($A804,'CA-US List'!$A:$C,3,0)</f>
        <v>#N/A</v>
      </c>
      <c r="H804" t="s">
        <v>9</v>
      </c>
    </row>
    <row r="805" spans="1:8" x14ac:dyDescent="0.25">
      <c r="A805">
        <v>64341106</v>
      </c>
      <c r="B805">
        <v>2904</v>
      </c>
      <c r="C805">
        <v>1869</v>
      </c>
      <c r="D805" s="19">
        <v>46093</v>
      </c>
      <c r="E805" t="s">
        <v>42</v>
      </c>
      <c r="F805" t="s">
        <v>43</v>
      </c>
      <c r="G805" t="e">
        <f>VLOOKUP($A805,'CA-US List'!$A:$C,3,0)</f>
        <v>#N/A</v>
      </c>
      <c r="H805" t="s">
        <v>9</v>
      </c>
    </row>
    <row r="806" spans="1:8" x14ac:dyDescent="0.25">
      <c r="A806">
        <v>64341106</v>
      </c>
      <c r="B806">
        <v>2904</v>
      </c>
      <c r="C806">
        <v>2056</v>
      </c>
      <c r="D806" s="19">
        <v>46094</v>
      </c>
      <c r="E806" t="s">
        <v>42</v>
      </c>
      <c r="F806" t="s">
        <v>43</v>
      </c>
      <c r="G806" t="e">
        <f>VLOOKUP($A806,'CA-US List'!$A:$C,3,0)</f>
        <v>#N/A</v>
      </c>
      <c r="H806" t="s">
        <v>9</v>
      </c>
    </row>
    <row r="807" spans="1:8" x14ac:dyDescent="0.25">
      <c r="A807">
        <v>64341106</v>
      </c>
      <c r="B807">
        <v>2904</v>
      </c>
      <c r="C807">
        <v>1582</v>
      </c>
      <c r="D807" s="19">
        <v>46094</v>
      </c>
      <c r="E807" t="s">
        <v>42</v>
      </c>
      <c r="F807" t="s">
        <v>43</v>
      </c>
      <c r="G807" t="e">
        <f>VLOOKUP($A807,'CA-US List'!$A:$C,3,0)</f>
        <v>#N/A</v>
      </c>
      <c r="H807" t="s">
        <v>9</v>
      </c>
    </row>
    <row r="808" spans="1:8" x14ac:dyDescent="0.25">
      <c r="A808">
        <v>64341106</v>
      </c>
      <c r="B808">
        <v>2904</v>
      </c>
      <c r="C808">
        <v>1418</v>
      </c>
      <c r="D808" s="19">
        <v>46095</v>
      </c>
      <c r="E808" t="s">
        <v>42</v>
      </c>
      <c r="F808" t="s">
        <v>43</v>
      </c>
      <c r="G808" t="e">
        <f>VLOOKUP($A808,'CA-US List'!$A:$C,3,0)</f>
        <v>#N/A</v>
      </c>
      <c r="H808" t="s">
        <v>9</v>
      </c>
    </row>
    <row r="809" spans="1:8" x14ac:dyDescent="0.25">
      <c r="A809">
        <v>64341106</v>
      </c>
      <c r="B809">
        <v>2904</v>
      </c>
      <c r="C809">
        <v>3221</v>
      </c>
      <c r="D809" s="19">
        <v>46097</v>
      </c>
      <c r="E809" t="s">
        <v>42</v>
      </c>
      <c r="F809" t="s">
        <v>43</v>
      </c>
      <c r="G809" t="e">
        <f>VLOOKUP($A809,'CA-US List'!$A:$C,3,0)</f>
        <v>#N/A</v>
      </c>
      <c r="H809" t="s">
        <v>9</v>
      </c>
    </row>
    <row r="810" spans="1:8" x14ac:dyDescent="0.25">
      <c r="A810">
        <v>64341106</v>
      </c>
      <c r="B810">
        <v>2904</v>
      </c>
      <c r="C810">
        <v>2210</v>
      </c>
      <c r="D810" s="19">
        <v>46097</v>
      </c>
      <c r="E810" t="s">
        <v>42</v>
      </c>
      <c r="F810" t="s">
        <v>43</v>
      </c>
      <c r="G810" t="e">
        <f>VLOOKUP($A810,'CA-US List'!$A:$C,3,0)</f>
        <v>#N/A</v>
      </c>
      <c r="H810" t="s">
        <v>9</v>
      </c>
    </row>
    <row r="811" spans="1:8" x14ac:dyDescent="0.25">
      <c r="A811">
        <v>64341106</v>
      </c>
      <c r="B811">
        <v>2904</v>
      </c>
      <c r="C811">
        <v>520</v>
      </c>
      <c r="D811" s="19">
        <v>46098</v>
      </c>
      <c r="E811" t="s">
        <v>42</v>
      </c>
      <c r="F811" t="s">
        <v>43</v>
      </c>
      <c r="G811" t="e">
        <f>VLOOKUP($A811,'CA-US List'!$A:$C,3,0)</f>
        <v>#N/A</v>
      </c>
      <c r="H811" t="s">
        <v>9</v>
      </c>
    </row>
    <row r="812" spans="1:8" x14ac:dyDescent="0.25">
      <c r="A812">
        <v>64341106</v>
      </c>
      <c r="B812">
        <v>2904</v>
      </c>
      <c r="C812">
        <v>309</v>
      </c>
      <c r="D812" s="19">
        <v>46099</v>
      </c>
      <c r="E812" t="s">
        <v>42</v>
      </c>
      <c r="F812" t="s">
        <v>43</v>
      </c>
      <c r="G812" t="e">
        <f>VLOOKUP($A812,'CA-US List'!$A:$C,3,0)</f>
        <v>#N/A</v>
      </c>
      <c r="H812" t="s">
        <v>9</v>
      </c>
    </row>
    <row r="813" spans="1:8" x14ac:dyDescent="0.25">
      <c r="A813">
        <v>64341106</v>
      </c>
      <c r="B813">
        <v>2904</v>
      </c>
      <c r="C813">
        <v>1170</v>
      </c>
      <c r="D813" s="19">
        <v>46084</v>
      </c>
      <c r="E813" t="s">
        <v>42</v>
      </c>
      <c r="F813" t="s">
        <v>43</v>
      </c>
      <c r="G813" t="e">
        <f>VLOOKUP($A813,'CA-US List'!$A:$C,3,0)</f>
        <v>#N/A</v>
      </c>
      <c r="H813" t="s">
        <v>9</v>
      </c>
    </row>
    <row r="814" spans="1:8" x14ac:dyDescent="0.25">
      <c r="A814">
        <v>64341106</v>
      </c>
      <c r="B814">
        <v>2904</v>
      </c>
      <c r="C814">
        <v>1146</v>
      </c>
      <c r="D814" s="19">
        <v>46084</v>
      </c>
      <c r="E814" t="s">
        <v>42</v>
      </c>
      <c r="F814" t="s">
        <v>43</v>
      </c>
      <c r="G814" t="e">
        <f>VLOOKUP($A814,'CA-US List'!$A:$C,3,0)</f>
        <v>#N/A</v>
      </c>
      <c r="H814" t="s">
        <v>9</v>
      </c>
    </row>
    <row r="815" spans="1:8" x14ac:dyDescent="0.25">
      <c r="A815">
        <v>64341106</v>
      </c>
      <c r="B815">
        <v>2904</v>
      </c>
      <c r="C815">
        <v>1194</v>
      </c>
      <c r="D815" s="19">
        <v>46085</v>
      </c>
      <c r="E815" t="s">
        <v>42</v>
      </c>
      <c r="F815" t="s">
        <v>43</v>
      </c>
      <c r="G815" t="e">
        <f>VLOOKUP($A815,'CA-US List'!$A:$C,3,0)</f>
        <v>#N/A</v>
      </c>
      <c r="H815" t="s">
        <v>9</v>
      </c>
    </row>
    <row r="816" spans="1:8" x14ac:dyDescent="0.25">
      <c r="A816">
        <v>64341106</v>
      </c>
      <c r="B816">
        <v>2904</v>
      </c>
      <c r="C816">
        <v>988</v>
      </c>
      <c r="D816" s="19">
        <v>46085</v>
      </c>
      <c r="E816" t="s">
        <v>42</v>
      </c>
      <c r="F816" t="s">
        <v>43</v>
      </c>
      <c r="G816" t="e">
        <f>VLOOKUP($A816,'CA-US List'!$A:$C,3,0)</f>
        <v>#N/A</v>
      </c>
      <c r="H816" t="s">
        <v>9</v>
      </c>
    </row>
    <row r="817" spans="1:8" x14ac:dyDescent="0.25">
      <c r="A817">
        <v>64341106</v>
      </c>
      <c r="B817">
        <v>2904</v>
      </c>
      <c r="C817">
        <v>1502</v>
      </c>
      <c r="D817" s="19">
        <v>46086</v>
      </c>
      <c r="E817" t="s">
        <v>42</v>
      </c>
      <c r="F817" t="s">
        <v>43</v>
      </c>
      <c r="G817" t="e">
        <f>VLOOKUP($A817,'CA-US List'!$A:$C,3,0)</f>
        <v>#N/A</v>
      </c>
      <c r="H817" t="s">
        <v>9</v>
      </c>
    </row>
    <row r="818" spans="1:8" x14ac:dyDescent="0.25">
      <c r="A818">
        <v>64341106</v>
      </c>
      <c r="B818">
        <v>2904</v>
      </c>
      <c r="C818">
        <v>128</v>
      </c>
      <c r="D818" s="19">
        <v>46087</v>
      </c>
      <c r="E818" t="s">
        <v>42</v>
      </c>
      <c r="F818" t="s">
        <v>43</v>
      </c>
      <c r="G818" t="e">
        <f>VLOOKUP($A818,'CA-US List'!$A:$C,3,0)</f>
        <v>#N/A</v>
      </c>
      <c r="H818" t="s">
        <v>9</v>
      </c>
    </row>
    <row r="819" spans="1:8" x14ac:dyDescent="0.25">
      <c r="A819">
        <v>64341106</v>
      </c>
      <c r="B819">
        <v>2904</v>
      </c>
      <c r="C819">
        <v>-139</v>
      </c>
      <c r="D819" s="19">
        <v>46090</v>
      </c>
      <c r="E819" t="s">
        <v>42</v>
      </c>
      <c r="F819" t="s">
        <v>43</v>
      </c>
      <c r="G819" t="e">
        <f>VLOOKUP($A819,'CA-US List'!$A:$C,3,0)</f>
        <v>#N/A</v>
      </c>
      <c r="H819" t="s">
        <v>9</v>
      </c>
    </row>
    <row r="820" spans="1:8" x14ac:dyDescent="0.25">
      <c r="A820">
        <v>64341106</v>
      </c>
      <c r="B820">
        <v>2904</v>
      </c>
      <c r="C820">
        <v>124</v>
      </c>
      <c r="D820" s="19">
        <v>46086</v>
      </c>
      <c r="E820" t="s">
        <v>42</v>
      </c>
      <c r="F820" t="s">
        <v>43</v>
      </c>
      <c r="G820" t="e">
        <f>VLOOKUP($A820,'CA-US List'!$A:$C,3,0)</f>
        <v>#N/A</v>
      </c>
      <c r="H820" t="s">
        <v>9</v>
      </c>
    </row>
    <row r="821" spans="1:8" x14ac:dyDescent="0.25">
      <c r="A821">
        <v>64341106</v>
      </c>
      <c r="B821">
        <v>2904</v>
      </c>
      <c r="C821">
        <v>870</v>
      </c>
      <c r="D821" s="19">
        <v>46087</v>
      </c>
      <c r="E821" t="s">
        <v>42</v>
      </c>
      <c r="F821" t="s">
        <v>43</v>
      </c>
      <c r="G821" t="e">
        <f>VLOOKUP($A821,'CA-US List'!$A:$C,3,0)</f>
        <v>#N/A</v>
      </c>
      <c r="H821" t="s">
        <v>9</v>
      </c>
    </row>
    <row r="822" spans="1:8" x14ac:dyDescent="0.25">
      <c r="A822">
        <v>64341106</v>
      </c>
      <c r="B822">
        <v>2904</v>
      </c>
      <c r="C822">
        <v>2047</v>
      </c>
      <c r="D822" s="19">
        <v>46088</v>
      </c>
      <c r="E822" t="s">
        <v>42</v>
      </c>
      <c r="F822" t="s">
        <v>43</v>
      </c>
      <c r="G822" t="e">
        <f>VLOOKUP($A822,'CA-US List'!$A:$C,3,0)</f>
        <v>#N/A</v>
      </c>
      <c r="H822" t="s">
        <v>9</v>
      </c>
    </row>
    <row r="823" spans="1:8" x14ac:dyDescent="0.25">
      <c r="A823">
        <v>64341106</v>
      </c>
      <c r="B823">
        <v>2904</v>
      </c>
      <c r="C823">
        <v>39</v>
      </c>
      <c r="D823" s="19">
        <v>46088</v>
      </c>
      <c r="E823" t="s">
        <v>42</v>
      </c>
      <c r="F823" t="s">
        <v>43</v>
      </c>
      <c r="G823" t="e">
        <f>VLOOKUP($A823,'CA-US List'!$A:$C,3,0)</f>
        <v>#N/A</v>
      </c>
      <c r="H823" t="s">
        <v>9</v>
      </c>
    </row>
    <row r="824" spans="1:8" x14ac:dyDescent="0.25">
      <c r="A824">
        <v>64341106</v>
      </c>
      <c r="B824">
        <v>2904</v>
      </c>
      <c r="C824">
        <v>837</v>
      </c>
      <c r="D824" s="19">
        <v>46089</v>
      </c>
      <c r="E824" t="s">
        <v>42</v>
      </c>
      <c r="F824" t="s">
        <v>43</v>
      </c>
      <c r="G824" t="e">
        <f>VLOOKUP($A824,'CA-US List'!$A:$C,3,0)</f>
        <v>#N/A</v>
      </c>
      <c r="H824" t="s">
        <v>9</v>
      </c>
    </row>
    <row r="825" spans="1:8" x14ac:dyDescent="0.25">
      <c r="A825">
        <v>64341106</v>
      </c>
      <c r="B825">
        <v>2904</v>
      </c>
      <c r="C825">
        <v>166</v>
      </c>
      <c r="D825" s="19">
        <v>46089</v>
      </c>
      <c r="E825" t="s">
        <v>42</v>
      </c>
      <c r="F825" t="s">
        <v>43</v>
      </c>
      <c r="G825" t="e">
        <f>VLOOKUP($A825,'CA-US List'!$A:$C,3,0)</f>
        <v>#N/A</v>
      </c>
      <c r="H825" t="s">
        <v>9</v>
      </c>
    </row>
    <row r="826" spans="1:8" x14ac:dyDescent="0.25">
      <c r="A826">
        <v>64341106</v>
      </c>
      <c r="B826">
        <v>2904</v>
      </c>
      <c r="C826">
        <v>1034</v>
      </c>
      <c r="D826" s="19">
        <v>46090</v>
      </c>
      <c r="E826" t="s">
        <v>42</v>
      </c>
      <c r="F826" t="s">
        <v>43</v>
      </c>
      <c r="G826" t="e">
        <f>VLOOKUP($A826,'CA-US List'!$A:$C,3,0)</f>
        <v>#N/A</v>
      </c>
      <c r="H826" t="s">
        <v>9</v>
      </c>
    </row>
    <row r="827" spans="1:8" x14ac:dyDescent="0.25">
      <c r="A827">
        <v>64341106</v>
      </c>
      <c r="B827">
        <v>2904</v>
      </c>
      <c r="C827">
        <v>1690</v>
      </c>
      <c r="D827" s="19">
        <v>46097</v>
      </c>
      <c r="E827" t="s">
        <v>42</v>
      </c>
      <c r="F827" t="s">
        <v>43</v>
      </c>
      <c r="G827" t="e">
        <f>VLOOKUP($A827,'CA-US List'!$A:$C,3,0)</f>
        <v>#N/A</v>
      </c>
      <c r="H827" t="s">
        <v>9</v>
      </c>
    </row>
    <row r="828" spans="1:8" x14ac:dyDescent="0.25">
      <c r="A828">
        <v>64341106</v>
      </c>
      <c r="B828">
        <v>2904</v>
      </c>
      <c r="C828">
        <v>3198</v>
      </c>
      <c r="D828" s="19">
        <v>46098</v>
      </c>
      <c r="E828" t="s">
        <v>42</v>
      </c>
      <c r="F828" t="s">
        <v>43</v>
      </c>
      <c r="G828" t="e">
        <f>VLOOKUP($A828,'CA-US List'!$A:$C,3,0)</f>
        <v>#N/A</v>
      </c>
      <c r="H828" t="s">
        <v>9</v>
      </c>
    </row>
    <row r="829" spans="1:8" x14ac:dyDescent="0.25">
      <c r="A829">
        <v>64341106</v>
      </c>
      <c r="B829">
        <v>2904</v>
      </c>
      <c r="C829">
        <v>2730</v>
      </c>
      <c r="D829" s="19">
        <v>46098</v>
      </c>
      <c r="E829" t="s">
        <v>42</v>
      </c>
      <c r="F829" t="s">
        <v>43</v>
      </c>
      <c r="G829" t="e">
        <f>VLOOKUP($A829,'CA-US List'!$A:$C,3,0)</f>
        <v>#N/A</v>
      </c>
      <c r="H829" t="s">
        <v>9</v>
      </c>
    </row>
    <row r="830" spans="1:8" x14ac:dyDescent="0.25">
      <c r="A830">
        <v>64341106</v>
      </c>
      <c r="B830">
        <v>2904</v>
      </c>
      <c r="C830">
        <v>1977</v>
      </c>
      <c r="D830" s="19">
        <v>46099</v>
      </c>
      <c r="E830" t="s">
        <v>42</v>
      </c>
      <c r="F830" t="s">
        <v>43</v>
      </c>
      <c r="G830" t="e">
        <f>VLOOKUP($A830,'CA-US List'!$A:$C,3,0)</f>
        <v>#N/A</v>
      </c>
      <c r="H830" t="s">
        <v>9</v>
      </c>
    </row>
    <row r="831" spans="1:8" x14ac:dyDescent="0.25">
      <c r="A831">
        <v>64341106</v>
      </c>
      <c r="B831">
        <v>2904</v>
      </c>
      <c r="C831">
        <v>793</v>
      </c>
      <c r="D831" s="19">
        <v>46099</v>
      </c>
      <c r="E831" t="s">
        <v>42</v>
      </c>
      <c r="F831" t="s">
        <v>43</v>
      </c>
      <c r="G831" t="e">
        <f>VLOOKUP($A831,'CA-US List'!$A:$C,3,0)</f>
        <v>#N/A</v>
      </c>
      <c r="H831" t="s">
        <v>9</v>
      </c>
    </row>
    <row r="832" spans="1:8" x14ac:dyDescent="0.25">
      <c r="A832">
        <v>64341106</v>
      </c>
      <c r="B832">
        <v>2904</v>
      </c>
      <c r="C832">
        <v>1560</v>
      </c>
      <c r="D832" s="19">
        <v>46100</v>
      </c>
      <c r="E832" t="s">
        <v>42</v>
      </c>
      <c r="F832" t="s">
        <v>43</v>
      </c>
      <c r="G832" t="e">
        <f>VLOOKUP($A832,'CA-US List'!$A:$C,3,0)</f>
        <v>#N/A</v>
      </c>
      <c r="H832" t="s">
        <v>9</v>
      </c>
    </row>
    <row r="833" spans="1:8" x14ac:dyDescent="0.25">
      <c r="A833">
        <v>64341106</v>
      </c>
      <c r="B833">
        <v>2904</v>
      </c>
      <c r="C833">
        <v>2821</v>
      </c>
      <c r="D833" s="19">
        <v>46100</v>
      </c>
      <c r="E833" t="s">
        <v>42</v>
      </c>
      <c r="F833" t="s">
        <v>43</v>
      </c>
      <c r="G833" t="e">
        <f>VLOOKUP($A833,'CA-US List'!$A:$C,3,0)</f>
        <v>#N/A</v>
      </c>
      <c r="H833" t="s">
        <v>9</v>
      </c>
    </row>
    <row r="834" spans="1:8" x14ac:dyDescent="0.25">
      <c r="A834">
        <v>64341106</v>
      </c>
      <c r="B834">
        <v>2904</v>
      </c>
      <c r="C834">
        <v>2028</v>
      </c>
      <c r="D834" s="19">
        <v>46101</v>
      </c>
      <c r="E834" t="s">
        <v>42</v>
      </c>
      <c r="F834" t="s">
        <v>43</v>
      </c>
      <c r="G834" t="e">
        <f>VLOOKUP($A834,'CA-US List'!$A:$C,3,0)</f>
        <v>#N/A</v>
      </c>
      <c r="H834" t="s">
        <v>9</v>
      </c>
    </row>
    <row r="835" spans="1:8" x14ac:dyDescent="0.25">
      <c r="A835">
        <v>64341106</v>
      </c>
      <c r="B835">
        <v>2904</v>
      </c>
      <c r="C835">
        <v>225</v>
      </c>
      <c r="D835" s="19">
        <v>46101</v>
      </c>
      <c r="E835" t="s">
        <v>42</v>
      </c>
      <c r="F835" t="s">
        <v>43</v>
      </c>
      <c r="G835" t="e">
        <f>VLOOKUP($A835,'CA-US List'!$A:$C,3,0)</f>
        <v>#N/A</v>
      </c>
      <c r="H835" t="s">
        <v>9</v>
      </c>
    </row>
    <row r="836" spans="1:8" x14ac:dyDescent="0.25">
      <c r="A836">
        <v>64341106</v>
      </c>
      <c r="B836">
        <v>2904</v>
      </c>
      <c r="C836">
        <v>780</v>
      </c>
      <c r="D836" s="19">
        <v>46102</v>
      </c>
      <c r="E836" t="s">
        <v>42</v>
      </c>
      <c r="F836" t="s">
        <v>43</v>
      </c>
      <c r="G836" t="e">
        <f>VLOOKUP($A836,'CA-US List'!$A:$C,3,0)</f>
        <v>#N/A</v>
      </c>
      <c r="H836" t="s">
        <v>9</v>
      </c>
    </row>
    <row r="837" spans="1:8" x14ac:dyDescent="0.25">
      <c r="A837">
        <v>64341106</v>
      </c>
      <c r="B837">
        <v>2904</v>
      </c>
      <c r="C837">
        <v>259</v>
      </c>
      <c r="D837" s="19">
        <v>46102</v>
      </c>
      <c r="E837" t="s">
        <v>42</v>
      </c>
      <c r="F837" t="s">
        <v>43</v>
      </c>
      <c r="G837" t="e">
        <f>VLOOKUP($A837,'CA-US List'!$A:$C,3,0)</f>
        <v>#N/A</v>
      </c>
      <c r="H837" t="s">
        <v>9</v>
      </c>
    </row>
    <row r="838" spans="1:8" x14ac:dyDescent="0.25">
      <c r="A838">
        <v>64341106</v>
      </c>
      <c r="B838">
        <v>2904</v>
      </c>
      <c r="C838">
        <v>9</v>
      </c>
      <c r="D838" s="19">
        <v>46103</v>
      </c>
      <c r="E838" t="s">
        <v>42</v>
      </c>
      <c r="F838" t="s">
        <v>43</v>
      </c>
      <c r="G838" t="e">
        <f>VLOOKUP($A838,'CA-US List'!$A:$C,3,0)</f>
        <v>#N/A</v>
      </c>
      <c r="H838" t="s">
        <v>9</v>
      </c>
    </row>
    <row r="839" spans="1:8" x14ac:dyDescent="0.25">
      <c r="A839">
        <v>64341106</v>
      </c>
      <c r="B839">
        <v>2904</v>
      </c>
      <c r="C839">
        <v>688</v>
      </c>
      <c r="D839" s="19">
        <v>46104</v>
      </c>
      <c r="E839" t="s">
        <v>42</v>
      </c>
      <c r="F839" t="s">
        <v>43</v>
      </c>
      <c r="G839" t="e">
        <f>VLOOKUP($A839,'CA-US List'!$A:$C,3,0)</f>
        <v>#N/A</v>
      </c>
      <c r="H839" t="s">
        <v>9</v>
      </c>
    </row>
    <row r="840" spans="1:8" x14ac:dyDescent="0.25">
      <c r="A840">
        <v>64341106</v>
      </c>
      <c r="B840">
        <v>2904</v>
      </c>
      <c r="C840">
        <v>2600</v>
      </c>
      <c r="D840" s="19">
        <v>46104</v>
      </c>
      <c r="E840" t="s">
        <v>42</v>
      </c>
      <c r="F840" t="s">
        <v>43</v>
      </c>
      <c r="G840" t="e">
        <f>VLOOKUP($A840,'CA-US List'!$A:$C,3,0)</f>
        <v>#N/A</v>
      </c>
      <c r="H840" t="s">
        <v>9</v>
      </c>
    </row>
    <row r="841" spans="1:8" x14ac:dyDescent="0.25">
      <c r="A841">
        <v>64341106</v>
      </c>
      <c r="B841">
        <v>2904</v>
      </c>
      <c r="C841">
        <v>2067</v>
      </c>
      <c r="D841" s="19">
        <v>46105</v>
      </c>
      <c r="E841" t="s">
        <v>42</v>
      </c>
      <c r="F841" t="s">
        <v>43</v>
      </c>
      <c r="G841" t="e">
        <f>VLOOKUP($A841,'CA-US List'!$A:$C,3,0)</f>
        <v>#N/A</v>
      </c>
      <c r="H841" t="s">
        <v>9</v>
      </c>
    </row>
    <row r="842" spans="1:8" x14ac:dyDescent="0.25">
      <c r="A842">
        <v>64341106</v>
      </c>
      <c r="B842">
        <v>2904</v>
      </c>
      <c r="C842">
        <v>3250</v>
      </c>
      <c r="D842" s="19">
        <v>46105</v>
      </c>
      <c r="E842" t="s">
        <v>42</v>
      </c>
      <c r="F842" t="s">
        <v>43</v>
      </c>
      <c r="G842" t="e">
        <f>VLOOKUP($A842,'CA-US List'!$A:$C,3,0)</f>
        <v>#N/A</v>
      </c>
      <c r="H842" t="s">
        <v>9</v>
      </c>
    </row>
    <row r="843" spans="1:8" x14ac:dyDescent="0.25">
      <c r="A843">
        <v>64369035</v>
      </c>
      <c r="B843">
        <v>2904</v>
      </c>
      <c r="C843">
        <v>8539</v>
      </c>
      <c r="D843" s="19">
        <v>46105</v>
      </c>
      <c r="E843" t="s">
        <v>537</v>
      </c>
      <c r="F843" t="s">
        <v>29</v>
      </c>
      <c r="G843" t="e">
        <f>VLOOKUP($A843,'CA-US List'!$A:$C,3,0)</f>
        <v>#N/A</v>
      </c>
      <c r="H843" t="s">
        <v>9</v>
      </c>
    </row>
    <row r="844" spans="1:8" x14ac:dyDescent="0.25">
      <c r="A844">
        <v>64369035</v>
      </c>
      <c r="B844">
        <v>2904</v>
      </c>
      <c r="C844">
        <v>2281</v>
      </c>
      <c r="D844" s="19">
        <v>46105</v>
      </c>
      <c r="E844" t="s">
        <v>537</v>
      </c>
      <c r="F844" t="s">
        <v>29</v>
      </c>
      <c r="G844" t="e">
        <f>VLOOKUP($A844,'CA-US List'!$A:$C,3,0)</f>
        <v>#N/A</v>
      </c>
      <c r="H844" t="s">
        <v>9</v>
      </c>
    </row>
    <row r="845" spans="1:8" x14ac:dyDescent="0.25">
      <c r="A845">
        <v>64373718</v>
      </c>
      <c r="B845">
        <v>2904</v>
      </c>
      <c r="C845">
        <v>7039</v>
      </c>
      <c r="D845" s="19">
        <v>46102</v>
      </c>
      <c r="E845" t="s">
        <v>95</v>
      </c>
      <c r="F845" t="s">
        <v>21</v>
      </c>
      <c r="G845" t="e">
        <f>VLOOKUP($A845,'CA-US List'!$A:$C,3,0)</f>
        <v>#N/A</v>
      </c>
      <c r="H845" t="s">
        <v>9</v>
      </c>
    </row>
    <row r="846" spans="1:8" x14ac:dyDescent="0.25">
      <c r="A846">
        <v>64373718</v>
      </c>
      <c r="B846">
        <v>2904</v>
      </c>
      <c r="C846">
        <v>6965</v>
      </c>
      <c r="D846" s="19">
        <v>46103</v>
      </c>
      <c r="E846" t="s">
        <v>95</v>
      </c>
      <c r="F846" t="s">
        <v>21</v>
      </c>
      <c r="G846" t="e">
        <f>VLOOKUP($A846,'CA-US List'!$A:$C,3,0)</f>
        <v>#N/A</v>
      </c>
      <c r="H846" t="s">
        <v>9</v>
      </c>
    </row>
    <row r="847" spans="1:8" x14ac:dyDescent="0.25">
      <c r="A847">
        <v>64373718</v>
      </c>
      <c r="B847">
        <v>2904</v>
      </c>
      <c r="C847">
        <v>4130</v>
      </c>
      <c r="D847" s="19">
        <v>46104</v>
      </c>
      <c r="E847" t="s">
        <v>95</v>
      </c>
      <c r="F847" t="s">
        <v>21</v>
      </c>
      <c r="G847" t="e">
        <f>VLOOKUP($A847,'CA-US List'!$A:$C,3,0)</f>
        <v>#N/A</v>
      </c>
      <c r="H847" t="s">
        <v>9</v>
      </c>
    </row>
    <row r="848" spans="1:8" x14ac:dyDescent="0.25">
      <c r="A848">
        <v>64373718</v>
      </c>
      <c r="B848">
        <v>2904</v>
      </c>
      <c r="C848">
        <v>986</v>
      </c>
      <c r="D848" s="19">
        <v>46104</v>
      </c>
      <c r="E848" t="s">
        <v>95</v>
      </c>
      <c r="F848" t="s">
        <v>21</v>
      </c>
      <c r="G848" t="e">
        <f>VLOOKUP($A848,'CA-US List'!$A:$C,3,0)</f>
        <v>#N/A</v>
      </c>
      <c r="H848" t="s">
        <v>9</v>
      </c>
    </row>
    <row r="849" spans="1:8" x14ac:dyDescent="0.25">
      <c r="A849">
        <v>64373718</v>
      </c>
      <c r="B849">
        <v>2904</v>
      </c>
      <c r="C849">
        <v>8272</v>
      </c>
      <c r="D849" s="19">
        <v>46102</v>
      </c>
      <c r="E849" t="s">
        <v>95</v>
      </c>
      <c r="F849" t="s">
        <v>21</v>
      </c>
      <c r="G849" t="e">
        <f>VLOOKUP($A849,'CA-US List'!$A:$C,3,0)</f>
        <v>#N/A</v>
      </c>
      <c r="H849" t="s">
        <v>9</v>
      </c>
    </row>
    <row r="850" spans="1:8" x14ac:dyDescent="0.25">
      <c r="A850">
        <v>64373718</v>
      </c>
      <c r="B850">
        <v>2904</v>
      </c>
      <c r="C850">
        <v>6063</v>
      </c>
      <c r="D850" s="19">
        <v>46103</v>
      </c>
      <c r="E850" t="s">
        <v>95</v>
      </c>
      <c r="F850" t="s">
        <v>21</v>
      </c>
      <c r="G850" t="e">
        <f>VLOOKUP($A850,'CA-US List'!$A:$C,3,0)</f>
        <v>#N/A</v>
      </c>
      <c r="H850" t="s">
        <v>9</v>
      </c>
    </row>
    <row r="851" spans="1:8" x14ac:dyDescent="0.25">
      <c r="A851">
        <v>64389651</v>
      </c>
      <c r="B851">
        <v>2904</v>
      </c>
      <c r="C851">
        <v>1408</v>
      </c>
      <c r="D851" s="19">
        <v>46090</v>
      </c>
      <c r="E851" t="s">
        <v>70</v>
      </c>
      <c r="F851" t="s">
        <v>17</v>
      </c>
      <c r="G851" t="e">
        <f>VLOOKUP($A851,'CA-US List'!$A:$C,3,0)</f>
        <v>#N/A</v>
      </c>
      <c r="H851" t="s">
        <v>9</v>
      </c>
    </row>
    <row r="852" spans="1:8" x14ac:dyDescent="0.25">
      <c r="A852">
        <v>64389651</v>
      </c>
      <c r="B852">
        <v>2904</v>
      </c>
      <c r="C852">
        <v>6864</v>
      </c>
      <c r="D852" s="19">
        <v>46091</v>
      </c>
      <c r="E852" t="s">
        <v>70</v>
      </c>
      <c r="F852" t="s">
        <v>17</v>
      </c>
      <c r="G852" t="e">
        <f>VLOOKUP($A852,'CA-US List'!$A:$C,3,0)</f>
        <v>#N/A</v>
      </c>
      <c r="H852" t="s">
        <v>9</v>
      </c>
    </row>
    <row r="853" spans="1:8" x14ac:dyDescent="0.25">
      <c r="A853">
        <v>64389651</v>
      </c>
      <c r="B853">
        <v>2904</v>
      </c>
      <c r="C853">
        <v>5808</v>
      </c>
      <c r="D853" s="19">
        <v>46091</v>
      </c>
      <c r="E853" t="s">
        <v>70</v>
      </c>
      <c r="F853" t="s">
        <v>17</v>
      </c>
      <c r="G853" t="e">
        <f>VLOOKUP($A853,'CA-US List'!$A:$C,3,0)</f>
        <v>#N/A</v>
      </c>
      <c r="H853" t="s">
        <v>9</v>
      </c>
    </row>
    <row r="854" spans="1:8" x14ac:dyDescent="0.25">
      <c r="A854">
        <v>64389651</v>
      </c>
      <c r="B854">
        <v>2904</v>
      </c>
      <c r="C854">
        <v>5808</v>
      </c>
      <c r="D854" s="19">
        <v>46092</v>
      </c>
      <c r="E854" t="s">
        <v>70</v>
      </c>
      <c r="F854" t="s">
        <v>17</v>
      </c>
      <c r="G854" t="e">
        <f>VLOOKUP($A854,'CA-US List'!$A:$C,3,0)</f>
        <v>#N/A</v>
      </c>
      <c r="H854" t="s">
        <v>9</v>
      </c>
    </row>
    <row r="855" spans="1:8" x14ac:dyDescent="0.25">
      <c r="A855">
        <v>64389651</v>
      </c>
      <c r="B855">
        <v>2904</v>
      </c>
      <c r="C855">
        <v>7216</v>
      </c>
      <c r="D855" s="19">
        <v>46092</v>
      </c>
      <c r="E855" t="s">
        <v>70</v>
      </c>
      <c r="F855" t="s">
        <v>17</v>
      </c>
      <c r="G855" t="e">
        <f>VLOOKUP($A855,'CA-US List'!$A:$C,3,0)</f>
        <v>#N/A</v>
      </c>
      <c r="H855" t="s">
        <v>9</v>
      </c>
    </row>
    <row r="856" spans="1:8" x14ac:dyDescent="0.25">
      <c r="A856">
        <v>64389651</v>
      </c>
      <c r="B856">
        <v>2904</v>
      </c>
      <c r="C856">
        <v>6864</v>
      </c>
      <c r="D856" s="19">
        <v>46093</v>
      </c>
      <c r="E856" t="s">
        <v>70</v>
      </c>
      <c r="F856" t="s">
        <v>17</v>
      </c>
      <c r="G856" t="e">
        <f>VLOOKUP($A856,'CA-US List'!$A:$C,3,0)</f>
        <v>#N/A</v>
      </c>
      <c r="H856" t="s">
        <v>9</v>
      </c>
    </row>
    <row r="857" spans="1:8" x14ac:dyDescent="0.25">
      <c r="A857">
        <v>64389651</v>
      </c>
      <c r="B857">
        <v>2904</v>
      </c>
      <c r="C857">
        <v>7216</v>
      </c>
      <c r="D857" s="19">
        <v>46093</v>
      </c>
      <c r="E857" t="s">
        <v>70</v>
      </c>
      <c r="F857" t="s">
        <v>17</v>
      </c>
      <c r="G857" t="e">
        <f>VLOOKUP($A857,'CA-US List'!$A:$C,3,0)</f>
        <v>#N/A</v>
      </c>
      <c r="H857" t="s">
        <v>9</v>
      </c>
    </row>
    <row r="858" spans="1:8" x14ac:dyDescent="0.25">
      <c r="A858">
        <v>64389651</v>
      </c>
      <c r="B858">
        <v>2904</v>
      </c>
      <c r="C858">
        <v>2176</v>
      </c>
      <c r="D858" s="19">
        <v>46094</v>
      </c>
      <c r="E858" t="s">
        <v>70</v>
      </c>
      <c r="F858" t="s">
        <v>17</v>
      </c>
      <c r="G858" t="e">
        <f>VLOOKUP($A858,'CA-US List'!$A:$C,3,0)</f>
        <v>#N/A</v>
      </c>
      <c r="H858" t="s">
        <v>9</v>
      </c>
    </row>
    <row r="859" spans="1:8" x14ac:dyDescent="0.25">
      <c r="A859">
        <v>64393723</v>
      </c>
      <c r="B859">
        <v>2904</v>
      </c>
      <c r="C859">
        <v>3778</v>
      </c>
      <c r="D859" s="19">
        <v>46077</v>
      </c>
      <c r="E859" t="s">
        <v>97</v>
      </c>
      <c r="F859" t="s">
        <v>61</v>
      </c>
      <c r="G859" t="e">
        <f>VLOOKUP($A859,'CA-US List'!$A:$C,3,0)</f>
        <v>#N/A</v>
      </c>
      <c r="H859" t="s">
        <v>9</v>
      </c>
    </row>
    <row r="860" spans="1:8" x14ac:dyDescent="0.25">
      <c r="A860">
        <v>64393723</v>
      </c>
      <c r="B860">
        <v>2904</v>
      </c>
      <c r="C860">
        <v>3683</v>
      </c>
      <c r="D860" s="19">
        <v>46078</v>
      </c>
      <c r="E860" t="s">
        <v>97</v>
      </c>
      <c r="F860" t="s">
        <v>61</v>
      </c>
      <c r="G860" t="e">
        <f>VLOOKUP($A860,'CA-US List'!$A:$C,3,0)</f>
        <v>#N/A</v>
      </c>
      <c r="H860" t="s">
        <v>9</v>
      </c>
    </row>
    <row r="861" spans="1:8" x14ac:dyDescent="0.25">
      <c r="A861">
        <v>64393723</v>
      </c>
      <c r="B861">
        <v>2904</v>
      </c>
      <c r="C861">
        <v>4215</v>
      </c>
      <c r="D861" s="19">
        <v>46078</v>
      </c>
      <c r="E861" t="s">
        <v>97</v>
      </c>
      <c r="F861" t="s">
        <v>61</v>
      </c>
      <c r="G861" t="e">
        <f>VLOOKUP($A861,'CA-US List'!$A:$C,3,0)</f>
        <v>#N/A</v>
      </c>
      <c r="H861" t="s">
        <v>9</v>
      </c>
    </row>
    <row r="862" spans="1:8" x14ac:dyDescent="0.25">
      <c r="A862">
        <v>64393723</v>
      </c>
      <c r="B862">
        <v>2904</v>
      </c>
      <c r="C862">
        <v>4989</v>
      </c>
      <c r="D862" s="19">
        <v>46079</v>
      </c>
      <c r="E862" t="s">
        <v>97</v>
      </c>
      <c r="F862" t="s">
        <v>61</v>
      </c>
      <c r="G862" t="e">
        <f>VLOOKUP($A862,'CA-US List'!$A:$C,3,0)</f>
        <v>#N/A</v>
      </c>
      <c r="H862" t="s">
        <v>9</v>
      </c>
    </row>
    <row r="863" spans="1:8" x14ac:dyDescent="0.25">
      <c r="A863">
        <v>64393723</v>
      </c>
      <c r="B863">
        <v>2904</v>
      </c>
      <c r="C863">
        <v>7980</v>
      </c>
      <c r="D863" s="19">
        <v>46079</v>
      </c>
      <c r="E863" t="s">
        <v>97</v>
      </c>
      <c r="F863" t="s">
        <v>61</v>
      </c>
      <c r="G863" t="e">
        <f>VLOOKUP($A863,'CA-US List'!$A:$C,3,0)</f>
        <v>#N/A</v>
      </c>
      <c r="H863" t="s">
        <v>9</v>
      </c>
    </row>
    <row r="864" spans="1:8" x14ac:dyDescent="0.25">
      <c r="A864">
        <v>64393723</v>
      </c>
      <c r="B864">
        <v>2904</v>
      </c>
      <c r="C864">
        <v>5151</v>
      </c>
      <c r="D864" s="19">
        <v>46080</v>
      </c>
      <c r="E864" t="s">
        <v>97</v>
      </c>
      <c r="F864" t="s">
        <v>61</v>
      </c>
      <c r="G864" t="e">
        <f>VLOOKUP($A864,'CA-US List'!$A:$C,3,0)</f>
        <v>#N/A</v>
      </c>
      <c r="H864" t="s">
        <v>9</v>
      </c>
    </row>
    <row r="865" spans="1:8" x14ac:dyDescent="0.25">
      <c r="A865">
        <v>64393723</v>
      </c>
      <c r="B865">
        <v>2904</v>
      </c>
      <c r="C865">
        <v>7183</v>
      </c>
      <c r="D865" s="19">
        <v>46080</v>
      </c>
      <c r="E865" t="s">
        <v>97</v>
      </c>
      <c r="F865" t="s">
        <v>61</v>
      </c>
      <c r="G865" t="e">
        <f>VLOOKUP($A865,'CA-US List'!$A:$C,3,0)</f>
        <v>#N/A</v>
      </c>
      <c r="H865" t="s">
        <v>9</v>
      </c>
    </row>
    <row r="866" spans="1:8" x14ac:dyDescent="0.25">
      <c r="A866">
        <v>64393723</v>
      </c>
      <c r="B866">
        <v>2904</v>
      </c>
      <c r="C866">
        <v>3414</v>
      </c>
      <c r="D866" s="19">
        <v>46081</v>
      </c>
      <c r="E866" t="s">
        <v>97</v>
      </c>
      <c r="F866" t="s">
        <v>61</v>
      </c>
      <c r="G866" t="e">
        <f>VLOOKUP($A866,'CA-US List'!$A:$C,3,0)</f>
        <v>#N/A</v>
      </c>
      <c r="H866" t="s">
        <v>9</v>
      </c>
    </row>
    <row r="867" spans="1:8" x14ac:dyDescent="0.25">
      <c r="A867">
        <v>64394583</v>
      </c>
      <c r="B867">
        <v>2904</v>
      </c>
      <c r="C867">
        <v>239</v>
      </c>
      <c r="D867" s="19">
        <v>46078</v>
      </c>
      <c r="E867" t="s">
        <v>542</v>
      </c>
      <c r="F867" t="s">
        <v>46</v>
      </c>
      <c r="G867" t="e">
        <f>VLOOKUP($A867,'CA-US List'!$A:$C,3,0)</f>
        <v>#N/A</v>
      </c>
      <c r="H867" t="s">
        <v>9</v>
      </c>
    </row>
    <row r="868" spans="1:8" x14ac:dyDescent="0.25">
      <c r="A868">
        <v>64394583</v>
      </c>
      <c r="B868">
        <v>2904</v>
      </c>
      <c r="C868">
        <v>111</v>
      </c>
      <c r="D868" s="19">
        <v>46078</v>
      </c>
      <c r="E868" t="s">
        <v>542</v>
      </c>
      <c r="F868" t="s">
        <v>46</v>
      </c>
      <c r="G868" t="e">
        <f>VLOOKUP($A868,'CA-US List'!$A:$C,3,0)</f>
        <v>#N/A</v>
      </c>
      <c r="H868" t="s">
        <v>9</v>
      </c>
    </row>
    <row r="869" spans="1:8" x14ac:dyDescent="0.25">
      <c r="A869">
        <v>64394585</v>
      </c>
      <c r="B869">
        <v>2904</v>
      </c>
      <c r="C869">
        <v>2160</v>
      </c>
      <c r="D869" s="19">
        <v>46079</v>
      </c>
      <c r="E869" t="s">
        <v>875</v>
      </c>
      <c r="F869" t="s">
        <v>46</v>
      </c>
      <c r="G869" t="e">
        <f>VLOOKUP($A869,'CA-US List'!$A:$C,3,0)</f>
        <v>#N/A</v>
      </c>
      <c r="H869" t="s">
        <v>9</v>
      </c>
    </row>
    <row r="870" spans="1:8" x14ac:dyDescent="0.25">
      <c r="A870">
        <v>64394585</v>
      </c>
      <c r="B870">
        <v>2904</v>
      </c>
      <c r="C870">
        <v>6060</v>
      </c>
      <c r="D870" s="19">
        <v>46080</v>
      </c>
      <c r="E870" t="s">
        <v>875</v>
      </c>
      <c r="F870" t="s">
        <v>46</v>
      </c>
      <c r="G870" t="e">
        <f>VLOOKUP($A870,'CA-US List'!$A:$C,3,0)</f>
        <v>#N/A</v>
      </c>
      <c r="H870" t="s">
        <v>9</v>
      </c>
    </row>
    <row r="871" spans="1:8" x14ac:dyDescent="0.25">
      <c r="A871">
        <v>64394585</v>
      </c>
      <c r="B871">
        <v>2904</v>
      </c>
      <c r="C871">
        <v>9722</v>
      </c>
      <c r="D871" s="19">
        <v>46080</v>
      </c>
      <c r="E871" t="s">
        <v>875</v>
      </c>
      <c r="F871" t="s">
        <v>46</v>
      </c>
      <c r="G871" t="e">
        <f>VLOOKUP($A871,'CA-US List'!$A:$C,3,0)</f>
        <v>#N/A</v>
      </c>
      <c r="H871" t="s">
        <v>9</v>
      </c>
    </row>
    <row r="872" spans="1:8" x14ac:dyDescent="0.25">
      <c r="A872">
        <v>64394585</v>
      </c>
      <c r="B872">
        <v>2904</v>
      </c>
      <c r="C872">
        <v>5729</v>
      </c>
      <c r="D872" s="19">
        <v>46081</v>
      </c>
      <c r="E872" t="s">
        <v>875</v>
      </c>
      <c r="F872" t="s">
        <v>46</v>
      </c>
      <c r="G872" t="e">
        <f>VLOOKUP($A872,'CA-US List'!$A:$C,3,0)</f>
        <v>#N/A</v>
      </c>
      <c r="H872" t="s">
        <v>9</v>
      </c>
    </row>
    <row r="873" spans="1:8" x14ac:dyDescent="0.25">
      <c r="A873">
        <v>64775327</v>
      </c>
      <c r="B873">
        <v>2904</v>
      </c>
      <c r="C873">
        <v>5104</v>
      </c>
      <c r="D873" s="19">
        <v>46076</v>
      </c>
      <c r="E873" t="s">
        <v>63</v>
      </c>
      <c r="F873" t="s">
        <v>21</v>
      </c>
      <c r="G873" t="e">
        <f>VLOOKUP($A873,'CA-US List'!$A:$C,3,0)</f>
        <v>#N/A</v>
      </c>
      <c r="H873" t="s">
        <v>9</v>
      </c>
    </row>
    <row r="874" spans="1:8" x14ac:dyDescent="0.25">
      <c r="A874">
        <v>64775327</v>
      </c>
      <c r="B874">
        <v>2904</v>
      </c>
      <c r="C874">
        <v>7136</v>
      </c>
      <c r="D874" s="19">
        <v>46077</v>
      </c>
      <c r="E874" t="s">
        <v>63</v>
      </c>
      <c r="F874" t="s">
        <v>21</v>
      </c>
      <c r="G874" t="e">
        <f>VLOOKUP($A874,'CA-US List'!$A:$C,3,0)</f>
        <v>#N/A</v>
      </c>
      <c r="H874" t="s">
        <v>9</v>
      </c>
    </row>
    <row r="875" spans="1:8" x14ac:dyDescent="0.25">
      <c r="A875">
        <v>64775327</v>
      </c>
      <c r="B875">
        <v>2904</v>
      </c>
      <c r="C875">
        <v>5057</v>
      </c>
      <c r="D875" s="19">
        <v>46077</v>
      </c>
      <c r="E875" t="s">
        <v>63</v>
      </c>
      <c r="F875" t="s">
        <v>21</v>
      </c>
      <c r="G875" t="e">
        <f>VLOOKUP($A875,'CA-US List'!$A:$C,3,0)</f>
        <v>#N/A</v>
      </c>
      <c r="H875" t="s">
        <v>9</v>
      </c>
    </row>
    <row r="876" spans="1:8" x14ac:dyDescent="0.25">
      <c r="A876">
        <v>64775327</v>
      </c>
      <c r="B876">
        <v>2904</v>
      </c>
      <c r="C876">
        <v>6686</v>
      </c>
      <c r="D876" s="19">
        <v>46078</v>
      </c>
      <c r="E876" t="s">
        <v>63</v>
      </c>
      <c r="F876" t="s">
        <v>21</v>
      </c>
      <c r="G876" t="e">
        <f>VLOOKUP($A876,'CA-US List'!$A:$C,3,0)</f>
        <v>#N/A</v>
      </c>
      <c r="H876" t="s">
        <v>9</v>
      </c>
    </row>
    <row r="877" spans="1:8" x14ac:dyDescent="0.25">
      <c r="A877">
        <v>64775327</v>
      </c>
      <c r="B877">
        <v>2904</v>
      </c>
      <c r="C877">
        <v>5565</v>
      </c>
      <c r="D877" s="19">
        <v>46078</v>
      </c>
      <c r="E877" t="s">
        <v>63</v>
      </c>
      <c r="F877" t="s">
        <v>21</v>
      </c>
      <c r="G877" t="e">
        <f>VLOOKUP($A877,'CA-US List'!$A:$C,3,0)</f>
        <v>#N/A</v>
      </c>
      <c r="H877" t="s">
        <v>9</v>
      </c>
    </row>
    <row r="878" spans="1:8" x14ac:dyDescent="0.25">
      <c r="A878">
        <v>64775327</v>
      </c>
      <c r="B878">
        <v>2904</v>
      </c>
      <c r="C878">
        <v>539</v>
      </c>
      <c r="D878" s="19">
        <v>46079</v>
      </c>
      <c r="E878" t="s">
        <v>63</v>
      </c>
      <c r="F878" t="s">
        <v>21</v>
      </c>
      <c r="G878" t="e">
        <f>VLOOKUP($A878,'CA-US List'!$A:$C,3,0)</f>
        <v>#N/A</v>
      </c>
      <c r="H878" t="s">
        <v>9</v>
      </c>
    </row>
    <row r="879" spans="1:8" x14ac:dyDescent="0.25">
      <c r="A879">
        <v>64775327</v>
      </c>
      <c r="B879">
        <v>2904</v>
      </c>
      <c r="C879">
        <v>5456</v>
      </c>
      <c r="D879" s="19">
        <v>46076</v>
      </c>
      <c r="E879" t="s">
        <v>63</v>
      </c>
      <c r="F879" t="s">
        <v>21</v>
      </c>
      <c r="G879" t="e">
        <f>VLOOKUP($A879,'CA-US List'!$A:$C,3,0)</f>
        <v>#N/A</v>
      </c>
      <c r="H879" t="s">
        <v>9</v>
      </c>
    </row>
    <row r="880" spans="1:8" x14ac:dyDescent="0.25">
      <c r="A880">
        <v>64782365</v>
      </c>
      <c r="B880">
        <v>2904</v>
      </c>
      <c r="C880">
        <v>3647</v>
      </c>
      <c r="D880" s="19">
        <v>46076</v>
      </c>
      <c r="E880" t="s">
        <v>549</v>
      </c>
      <c r="F880" t="s">
        <v>61</v>
      </c>
      <c r="G880" t="e">
        <f>VLOOKUP($A880,'CA-US List'!$A:$C,3,0)</f>
        <v>#N/A</v>
      </c>
      <c r="H880" t="s">
        <v>9</v>
      </c>
    </row>
    <row r="881" spans="1:8" x14ac:dyDescent="0.25">
      <c r="A881">
        <v>64782365</v>
      </c>
      <c r="B881">
        <v>2904</v>
      </c>
      <c r="C881">
        <v>7743</v>
      </c>
      <c r="D881" s="19">
        <v>46076</v>
      </c>
      <c r="E881" t="s">
        <v>549</v>
      </c>
      <c r="F881" t="s">
        <v>61</v>
      </c>
      <c r="G881" t="e">
        <f>VLOOKUP($A881,'CA-US List'!$A:$C,3,0)</f>
        <v>#N/A</v>
      </c>
      <c r="H881" t="s">
        <v>9</v>
      </c>
    </row>
    <row r="882" spans="1:8" x14ac:dyDescent="0.25">
      <c r="A882">
        <v>64782365</v>
      </c>
      <c r="B882">
        <v>2904</v>
      </c>
      <c r="C882">
        <v>1260</v>
      </c>
      <c r="D882" s="19">
        <v>46077</v>
      </c>
      <c r="E882" t="s">
        <v>549</v>
      </c>
      <c r="F882" t="s">
        <v>61</v>
      </c>
      <c r="G882" t="e">
        <f>VLOOKUP($A882,'CA-US List'!$A:$C,3,0)</f>
        <v>#N/A</v>
      </c>
      <c r="H882" t="s">
        <v>9</v>
      </c>
    </row>
    <row r="883" spans="1:8" x14ac:dyDescent="0.25">
      <c r="A883">
        <v>64958122</v>
      </c>
      <c r="B883">
        <v>2904</v>
      </c>
      <c r="C883">
        <v>15477</v>
      </c>
      <c r="D883" s="19">
        <v>46097</v>
      </c>
      <c r="E883" t="s">
        <v>94</v>
      </c>
      <c r="F883" t="s">
        <v>33</v>
      </c>
      <c r="G883" t="e">
        <f>VLOOKUP($A883,'CA-US List'!$A:$C,3,0)</f>
        <v>#N/A</v>
      </c>
      <c r="H883" t="s">
        <v>9</v>
      </c>
    </row>
    <row r="884" spans="1:8" x14ac:dyDescent="0.25">
      <c r="A884">
        <v>64958122</v>
      </c>
      <c r="B884">
        <v>2904</v>
      </c>
      <c r="C884">
        <v>2970</v>
      </c>
      <c r="D884" s="19">
        <v>46097</v>
      </c>
      <c r="E884" t="s">
        <v>94</v>
      </c>
      <c r="F884" t="s">
        <v>33</v>
      </c>
      <c r="G884" t="e">
        <f>VLOOKUP($A884,'CA-US List'!$A:$C,3,0)</f>
        <v>#N/A</v>
      </c>
      <c r="H884" t="s">
        <v>9</v>
      </c>
    </row>
    <row r="885" spans="1:8" x14ac:dyDescent="0.25">
      <c r="A885">
        <v>64958122</v>
      </c>
      <c r="B885">
        <v>2904</v>
      </c>
      <c r="C885">
        <v>660</v>
      </c>
      <c r="D885" s="19">
        <v>46098</v>
      </c>
      <c r="E885" t="s">
        <v>94</v>
      </c>
      <c r="F885" t="s">
        <v>33</v>
      </c>
      <c r="G885" t="e">
        <f>VLOOKUP($A885,'CA-US List'!$A:$C,3,0)</f>
        <v>#N/A</v>
      </c>
      <c r="H885" t="s">
        <v>9</v>
      </c>
    </row>
    <row r="886" spans="1:8" x14ac:dyDescent="0.25">
      <c r="A886">
        <v>64958122</v>
      </c>
      <c r="B886">
        <v>2904</v>
      </c>
      <c r="C886">
        <v>330</v>
      </c>
      <c r="D886" s="19">
        <v>46099</v>
      </c>
      <c r="E886" t="s">
        <v>94</v>
      </c>
      <c r="F886" t="s">
        <v>33</v>
      </c>
      <c r="G886" t="e">
        <f>VLOOKUP($A886,'CA-US List'!$A:$C,3,0)</f>
        <v>#N/A</v>
      </c>
      <c r="H886" t="s">
        <v>9</v>
      </c>
    </row>
    <row r="887" spans="1:8" x14ac:dyDescent="0.25">
      <c r="A887">
        <v>64958122</v>
      </c>
      <c r="B887">
        <v>2904</v>
      </c>
      <c r="C887">
        <v>5610</v>
      </c>
      <c r="D887" s="19">
        <v>46090</v>
      </c>
      <c r="E887" t="s">
        <v>94</v>
      </c>
      <c r="F887" t="s">
        <v>33</v>
      </c>
      <c r="G887" t="e">
        <f>VLOOKUP($A887,'CA-US List'!$A:$C,3,0)</f>
        <v>#N/A</v>
      </c>
      <c r="H887" t="s">
        <v>9</v>
      </c>
    </row>
    <row r="888" spans="1:8" x14ac:dyDescent="0.25">
      <c r="A888">
        <v>64958122</v>
      </c>
      <c r="B888">
        <v>2904</v>
      </c>
      <c r="C888">
        <v>8085</v>
      </c>
      <c r="D888" s="19">
        <v>46091</v>
      </c>
      <c r="E888" t="s">
        <v>94</v>
      </c>
      <c r="F888" t="s">
        <v>33</v>
      </c>
      <c r="G888" t="e">
        <f>VLOOKUP($A888,'CA-US List'!$A:$C,3,0)</f>
        <v>#N/A</v>
      </c>
      <c r="H888" t="s">
        <v>9</v>
      </c>
    </row>
    <row r="889" spans="1:8" x14ac:dyDescent="0.25">
      <c r="A889">
        <v>64958122</v>
      </c>
      <c r="B889">
        <v>2904</v>
      </c>
      <c r="C889">
        <v>8580</v>
      </c>
      <c r="D889" s="19">
        <v>46091</v>
      </c>
      <c r="E889" t="s">
        <v>94</v>
      </c>
      <c r="F889" t="s">
        <v>33</v>
      </c>
      <c r="G889" t="e">
        <f>VLOOKUP($A889,'CA-US List'!$A:$C,3,0)</f>
        <v>#N/A</v>
      </c>
      <c r="H889" t="s">
        <v>9</v>
      </c>
    </row>
    <row r="890" spans="1:8" x14ac:dyDescent="0.25">
      <c r="A890">
        <v>64958122</v>
      </c>
      <c r="B890">
        <v>2904</v>
      </c>
      <c r="C890">
        <v>6509</v>
      </c>
      <c r="D890" s="19">
        <v>46092</v>
      </c>
      <c r="E890" t="s">
        <v>94</v>
      </c>
      <c r="F890" t="s">
        <v>33</v>
      </c>
      <c r="G890" t="e">
        <f>VLOOKUP($A890,'CA-US List'!$A:$C,3,0)</f>
        <v>#N/A</v>
      </c>
      <c r="H890" t="s">
        <v>9</v>
      </c>
    </row>
    <row r="891" spans="1:8" x14ac:dyDescent="0.25">
      <c r="A891">
        <v>64958122</v>
      </c>
      <c r="B891">
        <v>2904</v>
      </c>
      <c r="C891">
        <v>165</v>
      </c>
      <c r="D891" s="19">
        <v>46093</v>
      </c>
      <c r="E891" t="s">
        <v>94</v>
      </c>
      <c r="F891" t="s">
        <v>33</v>
      </c>
      <c r="G891" t="e">
        <f>VLOOKUP($A891,'CA-US List'!$A:$C,3,0)</f>
        <v>#N/A</v>
      </c>
      <c r="H891" t="s">
        <v>9</v>
      </c>
    </row>
    <row r="892" spans="1:8" x14ac:dyDescent="0.25">
      <c r="A892">
        <v>64958122</v>
      </c>
      <c r="B892">
        <v>2904</v>
      </c>
      <c r="C892">
        <v>7539</v>
      </c>
      <c r="D892" s="19">
        <v>46092</v>
      </c>
      <c r="E892" t="s">
        <v>94</v>
      </c>
      <c r="F892" t="s">
        <v>33</v>
      </c>
      <c r="G892" t="e">
        <f>VLOOKUP($A892,'CA-US List'!$A:$C,3,0)</f>
        <v>#N/A</v>
      </c>
      <c r="H892" t="s">
        <v>9</v>
      </c>
    </row>
    <row r="893" spans="1:8" x14ac:dyDescent="0.25">
      <c r="A893">
        <v>64958122</v>
      </c>
      <c r="B893">
        <v>2904</v>
      </c>
      <c r="C893">
        <v>9570</v>
      </c>
      <c r="D893" s="19">
        <v>46093</v>
      </c>
      <c r="E893" t="s">
        <v>94</v>
      </c>
      <c r="F893" t="s">
        <v>33</v>
      </c>
      <c r="G893" t="e">
        <f>VLOOKUP($A893,'CA-US List'!$A:$C,3,0)</f>
        <v>#N/A</v>
      </c>
      <c r="H893" t="s">
        <v>9</v>
      </c>
    </row>
    <row r="894" spans="1:8" x14ac:dyDescent="0.25">
      <c r="A894">
        <v>64958122</v>
      </c>
      <c r="B894">
        <v>2904</v>
      </c>
      <c r="C894">
        <v>4315</v>
      </c>
      <c r="D894" s="19">
        <v>46093</v>
      </c>
      <c r="E894" t="s">
        <v>94</v>
      </c>
      <c r="F894" t="s">
        <v>33</v>
      </c>
      <c r="G894" t="e">
        <f>VLOOKUP($A894,'CA-US List'!$A:$C,3,0)</f>
        <v>#N/A</v>
      </c>
      <c r="H894" t="s">
        <v>9</v>
      </c>
    </row>
    <row r="895" spans="1:8" x14ac:dyDescent="0.25">
      <c r="A895">
        <v>64958122</v>
      </c>
      <c r="B895">
        <v>2904</v>
      </c>
      <c r="C895">
        <v>6582</v>
      </c>
      <c r="D895" s="19">
        <v>46094</v>
      </c>
      <c r="E895" t="s">
        <v>94</v>
      </c>
      <c r="F895" t="s">
        <v>33</v>
      </c>
      <c r="G895" t="e">
        <f>VLOOKUP($A895,'CA-US List'!$A:$C,3,0)</f>
        <v>#N/A</v>
      </c>
      <c r="H895" t="s">
        <v>9</v>
      </c>
    </row>
    <row r="896" spans="1:8" x14ac:dyDescent="0.25">
      <c r="A896">
        <v>64958122</v>
      </c>
      <c r="B896">
        <v>2904</v>
      </c>
      <c r="C896">
        <v>165</v>
      </c>
      <c r="D896" s="19">
        <v>46104</v>
      </c>
      <c r="E896" t="s">
        <v>94</v>
      </c>
      <c r="F896" t="s">
        <v>33</v>
      </c>
      <c r="G896" t="e">
        <f>VLOOKUP($A896,'CA-US List'!$A:$C,3,0)</f>
        <v>#N/A</v>
      </c>
      <c r="H896" t="s">
        <v>9</v>
      </c>
    </row>
    <row r="897" spans="1:8" x14ac:dyDescent="0.25">
      <c r="A897">
        <v>64958122</v>
      </c>
      <c r="B897">
        <v>2904</v>
      </c>
      <c r="C897">
        <v>2310</v>
      </c>
      <c r="D897" s="19">
        <v>46094</v>
      </c>
      <c r="E897" t="s">
        <v>94</v>
      </c>
      <c r="F897" t="s">
        <v>33</v>
      </c>
      <c r="G897" t="e">
        <f>VLOOKUP($A897,'CA-US List'!$A:$C,3,0)</f>
        <v>#N/A</v>
      </c>
      <c r="H897" t="s">
        <v>9</v>
      </c>
    </row>
    <row r="898" spans="1:8" x14ac:dyDescent="0.25">
      <c r="A898">
        <v>64958122</v>
      </c>
      <c r="B898">
        <v>2904</v>
      </c>
      <c r="C898">
        <v>7590</v>
      </c>
      <c r="D898" s="19">
        <v>46095</v>
      </c>
      <c r="E898" t="s">
        <v>94</v>
      </c>
      <c r="F898" t="s">
        <v>33</v>
      </c>
      <c r="G898" t="e">
        <f>VLOOKUP($A898,'CA-US List'!$A:$C,3,0)</f>
        <v>#N/A</v>
      </c>
      <c r="H898" t="s">
        <v>9</v>
      </c>
    </row>
    <row r="899" spans="1:8" x14ac:dyDescent="0.25">
      <c r="A899">
        <v>64958122</v>
      </c>
      <c r="B899">
        <v>2904</v>
      </c>
      <c r="C899">
        <v>495</v>
      </c>
      <c r="D899" s="19">
        <v>46097</v>
      </c>
      <c r="E899" t="s">
        <v>94</v>
      </c>
      <c r="F899" t="s">
        <v>33</v>
      </c>
      <c r="G899" t="e">
        <f>VLOOKUP($A899,'CA-US List'!$A:$C,3,0)</f>
        <v>#N/A</v>
      </c>
      <c r="H899" t="s">
        <v>9</v>
      </c>
    </row>
    <row r="900" spans="1:8" x14ac:dyDescent="0.25">
      <c r="A900">
        <v>64958122</v>
      </c>
      <c r="B900">
        <v>2904</v>
      </c>
      <c r="C900">
        <v>-88</v>
      </c>
      <c r="D900" s="19">
        <v>46100</v>
      </c>
      <c r="E900" t="s">
        <v>94</v>
      </c>
      <c r="F900" t="s">
        <v>33</v>
      </c>
      <c r="G900" t="e">
        <f>VLOOKUP($A900,'CA-US List'!$A:$C,3,0)</f>
        <v>#N/A</v>
      </c>
      <c r="H900" t="s">
        <v>9</v>
      </c>
    </row>
    <row r="901" spans="1:8" x14ac:dyDescent="0.25">
      <c r="A901">
        <v>64958122</v>
      </c>
      <c r="B901">
        <v>2904</v>
      </c>
      <c r="C901">
        <v>1880</v>
      </c>
      <c r="D901" s="19">
        <v>46097</v>
      </c>
      <c r="E901" t="s">
        <v>94</v>
      </c>
      <c r="F901" t="s">
        <v>33</v>
      </c>
      <c r="G901" t="e">
        <f>VLOOKUP($A901,'CA-US List'!$A:$C,3,0)</f>
        <v>#N/A</v>
      </c>
      <c r="H901" t="s">
        <v>9</v>
      </c>
    </row>
    <row r="902" spans="1:8" x14ac:dyDescent="0.25">
      <c r="A902">
        <v>64958122</v>
      </c>
      <c r="B902">
        <v>2904</v>
      </c>
      <c r="C902">
        <v>165</v>
      </c>
      <c r="D902" s="19">
        <v>46098</v>
      </c>
      <c r="E902" t="s">
        <v>94</v>
      </c>
      <c r="F902" t="s">
        <v>33</v>
      </c>
      <c r="G902" t="e">
        <f>VLOOKUP($A902,'CA-US List'!$A:$C,3,0)</f>
        <v>#N/A</v>
      </c>
      <c r="H902" t="s">
        <v>9</v>
      </c>
    </row>
    <row r="903" spans="1:8" x14ac:dyDescent="0.25">
      <c r="A903">
        <v>64958125</v>
      </c>
      <c r="B903">
        <v>2904</v>
      </c>
      <c r="C903">
        <v>165</v>
      </c>
      <c r="D903" s="19">
        <v>46076</v>
      </c>
      <c r="E903" t="s">
        <v>32</v>
      </c>
      <c r="F903" t="s">
        <v>33</v>
      </c>
      <c r="G903" t="e">
        <f>VLOOKUP($A903,'CA-US List'!$A:$C,3,0)</f>
        <v>#N/A</v>
      </c>
      <c r="H903" t="s">
        <v>9</v>
      </c>
    </row>
    <row r="904" spans="1:8" x14ac:dyDescent="0.25">
      <c r="A904">
        <v>64958127</v>
      </c>
      <c r="B904">
        <v>2904</v>
      </c>
      <c r="C904">
        <v>5717</v>
      </c>
      <c r="D904" s="19">
        <v>46098</v>
      </c>
      <c r="E904" t="s">
        <v>159</v>
      </c>
      <c r="F904" t="s">
        <v>33</v>
      </c>
      <c r="G904" t="e">
        <f>VLOOKUP($A904,'CA-US List'!$A:$C,3,0)</f>
        <v>#N/A</v>
      </c>
      <c r="H904" t="s">
        <v>9</v>
      </c>
    </row>
    <row r="905" spans="1:8" x14ac:dyDescent="0.25">
      <c r="A905">
        <v>64958127</v>
      </c>
      <c r="B905">
        <v>2904</v>
      </c>
      <c r="C905">
        <v>-2103</v>
      </c>
      <c r="D905" s="19">
        <v>46101</v>
      </c>
      <c r="E905" t="s">
        <v>159</v>
      </c>
      <c r="F905" t="s">
        <v>33</v>
      </c>
      <c r="G905" t="e">
        <f>VLOOKUP($A905,'CA-US List'!$A:$C,3,0)</f>
        <v>#N/A</v>
      </c>
      <c r="H905" t="s">
        <v>9</v>
      </c>
    </row>
    <row r="906" spans="1:8" x14ac:dyDescent="0.25">
      <c r="A906">
        <v>64958127</v>
      </c>
      <c r="B906">
        <v>2904</v>
      </c>
      <c r="C906">
        <v>13530</v>
      </c>
      <c r="D906" s="19">
        <v>46100</v>
      </c>
      <c r="E906" t="s">
        <v>159</v>
      </c>
      <c r="F906" t="s">
        <v>33</v>
      </c>
      <c r="G906" t="e">
        <f>VLOOKUP($A906,'CA-US List'!$A:$C,3,0)</f>
        <v>#N/A</v>
      </c>
      <c r="H906" t="s">
        <v>9</v>
      </c>
    </row>
    <row r="907" spans="1:8" x14ac:dyDescent="0.25">
      <c r="A907">
        <v>64958127</v>
      </c>
      <c r="B907">
        <v>2904</v>
      </c>
      <c r="C907">
        <v>8906</v>
      </c>
      <c r="D907" s="19">
        <v>46100</v>
      </c>
      <c r="E907" t="s">
        <v>159</v>
      </c>
      <c r="F907" t="s">
        <v>33</v>
      </c>
      <c r="G907" t="e">
        <f>VLOOKUP($A907,'CA-US List'!$A:$C,3,0)</f>
        <v>#N/A</v>
      </c>
      <c r="H907" t="s">
        <v>9</v>
      </c>
    </row>
    <row r="908" spans="1:8" x14ac:dyDescent="0.25">
      <c r="A908">
        <v>64958127</v>
      </c>
      <c r="B908">
        <v>2904</v>
      </c>
      <c r="C908">
        <v>6765</v>
      </c>
      <c r="D908" s="19">
        <v>46101</v>
      </c>
      <c r="E908" t="s">
        <v>159</v>
      </c>
      <c r="F908" t="s">
        <v>33</v>
      </c>
      <c r="G908" t="e">
        <f>VLOOKUP($A908,'CA-US List'!$A:$C,3,0)</f>
        <v>#N/A</v>
      </c>
      <c r="H908" t="s">
        <v>9</v>
      </c>
    </row>
    <row r="909" spans="1:8" x14ac:dyDescent="0.25">
      <c r="A909">
        <v>64958127</v>
      </c>
      <c r="B909">
        <v>2904</v>
      </c>
      <c r="C909">
        <v>4019</v>
      </c>
      <c r="D909" s="19">
        <v>46101</v>
      </c>
      <c r="E909" t="s">
        <v>159</v>
      </c>
      <c r="F909" t="s">
        <v>33</v>
      </c>
      <c r="G909" t="e">
        <f>VLOOKUP($A909,'CA-US List'!$A:$C,3,0)</f>
        <v>#N/A</v>
      </c>
      <c r="H909" t="s">
        <v>9</v>
      </c>
    </row>
    <row r="910" spans="1:8" x14ac:dyDescent="0.25">
      <c r="A910">
        <v>64958127</v>
      </c>
      <c r="B910">
        <v>2904</v>
      </c>
      <c r="C910">
        <v>6105</v>
      </c>
      <c r="D910" s="19">
        <v>46102</v>
      </c>
      <c r="E910" t="s">
        <v>159</v>
      </c>
      <c r="F910" t="s">
        <v>33</v>
      </c>
      <c r="G910" t="e">
        <f>VLOOKUP($A910,'CA-US List'!$A:$C,3,0)</f>
        <v>#N/A</v>
      </c>
      <c r="H910" t="s">
        <v>9</v>
      </c>
    </row>
    <row r="911" spans="1:8" x14ac:dyDescent="0.25">
      <c r="A911">
        <v>64958127</v>
      </c>
      <c r="B911">
        <v>2904</v>
      </c>
      <c r="C911">
        <v>10725</v>
      </c>
      <c r="D911" s="19">
        <v>46102</v>
      </c>
      <c r="E911" t="s">
        <v>159</v>
      </c>
      <c r="F911" t="s">
        <v>33</v>
      </c>
      <c r="G911" t="e">
        <f>VLOOKUP($A911,'CA-US List'!$A:$C,3,0)</f>
        <v>#N/A</v>
      </c>
      <c r="H911" t="s">
        <v>9</v>
      </c>
    </row>
    <row r="912" spans="1:8" x14ac:dyDescent="0.25">
      <c r="A912">
        <v>64958127</v>
      </c>
      <c r="B912">
        <v>2904</v>
      </c>
      <c r="C912">
        <v>9239</v>
      </c>
      <c r="D912" s="19">
        <v>46103</v>
      </c>
      <c r="E912" t="s">
        <v>159</v>
      </c>
      <c r="F912" t="s">
        <v>33</v>
      </c>
      <c r="G912" t="e">
        <f>VLOOKUP($A912,'CA-US List'!$A:$C,3,0)</f>
        <v>#N/A</v>
      </c>
      <c r="H912" t="s">
        <v>9</v>
      </c>
    </row>
    <row r="913" spans="1:8" x14ac:dyDescent="0.25">
      <c r="A913">
        <v>64958127</v>
      </c>
      <c r="B913">
        <v>2904</v>
      </c>
      <c r="C913">
        <v>9570</v>
      </c>
      <c r="D913" s="19">
        <v>46103</v>
      </c>
      <c r="E913" t="s">
        <v>159</v>
      </c>
      <c r="F913" t="s">
        <v>33</v>
      </c>
      <c r="G913" t="e">
        <f>VLOOKUP($A913,'CA-US List'!$A:$C,3,0)</f>
        <v>#N/A</v>
      </c>
      <c r="H913" t="s">
        <v>9</v>
      </c>
    </row>
    <row r="914" spans="1:8" x14ac:dyDescent="0.25">
      <c r="A914">
        <v>64958127</v>
      </c>
      <c r="B914">
        <v>2904</v>
      </c>
      <c r="C914">
        <v>155</v>
      </c>
      <c r="D914" s="19">
        <v>46104</v>
      </c>
      <c r="E914" t="s">
        <v>159</v>
      </c>
      <c r="F914" t="s">
        <v>33</v>
      </c>
      <c r="G914" t="e">
        <f>VLOOKUP($A914,'CA-US List'!$A:$C,3,0)</f>
        <v>#N/A</v>
      </c>
      <c r="H914" t="s">
        <v>9</v>
      </c>
    </row>
    <row r="915" spans="1:8" x14ac:dyDescent="0.25">
      <c r="A915">
        <v>64958127</v>
      </c>
      <c r="B915">
        <v>2904</v>
      </c>
      <c r="C915">
        <v>7053</v>
      </c>
      <c r="D915" s="19">
        <v>46098</v>
      </c>
      <c r="E915" t="s">
        <v>159</v>
      </c>
      <c r="F915" t="s">
        <v>33</v>
      </c>
      <c r="G915" t="e">
        <f>VLOOKUP($A915,'CA-US List'!$A:$C,3,0)</f>
        <v>#N/A</v>
      </c>
      <c r="H915" t="s">
        <v>9</v>
      </c>
    </row>
    <row r="916" spans="1:8" x14ac:dyDescent="0.25">
      <c r="A916">
        <v>64958127</v>
      </c>
      <c r="B916">
        <v>2904</v>
      </c>
      <c r="C916">
        <v>8085</v>
      </c>
      <c r="D916" s="19">
        <v>46099</v>
      </c>
      <c r="E916" t="s">
        <v>159</v>
      </c>
      <c r="F916" t="s">
        <v>33</v>
      </c>
      <c r="G916" t="e">
        <f>VLOOKUP($A916,'CA-US List'!$A:$C,3,0)</f>
        <v>#N/A</v>
      </c>
      <c r="H916" t="s">
        <v>9</v>
      </c>
    </row>
    <row r="917" spans="1:8" x14ac:dyDescent="0.25">
      <c r="A917">
        <v>64958128</v>
      </c>
      <c r="B917">
        <v>2904</v>
      </c>
      <c r="C917">
        <v>165</v>
      </c>
      <c r="D917" s="19">
        <v>46077</v>
      </c>
      <c r="E917" t="s">
        <v>64</v>
      </c>
      <c r="F917" t="s">
        <v>33</v>
      </c>
      <c r="G917" t="e">
        <f>VLOOKUP($A917,'CA-US List'!$A:$C,3,0)</f>
        <v>#N/A</v>
      </c>
      <c r="H917" t="s">
        <v>9</v>
      </c>
    </row>
    <row r="918" spans="1:8" x14ac:dyDescent="0.25">
      <c r="A918">
        <v>64958128</v>
      </c>
      <c r="B918">
        <v>2904</v>
      </c>
      <c r="C918">
        <v>585</v>
      </c>
      <c r="D918" s="19">
        <v>46084</v>
      </c>
      <c r="E918" t="s">
        <v>64</v>
      </c>
      <c r="F918" t="s">
        <v>33</v>
      </c>
      <c r="G918" t="e">
        <f>VLOOKUP($A918,'CA-US List'!$A:$C,3,0)</f>
        <v>#N/A</v>
      </c>
      <c r="H918" t="s">
        <v>9</v>
      </c>
    </row>
    <row r="919" spans="1:8" x14ac:dyDescent="0.25">
      <c r="A919">
        <v>64958128</v>
      </c>
      <c r="B919">
        <v>2904</v>
      </c>
      <c r="C919">
        <v>8580</v>
      </c>
      <c r="D919" s="19">
        <v>46084</v>
      </c>
      <c r="E919" t="s">
        <v>64</v>
      </c>
      <c r="F919" t="s">
        <v>33</v>
      </c>
      <c r="G919" t="e">
        <f>VLOOKUP($A919,'CA-US List'!$A:$C,3,0)</f>
        <v>#N/A</v>
      </c>
      <c r="H919" t="s">
        <v>9</v>
      </c>
    </row>
    <row r="920" spans="1:8" x14ac:dyDescent="0.25">
      <c r="A920">
        <v>64958128</v>
      </c>
      <c r="B920">
        <v>2904</v>
      </c>
      <c r="C920">
        <v>9356</v>
      </c>
      <c r="D920" s="19">
        <v>46085</v>
      </c>
      <c r="E920" t="s">
        <v>64</v>
      </c>
      <c r="F920" t="s">
        <v>33</v>
      </c>
      <c r="G920" t="e">
        <f>VLOOKUP($A920,'CA-US List'!$A:$C,3,0)</f>
        <v>#N/A</v>
      </c>
      <c r="H920" t="s">
        <v>9</v>
      </c>
    </row>
    <row r="921" spans="1:8" x14ac:dyDescent="0.25">
      <c r="A921">
        <v>64958128</v>
      </c>
      <c r="B921">
        <v>2904</v>
      </c>
      <c r="C921">
        <v>8745</v>
      </c>
      <c r="D921" s="19">
        <v>46085</v>
      </c>
      <c r="E921" t="s">
        <v>64</v>
      </c>
      <c r="F921" t="s">
        <v>33</v>
      </c>
      <c r="G921" t="e">
        <f>VLOOKUP($A921,'CA-US List'!$A:$C,3,0)</f>
        <v>#N/A</v>
      </c>
      <c r="H921" t="s">
        <v>9</v>
      </c>
    </row>
    <row r="922" spans="1:8" x14ac:dyDescent="0.25">
      <c r="A922">
        <v>64958128</v>
      </c>
      <c r="B922">
        <v>2904</v>
      </c>
      <c r="C922">
        <v>8580</v>
      </c>
      <c r="D922" s="19">
        <v>46086</v>
      </c>
      <c r="E922" t="s">
        <v>64</v>
      </c>
      <c r="F922" t="s">
        <v>33</v>
      </c>
      <c r="G922" t="e">
        <f>VLOOKUP($A922,'CA-US List'!$A:$C,3,0)</f>
        <v>#N/A</v>
      </c>
      <c r="H922" t="s">
        <v>9</v>
      </c>
    </row>
    <row r="923" spans="1:8" x14ac:dyDescent="0.25">
      <c r="A923">
        <v>64958128</v>
      </c>
      <c r="B923">
        <v>2904</v>
      </c>
      <c r="C923">
        <v>7862</v>
      </c>
      <c r="D923" s="19">
        <v>46086</v>
      </c>
      <c r="E923" t="s">
        <v>64</v>
      </c>
      <c r="F923" t="s">
        <v>33</v>
      </c>
      <c r="G923" t="e">
        <f>VLOOKUP($A923,'CA-US List'!$A:$C,3,0)</f>
        <v>#N/A</v>
      </c>
      <c r="H923" t="s">
        <v>9</v>
      </c>
    </row>
    <row r="924" spans="1:8" x14ac:dyDescent="0.25">
      <c r="A924">
        <v>64958128</v>
      </c>
      <c r="B924">
        <v>2904</v>
      </c>
      <c r="C924">
        <v>9045</v>
      </c>
      <c r="D924" s="19">
        <v>46087</v>
      </c>
      <c r="E924" t="s">
        <v>64</v>
      </c>
      <c r="F924" t="s">
        <v>33</v>
      </c>
      <c r="G924" t="e">
        <f>VLOOKUP($A924,'CA-US List'!$A:$C,3,0)</f>
        <v>#N/A</v>
      </c>
      <c r="H924" t="s">
        <v>9</v>
      </c>
    </row>
    <row r="925" spans="1:8" x14ac:dyDescent="0.25">
      <c r="A925">
        <v>64958128</v>
      </c>
      <c r="B925">
        <v>2904</v>
      </c>
      <c r="C925">
        <v>1320</v>
      </c>
      <c r="D925" s="19">
        <v>46087</v>
      </c>
      <c r="E925" t="s">
        <v>64</v>
      </c>
      <c r="F925" t="s">
        <v>33</v>
      </c>
      <c r="G925" t="e">
        <f>VLOOKUP($A925,'CA-US List'!$A:$C,3,0)</f>
        <v>#N/A</v>
      </c>
      <c r="H925" t="s">
        <v>9</v>
      </c>
    </row>
    <row r="926" spans="1:8" x14ac:dyDescent="0.25">
      <c r="A926">
        <v>64958128</v>
      </c>
      <c r="B926">
        <v>2904</v>
      </c>
      <c r="C926">
        <v>9540</v>
      </c>
      <c r="D926" s="19">
        <v>46088</v>
      </c>
      <c r="E926" t="s">
        <v>64</v>
      </c>
      <c r="F926" t="s">
        <v>33</v>
      </c>
      <c r="G926" t="e">
        <f>VLOOKUP($A926,'CA-US List'!$A:$C,3,0)</f>
        <v>#N/A</v>
      </c>
      <c r="H926" t="s">
        <v>9</v>
      </c>
    </row>
    <row r="927" spans="1:8" x14ac:dyDescent="0.25">
      <c r="A927">
        <v>64958128</v>
      </c>
      <c r="B927">
        <v>2904</v>
      </c>
      <c r="C927">
        <v>10230</v>
      </c>
      <c r="D927" s="19">
        <v>46088</v>
      </c>
      <c r="E927" t="s">
        <v>64</v>
      </c>
      <c r="F927" t="s">
        <v>33</v>
      </c>
      <c r="G927" t="e">
        <f>VLOOKUP($A927,'CA-US List'!$A:$C,3,0)</f>
        <v>#N/A</v>
      </c>
      <c r="H927" t="s">
        <v>9</v>
      </c>
    </row>
    <row r="928" spans="1:8" x14ac:dyDescent="0.25">
      <c r="A928">
        <v>64958128</v>
      </c>
      <c r="B928">
        <v>2904</v>
      </c>
      <c r="C928">
        <v>9075</v>
      </c>
      <c r="D928" s="19">
        <v>46089</v>
      </c>
      <c r="E928" t="s">
        <v>64</v>
      </c>
      <c r="F928" t="s">
        <v>33</v>
      </c>
      <c r="G928" t="e">
        <f>VLOOKUP($A928,'CA-US List'!$A:$C,3,0)</f>
        <v>#N/A</v>
      </c>
      <c r="H928" t="s">
        <v>9</v>
      </c>
    </row>
    <row r="929" spans="1:8" x14ac:dyDescent="0.25">
      <c r="A929">
        <v>64958128</v>
      </c>
      <c r="B929">
        <v>2904</v>
      </c>
      <c r="C929">
        <v>7229</v>
      </c>
      <c r="D929" s="19">
        <v>46089</v>
      </c>
      <c r="E929" t="s">
        <v>64</v>
      </c>
      <c r="F929" t="s">
        <v>33</v>
      </c>
      <c r="G929" t="e">
        <f>VLOOKUP($A929,'CA-US List'!$A:$C,3,0)</f>
        <v>#N/A</v>
      </c>
      <c r="H929" t="s">
        <v>9</v>
      </c>
    </row>
    <row r="930" spans="1:8" x14ac:dyDescent="0.25">
      <c r="A930">
        <v>64958128</v>
      </c>
      <c r="B930">
        <v>2904</v>
      </c>
      <c r="C930">
        <v>207</v>
      </c>
      <c r="D930" s="19">
        <v>46090</v>
      </c>
      <c r="E930" t="s">
        <v>64</v>
      </c>
      <c r="F930" t="s">
        <v>33</v>
      </c>
      <c r="G930" t="e">
        <f>VLOOKUP($A930,'CA-US List'!$A:$C,3,0)</f>
        <v>#N/A</v>
      </c>
      <c r="H930" t="s">
        <v>9</v>
      </c>
    </row>
    <row r="931" spans="1:8" x14ac:dyDescent="0.25">
      <c r="A931">
        <v>64976837</v>
      </c>
      <c r="B931">
        <v>2904</v>
      </c>
      <c r="C931">
        <v>2475</v>
      </c>
      <c r="D931" s="19">
        <v>46081</v>
      </c>
      <c r="E931" t="s">
        <v>312</v>
      </c>
      <c r="F931" t="s">
        <v>33</v>
      </c>
      <c r="G931" t="e">
        <f>VLOOKUP($A931,'CA-US List'!$A:$C,3,0)</f>
        <v>#N/A</v>
      </c>
      <c r="H931" t="s">
        <v>9</v>
      </c>
    </row>
    <row r="932" spans="1:8" x14ac:dyDescent="0.25">
      <c r="A932">
        <v>64976837</v>
      </c>
      <c r="B932">
        <v>2904</v>
      </c>
      <c r="C932">
        <v>2101</v>
      </c>
      <c r="D932" s="19">
        <v>46082</v>
      </c>
      <c r="E932" t="s">
        <v>312</v>
      </c>
      <c r="F932" t="s">
        <v>33</v>
      </c>
      <c r="G932" t="e">
        <f>VLOOKUP($A932,'CA-US List'!$A:$C,3,0)</f>
        <v>#N/A</v>
      </c>
      <c r="H932" t="s">
        <v>9</v>
      </c>
    </row>
    <row r="933" spans="1:8" x14ac:dyDescent="0.25">
      <c r="A933">
        <v>64976837</v>
      </c>
      <c r="B933">
        <v>2904</v>
      </c>
      <c r="C933">
        <v>6248</v>
      </c>
      <c r="D933" s="19">
        <v>46082</v>
      </c>
      <c r="E933" t="s">
        <v>312</v>
      </c>
      <c r="F933" t="s">
        <v>33</v>
      </c>
      <c r="G933" t="e">
        <f>VLOOKUP($A933,'CA-US List'!$A:$C,3,0)</f>
        <v>#N/A</v>
      </c>
      <c r="H933" t="s">
        <v>9</v>
      </c>
    </row>
    <row r="934" spans="1:8" x14ac:dyDescent="0.25">
      <c r="A934">
        <v>64976837</v>
      </c>
      <c r="B934">
        <v>2904</v>
      </c>
      <c r="C934">
        <v>5115</v>
      </c>
      <c r="D934" s="19">
        <v>46083</v>
      </c>
      <c r="E934" t="s">
        <v>312</v>
      </c>
      <c r="F934" t="s">
        <v>33</v>
      </c>
      <c r="G934" t="e">
        <f>VLOOKUP($A934,'CA-US List'!$A:$C,3,0)</f>
        <v>#N/A</v>
      </c>
      <c r="H934" t="s">
        <v>9</v>
      </c>
    </row>
    <row r="935" spans="1:8" x14ac:dyDescent="0.25">
      <c r="A935">
        <v>64976837</v>
      </c>
      <c r="B935">
        <v>2904</v>
      </c>
      <c r="C935">
        <v>1819</v>
      </c>
      <c r="D935" s="19">
        <v>46083</v>
      </c>
      <c r="E935" t="s">
        <v>312</v>
      </c>
      <c r="F935" t="s">
        <v>33</v>
      </c>
      <c r="G935" t="e">
        <f>VLOOKUP($A935,'CA-US List'!$A:$C,3,0)</f>
        <v>#N/A</v>
      </c>
      <c r="H935" t="s">
        <v>9</v>
      </c>
    </row>
    <row r="936" spans="1:8" x14ac:dyDescent="0.25">
      <c r="A936">
        <v>64976848</v>
      </c>
      <c r="B936">
        <v>2904</v>
      </c>
      <c r="C936">
        <v>150</v>
      </c>
      <c r="D936" s="19">
        <v>46078</v>
      </c>
      <c r="E936" t="s">
        <v>307</v>
      </c>
      <c r="F936" t="s">
        <v>37</v>
      </c>
      <c r="G936" t="e">
        <f>VLOOKUP($A936,'CA-US List'!$A:$C,3,0)</f>
        <v>#N/A</v>
      </c>
      <c r="H936" t="s">
        <v>9</v>
      </c>
    </row>
    <row r="937" spans="1:8" x14ac:dyDescent="0.25">
      <c r="A937">
        <v>64976849</v>
      </c>
      <c r="B937">
        <v>2904</v>
      </c>
      <c r="C937">
        <v>495</v>
      </c>
      <c r="D937" s="19">
        <v>46077</v>
      </c>
      <c r="E937" t="s">
        <v>907</v>
      </c>
      <c r="F937" t="s">
        <v>33</v>
      </c>
      <c r="G937" t="e">
        <f>VLOOKUP($A937,'CA-US List'!$A:$C,3,0)</f>
        <v>#N/A</v>
      </c>
      <c r="H937" t="s">
        <v>9</v>
      </c>
    </row>
    <row r="938" spans="1:8" x14ac:dyDescent="0.25">
      <c r="A938">
        <v>64976849</v>
      </c>
      <c r="B938">
        <v>2904</v>
      </c>
      <c r="C938">
        <v>1425</v>
      </c>
      <c r="D938" s="19">
        <v>46078</v>
      </c>
      <c r="E938" t="s">
        <v>907</v>
      </c>
      <c r="F938" t="s">
        <v>33</v>
      </c>
      <c r="G938" t="e">
        <f>VLOOKUP($A938,'CA-US List'!$A:$C,3,0)</f>
        <v>#N/A</v>
      </c>
      <c r="H938" t="s">
        <v>9</v>
      </c>
    </row>
    <row r="939" spans="1:8" x14ac:dyDescent="0.25">
      <c r="A939">
        <v>64976849</v>
      </c>
      <c r="B939">
        <v>2904</v>
      </c>
      <c r="C939">
        <v>4708</v>
      </c>
      <c r="D939" s="19">
        <v>46078</v>
      </c>
      <c r="E939" t="s">
        <v>907</v>
      </c>
      <c r="F939" t="s">
        <v>33</v>
      </c>
      <c r="G939" t="e">
        <f>VLOOKUP($A939,'CA-US List'!$A:$C,3,0)</f>
        <v>#N/A</v>
      </c>
      <c r="H939" t="s">
        <v>9</v>
      </c>
    </row>
    <row r="940" spans="1:8" x14ac:dyDescent="0.25">
      <c r="A940">
        <v>64976849</v>
      </c>
      <c r="B940">
        <v>2904</v>
      </c>
      <c r="C940">
        <v>5260</v>
      </c>
      <c r="D940" s="19">
        <v>46079</v>
      </c>
      <c r="E940" t="s">
        <v>907</v>
      </c>
      <c r="F940" t="s">
        <v>33</v>
      </c>
      <c r="G940" t="e">
        <f>VLOOKUP($A940,'CA-US List'!$A:$C,3,0)</f>
        <v>#N/A</v>
      </c>
      <c r="H940" t="s">
        <v>9</v>
      </c>
    </row>
    <row r="941" spans="1:8" x14ac:dyDescent="0.25">
      <c r="A941">
        <v>64976849</v>
      </c>
      <c r="B941">
        <v>2904</v>
      </c>
      <c r="C941">
        <v>2708</v>
      </c>
      <c r="D941" s="19">
        <v>46079</v>
      </c>
      <c r="E941" t="s">
        <v>907</v>
      </c>
      <c r="F941" t="s">
        <v>33</v>
      </c>
      <c r="G941" t="e">
        <f>VLOOKUP($A941,'CA-US List'!$A:$C,3,0)</f>
        <v>#N/A</v>
      </c>
      <c r="H941" t="s">
        <v>9</v>
      </c>
    </row>
    <row r="942" spans="1:8" x14ac:dyDescent="0.25">
      <c r="A942">
        <v>64976849</v>
      </c>
      <c r="B942">
        <v>2904</v>
      </c>
      <c r="C942">
        <v>6930</v>
      </c>
      <c r="D942" s="19">
        <v>46080</v>
      </c>
      <c r="E942" t="s">
        <v>907</v>
      </c>
      <c r="F942" t="s">
        <v>33</v>
      </c>
      <c r="G942" t="e">
        <f>VLOOKUP($A942,'CA-US List'!$A:$C,3,0)</f>
        <v>#N/A</v>
      </c>
      <c r="H942" t="s">
        <v>9</v>
      </c>
    </row>
    <row r="943" spans="1:8" x14ac:dyDescent="0.25">
      <c r="A943">
        <v>64976849</v>
      </c>
      <c r="B943">
        <v>2904</v>
      </c>
      <c r="C943">
        <v>2083</v>
      </c>
      <c r="D943" s="19">
        <v>46080</v>
      </c>
      <c r="E943" t="s">
        <v>907</v>
      </c>
      <c r="F943" t="s">
        <v>33</v>
      </c>
      <c r="G943" t="e">
        <f>VLOOKUP($A943,'CA-US List'!$A:$C,3,0)</f>
        <v>#N/A</v>
      </c>
      <c r="H943" t="s">
        <v>9</v>
      </c>
    </row>
    <row r="944" spans="1:8" x14ac:dyDescent="0.25">
      <c r="A944">
        <v>64976851</v>
      </c>
      <c r="B944">
        <v>2904</v>
      </c>
      <c r="C944">
        <v>2805</v>
      </c>
      <c r="D944" s="19">
        <v>46104</v>
      </c>
      <c r="E944" t="s">
        <v>339</v>
      </c>
      <c r="F944" t="s">
        <v>33</v>
      </c>
      <c r="G944" t="e">
        <f>VLOOKUP($A944,'CA-US List'!$A:$C,3,0)</f>
        <v>#N/A</v>
      </c>
      <c r="H944" t="s">
        <v>9</v>
      </c>
    </row>
    <row r="945" spans="1:8" x14ac:dyDescent="0.25">
      <c r="A945">
        <v>64976851</v>
      </c>
      <c r="B945">
        <v>2904</v>
      </c>
      <c r="C945">
        <v>3436</v>
      </c>
      <c r="D945" s="19">
        <v>46105</v>
      </c>
      <c r="E945" t="s">
        <v>339</v>
      </c>
      <c r="F945" t="s">
        <v>33</v>
      </c>
      <c r="G945" t="e">
        <f>VLOOKUP($A945,'CA-US List'!$A:$C,3,0)</f>
        <v>#N/A</v>
      </c>
      <c r="H945" t="s">
        <v>9</v>
      </c>
    </row>
    <row r="946" spans="1:8" x14ac:dyDescent="0.25">
      <c r="A946">
        <v>64976851</v>
      </c>
      <c r="B946">
        <v>2904</v>
      </c>
      <c r="C946">
        <v>5558</v>
      </c>
      <c r="D946" s="19">
        <v>46105</v>
      </c>
      <c r="E946" t="s">
        <v>339</v>
      </c>
      <c r="F946" t="s">
        <v>33</v>
      </c>
      <c r="G946" t="e">
        <f>VLOOKUP($A946,'CA-US List'!$A:$C,3,0)</f>
        <v>#N/A</v>
      </c>
      <c r="H946" t="s">
        <v>9</v>
      </c>
    </row>
    <row r="947" spans="1:8" x14ac:dyDescent="0.25">
      <c r="A947">
        <v>64979407</v>
      </c>
      <c r="B947">
        <v>2904</v>
      </c>
      <c r="C947">
        <v>1325</v>
      </c>
      <c r="D947" s="19">
        <v>46079</v>
      </c>
      <c r="E947" t="s">
        <v>36</v>
      </c>
      <c r="F947" t="s">
        <v>37</v>
      </c>
      <c r="G947" t="e">
        <f>VLOOKUP($A947,'CA-US List'!$A:$C,3,0)</f>
        <v>#N/A</v>
      </c>
      <c r="H947" t="s">
        <v>9</v>
      </c>
    </row>
    <row r="948" spans="1:8" x14ac:dyDescent="0.25">
      <c r="A948">
        <v>64979407</v>
      </c>
      <c r="B948">
        <v>2904</v>
      </c>
      <c r="C948">
        <v>4004</v>
      </c>
      <c r="D948" s="19">
        <v>46080</v>
      </c>
      <c r="E948" t="s">
        <v>36</v>
      </c>
      <c r="F948" t="s">
        <v>37</v>
      </c>
      <c r="G948" t="e">
        <f>VLOOKUP($A948,'CA-US List'!$A:$C,3,0)</f>
        <v>#N/A</v>
      </c>
      <c r="H948" t="s">
        <v>9</v>
      </c>
    </row>
    <row r="949" spans="1:8" x14ac:dyDescent="0.25">
      <c r="A949">
        <v>64979407</v>
      </c>
      <c r="B949">
        <v>2904</v>
      </c>
      <c r="C949">
        <v>5148</v>
      </c>
      <c r="D949" s="19">
        <v>46077</v>
      </c>
      <c r="E949" t="s">
        <v>36</v>
      </c>
      <c r="F949" t="s">
        <v>37</v>
      </c>
      <c r="G949" t="e">
        <f>VLOOKUP($A949,'CA-US List'!$A:$C,3,0)</f>
        <v>#N/A</v>
      </c>
      <c r="H949" t="s">
        <v>9</v>
      </c>
    </row>
    <row r="950" spans="1:8" x14ac:dyDescent="0.25">
      <c r="A950">
        <v>64979407</v>
      </c>
      <c r="B950">
        <v>2904</v>
      </c>
      <c r="C950">
        <v>4121</v>
      </c>
      <c r="D950" s="19">
        <v>46078</v>
      </c>
      <c r="E950" t="s">
        <v>36</v>
      </c>
      <c r="F950" t="s">
        <v>37</v>
      </c>
      <c r="G950" t="e">
        <f>VLOOKUP($A950,'CA-US List'!$A:$C,3,0)</f>
        <v>#N/A</v>
      </c>
      <c r="H950" t="s">
        <v>9</v>
      </c>
    </row>
    <row r="951" spans="1:8" x14ac:dyDescent="0.25">
      <c r="A951">
        <v>64979407</v>
      </c>
      <c r="B951">
        <v>2904</v>
      </c>
      <c r="C951">
        <v>715</v>
      </c>
      <c r="D951" s="19">
        <v>46077</v>
      </c>
      <c r="E951" t="s">
        <v>36</v>
      </c>
      <c r="F951" t="s">
        <v>37</v>
      </c>
      <c r="G951" t="e">
        <f>VLOOKUP($A951,'CA-US List'!$A:$C,3,0)</f>
        <v>#N/A</v>
      </c>
      <c r="H951" t="s">
        <v>9</v>
      </c>
    </row>
    <row r="952" spans="1:8" x14ac:dyDescent="0.25">
      <c r="A952">
        <v>64979407</v>
      </c>
      <c r="B952">
        <v>2904</v>
      </c>
      <c r="C952">
        <v>3861</v>
      </c>
      <c r="D952" s="19">
        <v>46080</v>
      </c>
      <c r="E952" t="s">
        <v>36</v>
      </c>
      <c r="F952" t="s">
        <v>37</v>
      </c>
      <c r="G952" t="e">
        <f>VLOOKUP($A952,'CA-US List'!$A:$C,3,0)</f>
        <v>#N/A</v>
      </c>
      <c r="H952" t="s">
        <v>9</v>
      </c>
    </row>
    <row r="953" spans="1:8" x14ac:dyDescent="0.25">
      <c r="A953">
        <v>64979407</v>
      </c>
      <c r="B953">
        <v>2904</v>
      </c>
      <c r="C953">
        <v>5005</v>
      </c>
      <c r="D953" s="19">
        <v>46081</v>
      </c>
      <c r="E953" t="s">
        <v>36</v>
      </c>
      <c r="F953" t="s">
        <v>37</v>
      </c>
      <c r="G953" t="e">
        <f>VLOOKUP($A953,'CA-US List'!$A:$C,3,0)</f>
        <v>#N/A</v>
      </c>
      <c r="H953" t="s">
        <v>9</v>
      </c>
    </row>
    <row r="954" spans="1:8" x14ac:dyDescent="0.25">
      <c r="A954">
        <v>64979407</v>
      </c>
      <c r="B954">
        <v>2904</v>
      </c>
      <c r="C954">
        <v>4433</v>
      </c>
      <c r="D954" s="19">
        <v>46078</v>
      </c>
      <c r="E954" t="s">
        <v>36</v>
      </c>
      <c r="F954" t="s">
        <v>37</v>
      </c>
      <c r="G954" t="e">
        <f>VLOOKUP($A954,'CA-US List'!$A:$C,3,0)</f>
        <v>#N/A</v>
      </c>
      <c r="H954" t="s">
        <v>9</v>
      </c>
    </row>
    <row r="955" spans="1:8" x14ac:dyDescent="0.25">
      <c r="A955">
        <v>64979407</v>
      </c>
      <c r="B955">
        <v>2904</v>
      </c>
      <c r="C955">
        <v>4240</v>
      </c>
      <c r="D955" s="19">
        <v>46079</v>
      </c>
      <c r="E955" t="s">
        <v>36</v>
      </c>
      <c r="F955" t="s">
        <v>37</v>
      </c>
      <c r="G955" t="e">
        <f>VLOOKUP($A955,'CA-US List'!$A:$C,3,0)</f>
        <v>#N/A</v>
      </c>
      <c r="H955" t="s">
        <v>9</v>
      </c>
    </row>
    <row r="956" spans="1:8" x14ac:dyDescent="0.25">
      <c r="A956">
        <v>64979407</v>
      </c>
      <c r="B956">
        <v>2904</v>
      </c>
      <c r="C956">
        <v>6435</v>
      </c>
      <c r="D956" s="19">
        <v>46081</v>
      </c>
      <c r="E956" t="s">
        <v>36</v>
      </c>
      <c r="F956" t="s">
        <v>37</v>
      </c>
      <c r="G956" t="e">
        <f>VLOOKUP($A956,'CA-US List'!$A:$C,3,0)</f>
        <v>#N/A</v>
      </c>
      <c r="H956" t="s">
        <v>9</v>
      </c>
    </row>
    <row r="957" spans="1:8" x14ac:dyDescent="0.25">
      <c r="A957">
        <v>64979407</v>
      </c>
      <c r="B957">
        <v>2904</v>
      </c>
      <c r="C957">
        <v>1056</v>
      </c>
      <c r="D957" s="19">
        <v>46082</v>
      </c>
      <c r="E957" t="s">
        <v>36</v>
      </c>
      <c r="F957" t="s">
        <v>37</v>
      </c>
      <c r="G957" t="e">
        <f>VLOOKUP($A957,'CA-US List'!$A:$C,3,0)</f>
        <v>#N/A</v>
      </c>
      <c r="H957" t="s">
        <v>9</v>
      </c>
    </row>
    <row r="958" spans="1:8" x14ac:dyDescent="0.25">
      <c r="A958">
        <v>64979407</v>
      </c>
      <c r="B958">
        <v>2904</v>
      </c>
      <c r="C958">
        <v>286</v>
      </c>
      <c r="D958" s="19">
        <v>46083</v>
      </c>
      <c r="E958" t="s">
        <v>36</v>
      </c>
      <c r="F958" t="s">
        <v>37</v>
      </c>
      <c r="G958" t="e">
        <f>VLOOKUP($A958,'CA-US List'!$A:$C,3,0)</f>
        <v>#N/A</v>
      </c>
      <c r="H958" t="s">
        <v>9</v>
      </c>
    </row>
    <row r="959" spans="1:8" x14ac:dyDescent="0.25">
      <c r="A959">
        <v>64984152</v>
      </c>
      <c r="B959">
        <v>2904</v>
      </c>
      <c r="C959">
        <v>-6</v>
      </c>
      <c r="D959" s="19">
        <v>46094</v>
      </c>
      <c r="E959" t="s">
        <v>620</v>
      </c>
      <c r="F959" t="s">
        <v>46</v>
      </c>
      <c r="G959" t="e">
        <f>VLOOKUP($A959,'CA-US List'!$A:$C,3,0)</f>
        <v>#N/A</v>
      </c>
      <c r="H959" t="s">
        <v>9</v>
      </c>
    </row>
    <row r="960" spans="1:8" x14ac:dyDescent="0.25">
      <c r="A960">
        <v>64986251</v>
      </c>
      <c r="B960">
        <v>2904</v>
      </c>
      <c r="C960">
        <v>-120</v>
      </c>
      <c r="D960" s="19">
        <v>46078</v>
      </c>
      <c r="E960" t="s">
        <v>913</v>
      </c>
      <c r="F960" t="s">
        <v>46</v>
      </c>
      <c r="G960" t="e">
        <f>VLOOKUP($A960,'CA-US List'!$A:$C,3,0)</f>
        <v>#N/A</v>
      </c>
      <c r="H960" t="s">
        <v>9</v>
      </c>
    </row>
    <row r="961" spans="1:8" x14ac:dyDescent="0.25">
      <c r="A961">
        <v>64986251</v>
      </c>
      <c r="B961">
        <v>2904</v>
      </c>
      <c r="C961">
        <v>3118</v>
      </c>
      <c r="D961" s="19">
        <v>46083</v>
      </c>
      <c r="E961" t="s">
        <v>913</v>
      </c>
      <c r="F961" t="s">
        <v>46</v>
      </c>
      <c r="G961" t="e">
        <f>VLOOKUP($A961,'CA-US List'!$A:$C,3,0)</f>
        <v>#N/A</v>
      </c>
      <c r="H961" t="s">
        <v>9</v>
      </c>
    </row>
    <row r="962" spans="1:8" x14ac:dyDescent="0.25">
      <c r="A962">
        <v>64986251</v>
      </c>
      <c r="B962">
        <v>2904</v>
      </c>
      <c r="C962">
        <v>9425</v>
      </c>
      <c r="D962" s="19">
        <v>46084</v>
      </c>
      <c r="E962" t="s">
        <v>913</v>
      </c>
      <c r="F962" t="s">
        <v>46</v>
      </c>
      <c r="G962" t="e">
        <f>VLOOKUP($A962,'CA-US List'!$A:$C,3,0)</f>
        <v>#N/A</v>
      </c>
      <c r="H962" t="s">
        <v>9</v>
      </c>
    </row>
    <row r="963" spans="1:8" x14ac:dyDescent="0.25">
      <c r="A963">
        <v>64986251</v>
      </c>
      <c r="B963">
        <v>2904</v>
      </c>
      <c r="C963">
        <v>8258</v>
      </c>
      <c r="D963" s="19">
        <v>46084</v>
      </c>
      <c r="E963" t="s">
        <v>913</v>
      </c>
      <c r="F963" t="s">
        <v>46</v>
      </c>
      <c r="G963" t="e">
        <f>VLOOKUP($A963,'CA-US List'!$A:$C,3,0)</f>
        <v>#N/A</v>
      </c>
      <c r="H963" t="s">
        <v>9</v>
      </c>
    </row>
    <row r="964" spans="1:8" x14ac:dyDescent="0.25">
      <c r="A964">
        <v>64986251</v>
      </c>
      <c r="B964">
        <v>2904</v>
      </c>
      <c r="C964">
        <v>10457</v>
      </c>
      <c r="D964" s="19">
        <v>46085</v>
      </c>
      <c r="E964" t="s">
        <v>913</v>
      </c>
      <c r="F964" t="s">
        <v>46</v>
      </c>
      <c r="G964" t="e">
        <f>VLOOKUP($A964,'CA-US List'!$A:$C,3,0)</f>
        <v>#N/A</v>
      </c>
      <c r="H964" t="s">
        <v>9</v>
      </c>
    </row>
    <row r="965" spans="1:8" x14ac:dyDescent="0.25">
      <c r="A965">
        <v>64986251</v>
      </c>
      <c r="B965">
        <v>2904</v>
      </c>
      <c r="C965">
        <v>-15</v>
      </c>
      <c r="D965" s="19">
        <v>46094</v>
      </c>
      <c r="E965" t="s">
        <v>913</v>
      </c>
      <c r="F965" t="s">
        <v>46</v>
      </c>
      <c r="G965" t="e">
        <f>VLOOKUP($A965,'CA-US List'!$A:$C,3,0)</f>
        <v>#N/A</v>
      </c>
      <c r="H965" t="s">
        <v>9</v>
      </c>
    </row>
    <row r="966" spans="1:8" x14ac:dyDescent="0.25">
      <c r="A966">
        <v>64986251</v>
      </c>
      <c r="B966">
        <v>2904</v>
      </c>
      <c r="C966">
        <v>6433</v>
      </c>
      <c r="D966" s="19">
        <v>46085</v>
      </c>
      <c r="E966" t="s">
        <v>913</v>
      </c>
      <c r="F966" t="s">
        <v>46</v>
      </c>
      <c r="G966" t="e">
        <f>VLOOKUP($A966,'CA-US List'!$A:$C,3,0)</f>
        <v>#N/A</v>
      </c>
      <c r="H966" t="s">
        <v>9</v>
      </c>
    </row>
    <row r="967" spans="1:8" x14ac:dyDescent="0.25">
      <c r="A967">
        <v>64986251</v>
      </c>
      <c r="B967">
        <v>2904</v>
      </c>
      <c r="C967">
        <v>240</v>
      </c>
      <c r="D967" s="19">
        <v>46086</v>
      </c>
      <c r="E967" t="s">
        <v>913</v>
      </c>
      <c r="F967" t="s">
        <v>46</v>
      </c>
      <c r="G967" t="e">
        <f>VLOOKUP($A967,'CA-US List'!$A:$C,3,0)</f>
        <v>#N/A</v>
      </c>
      <c r="H967" t="s">
        <v>9</v>
      </c>
    </row>
    <row r="968" spans="1:8" x14ac:dyDescent="0.25">
      <c r="A968">
        <v>64988055</v>
      </c>
      <c r="B968">
        <v>2904</v>
      </c>
      <c r="C968">
        <v>3965</v>
      </c>
      <c r="D968" s="19">
        <v>46103</v>
      </c>
      <c r="E968" t="s">
        <v>138</v>
      </c>
      <c r="F968" t="s">
        <v>17</v>
      </c>
      <c r="G968" t="e">
        <f>VLOOKUP($A968,'CA-US List'!$A:$C,3,0)</f>
        <v>#N/A</v>
      </c>
      <c r="H968" t="s">
        <v>9</v>
      </c>
    </row>
    <row r="969" spans="1:8" x14ac:dyDescent="0.25">
      <c r="A969">
        <v>64988055</v>
      </c>
      <c r="B969">
        <v>2904</v>
      </c>
      <c r="C969">
        <v>4333</v>
      </c>
      <c r="D969" s="19">
        <v>46103</v>
      </c>
      <c r="E969" t="s">
        <v>138</v>
      </c>
      <c r="F969" t="s">
        <v>17</v>
      </c>
      <c r="G969" t="e">
        <f>VLOOKUP($A969,'CA-US List'!$A:$C,3,0)</f>
        <v>#N/A</v>
      </c>
      <c r="H969" t="s">
        <v>9</v>
      </c>
    </row>
    <row r="970" spans="1:8" x14ac:dyDescent="0.25">
      <c r="A970">
        <v>64988055</v>
      </c>
      <c r="B970">
        <v>2904</v>
      </c>
      <c r="C970">
        <v>4290</v>
      </c>
      <c r="D970" s="19">
        <v>46104</v>
      </c>
      <c r="E970" t="s">
        <v>138</v>
      </c>
      <c r="F970" t="s">
        <v>17</v>
      </c>
      <c r="G970" t="e">
        <f>VLOOKUP($A970,'CA-US List'!$A:$C,3,0)</f>
        <v>#N/A</v>
      </c>
      <c r="H970" t="s">
        <v>9</v>
      </c>
    </row>
    <row r="971" spans="1:8" x14ac:dyDescent="0.25">
      <c r="A971">
        <v>64988055</v>
      </c>
      <c r="B971">
        <v>2904</v>
      </c>
      <c r="C971">
        <v>5104</v>
      </c>
      <c r="D971" s="19">
        <v>46104</v>
      </c>
      <c r="E971" t="s">
        <v>138</v>
      </c>
      <c r="F971" t="s">
        <v>17</v>
      </c>
      <c r="G971" t="e">
        <f>VLOOKUP($A971,'CA-US List'!$A:$C,3,0)</f>
        <v>#N/A</v>
      </c>
      <c r="H971" t="s">
        <v>9</v>
      </c>
    </row>
    <row r="972" spans="1:8" x14ac:dyDescent="0.25">
      <c r="A972">
        <v>64988055</v>
      </c>
      <c r="B972">
        <v>2904</v>
      </c>
      <c r="C972">
        <v>168</v>
      </c>
      <c r="D972" s="19">
        <v>46105</v>
      </c>
      <c r="E972" t="s">
        <v>138</v>
      </c>
      <c r="F972" t="s">
        <v>17</v>
      </c>
      <c r="G972" t="e">
        <f>VLOOKUP($A972,'CA-US List'!$A:$C,3,0)</f>
        <v>#N/A</v>
      </c>
      <c r="H972" t="s">
        <v>9</v>
      </c>
    </row>
    <row r="973" spans="1:8" x14ac:dyDescent="0.25">
      <c r="A973">
        <v>64988056</v>
      </c>
      <c r="B973">
        <v>2904</v>
      </c>
      <c r="C973">
        <v>5984</v>
      </c>
      <c r="D973" s="19">
        <v>46084</v>
      </c>
      <c r="E973" t="s">
        <v>20</v>
      </c>
      <c r="F973" t="s">
        <v>21</v>
      </c>
      <c r="G973" t="e">
        <f>VLOOKUP($A973,'CA-US List'!$A:$C,3,0)</f>
        <v>#N/A</v>
      </c>
      <c r="H973" t="s">
        <v>9</v>
      </c>
    </row>
    <row r="974" spans="1:8" x14ac:dyDescent="0.25">
      <c r="A974">
        <v>64988056</v>
      </c>
      <c r="B974">
        <v>2904</v>
      </c>
      <c r="C974">
        <v>6684</v>
      </c>
      <c r="D974" s="19">
        <v>46085</v>
      </c>
      <c r="E974" t="s">
        <v>20</v>
      </c>
      <c r="F974" t="s">
        <v>21</v>
      </c>
      <c r="G974" t="e">
        <f>VLOOKUP($A974,'CA-US List'!$A:$C,3,0)</f>
        <v>#N/A</v>
      </c>
      <c r="H974" t="s">
        <v>9</v>
      </c>
    </row>
    <row r="975" spans="1:8" x14ac:dyDescent="0.25">
      <c r="A975">
        <v>64988056</v>
      </c>
      <c r="B975">
        <v>2904</v>
      </c>
      <c r="C975">
        <v>2992</v>
      </c>
      <c r="D975" s="19">
        <v>46085</v>
      </c>
      <c r="E975" t="s">
        <v>20</v>
      </c>
      <c r="F975" t="s">
        <v>21</v>
      </c>
      <c r="G975" t="e">
        <f>VLOOKUP($A975,'CA-US List'!$A:$C,3,0)</f>
        <v>#N/A</v>
      </c>
      <c r="H975" t="s">
        <v>9</v>
      </c>
    </row>
    <row r="976" spans="1:8" x14ac:dyDescent="0.25">
      <c r="A976">
        <v>64988056</v>
      </c>
      <c r="B976">
        <v>2904</v>
      </c>
      <c r="C976">
        <v>6688</v>
      </c>
      <c r="D976" s="19">
        <v>46086</v>
      </c>
      <c r="E976" t="s">
        <v>20</v>
      </c>
      <c r="F976" t="s">
        <v>21</v>
      </c>
      <c r="G976" t="e">
        <f>VLOOKUP($A976,'CA-US List'!$A:$C,3,0)</f>
        <v>#N/A</v>
      </c>
      <c r="H976" t="s">
        <v>9</v>
      </c>
    </row>
    <row r="977" spans="1:8" x14ac:dyDescent="0.25">
      <c r="A977">
        <v>64988056</v>
      </c>
      <c r="B977">
        <v>2904</v>
      </c>
      <c r="C977">
        <v>1400</v>
      </c>
      <c r="D977" s="19">
        <v>46086</v>
      </c>
      <c r="E977" t="s">
        <v>20</v>
      </c>
      <c r="F977" t="s">
        <v>21</v>
      </c>
      <c r="G977" t="e">
        <f>VLOOKUP($A977,'CA-US List'!$A:$C,3,0)</f>
        <v>#N/A</v>
      </c>
      <c r="H977" t="s">
        <v>9</v>
      </c>
    </row>
    <row r="978" spans="1:8" x14ac:dyDescent="0.25">
      <c r="A978">
        <v>64988056</v>
      </c>
      <c r="B978">
        <v>2904</v>
      </c>
      <c r="C978">
        <v>3872</v>
      </c>
      <c r="D978" s="19">
        <v>46094</v>
      </c>
      <c r="E978" t="s">
        <v>20</v>
      </c>
      <c r="F978" t="s">
        <v>17</v>
      </c>
      <c r="G978" t="e">
        <f>VLOOKUP($A978,'CA-US List'!$A:$C,3,0)</f>
        <v>#N/A</v>
      </c>
      <c r="H978" t="s">
        <v>9</v>
      </c>
    </row>
    <row r="979" spans="1:8" x14ac:dyDescent="0.25">
      <c r="A979">
        <v>64988056</v>
      </c>
      <c r="B979">
        <v>2904</v>
      </c>
      <c r="C979">
        <v>6512</v>
      </c>
      <c r="D979" s="19">
        <v>46095</v>
      </c>
      <c r="E979" t="s">
        <v>20</v>
      </c>
      <c r="F979" t="s">
        <v>17</v>
      </c>
      <c r="G979" t="e">
        <f>VLOOKUP($A979,'CA-US List'!$A:$C,3,0)</f>
        <v>#N/A</v>
      </c>
      <c r="H979" t="s">
        <v>9</v>
      </c>
    </row>
    <row r="980" spans="1:8" x14ac:dyDescent="0.25">
      <c r="A980">
        <v>64988056</v>
      </c>
      <c r="B980">
        <v>2904</v>
      </c>
      <c r="C980">
        <v>704</v>
      </c>
      <c r="D980" s="19">
        <v>46097</v>
      </c>
      <c r="E980" t="s">
        <v>20</v>
      </c>
      <c r="F980" t="s">
        <v>17</v>
      </c>
      <c r="G980" t="e">
        <f>VLOOKUP($A980,'CA-US List'!$A:$C,3,0)</f>
        <v>#N/A</v>
      </c>
      <c r="H980" t="s">
        <v>9</v>
      </c>
    </row>
    <row r="981" spans="1:8" x14ac:dyDescent="0.25">
      <c r="A981">
        <v>64988056</v>
      </c>
      <c r="B981">
        <v>2904</v>
      </c>
      <c r="C981">
        <v>12406</v>
      </c>
      <c r="D981" s="19">
        <v>46097</v>
      </c>
      <c r="E981" t="s">
        <v>20</v>
      </c>
      <c r="F981" t="s">
        <v>17</v>
      </c>
      <c r="G981" t="e">
        <f>VLOOKUP($A981,'CA-US List'!$A:$C,3,0)</f>
        <v>#N/A</v>
      </c>
      <c r="H981" t="s">
        <v>9</v>
      </c>
    </row>
    <row r="982" spans="1:8" x14ac:dyDescent="0.25">
      <c r="A982">
        <v>64988056</v>
      </c>
      <c r="B982">
        <v>2904</v>
      </c>
      <c r="C982">
        <v>9047</v>
      </c>
      <c r="D982" s="19">
        <v>46097</v>
      </c>
      <c r="E982" t="s">
        <v>20</v>
      </c>
      <c r="F982" t="s">
        <v>17</v>
      </c>
      <c r="G982" t="e">
        <f>VLOOKUP($A982,'CA-US List'!$A:$C,3,0)</f>
        <v>#N/A</v>
      </c>
      <c r="H982" t="s">
        <v>9</v>
      </c>
    </row>
    <row r="983" spans="1:8" x14ac:dyDescent="0.25">
      <c r="A983">
        <v>64988056</v>
      </c>
      <c r="B983">
        <v>2904</v>
      </c>
      <c r="C983">
        <v>0</v>
      </c>
      <c r="D983" s="19">
        <v>46083</v>
      </c>
      <c r="E983" t="s">
        <v>20</v>
      </c>
      <c r="F983" t="s">
        <v>17</v>
      </c>
      <c r="G983" t="e">
        <f>VLOOKUP($A983,'CA-US List'!$A:$C,3,0)</f>
        <v>#N/A</v>
      </c>
      <c r="H983" t="s">
        <v>9</v>
      </c>
    </row>
    <row r="984" spans="1:8" x14ac:dyDescent="0.25">
      <c r="A984">
        <v>64988056</v>
      </c>
      <c r="B984">
        <v>2904</v>
      </c>
      <c r="C984">
        <v>682</v>
      </c>
      <c r="D984" s="19">
        <v>46083</v>
      </c>
      <c r="E984" t="s">
        <v>20</v>
      </c>
      <c r="F984" t="s">
        <v>21</v>
      </c>
      <c r="G984" t="e">
        <f>VLOOKUP($A984,'CA-US List'!$A:$C,3,0)</f>
        <v>#N/A</v>
      </c>
      <c r="H984" t="s">
        <v>9</v>
      </c>
    </row>
    <row r="985" spans="1:8" x14ac:dyDescent="0.25">
      <c r="A985">
        <v>64988056</v>
      </c>
      <c r="B985">
        <v>2904</v>
      </c>
      <c r="C985">
        <v>4290</v>
      </c>
      <c r="D985" s="19">
        <v>46084</v>
      </c>
      <c r="E985" t="s">
        <v>20</v>
      </c>
      <c r="F985" t="s">
        <v>21</v>
      </c>
      <c r="G985" t="e">
        <f>VLOOKUP($A985,'CA-US List'!$A:$C,3,0)</f>
        <v>#N/A</v>
      </c>
      <c r="H985" t="s">
        <v>9</v>
      </c>
    </row>
    <row r="986" spans="1:8" x14ac:dyDescent="0.25">
      <c r="A986">
        <v>64988056</v>
      </c>
      <c r="B986">
        <v>2904</v>
      </c>
      <c r="C986">
        <v>3861</v>
      </c>
      <c r="D986" s="19">
        <v>46083</v>
      </c>
      <c r="E986" t="s">
        <v>20</v>
      </c>
      <c r="F986" t="s">
        <v>21</v>
      </c>
      <c r="G986" t="e">
        <f>VLOOKUP($A986,'CA-US List'!$A:$C,3,0)</f>
        <v>#N/A</v>
      </c>
      <c r="H986" t="s">
        <v>9</v>
      </c>
    </row>
    <row r="987" spans="1:8" x14ac:dyDescent="0.25">
      <c r="A987">
        <v>64988056</v>
      </c>
      <c r="B987">
        <v>2904</v>
      </c>
      <c r="C987">
        <v>-88</v>
      </c>
      <c r="D987" s="19">
        <v>46084</v>
      </c>
      <c r="E987" t="s">
        <v>20</v>
      </c>
      <c r="F987" t="s">
        <v>21</v>
      </c>
      <c r="G987" t="e">
        <f>VLOOKUP($A987,'CA-US List'!$A:$C,3,0)</f>
        <v>#N/A</v>
      </c>
      <c r="H987" t="s">
        <v>9</v>
      </c>
    </row>
    <row r="988" spans="1:8" x14ac:dyDescent="0.25">
      <c r="A988">
        <v>64988056</v>
      </c>
      <c r="B988">
        <v>2904</v>
      </c>
      <c r="C988">
        <v>479</v>
      </c>
      <c r="D988" s="19">
        <v>46097</v>
      </c>
      <c r="E988" t="s">
        <v>20</v>
      </c>
      <c r="F988" t="s">
        <v>17</v>
      </c>
      <c r="G988" t="e">
        <f>VLOOKUP($A988,'CA-US List'!$A:$C,3,0)</f>
        <v>#N/A</v>
      </c>
      <c r="H988" t="s">
        <v>9</v>
      </c>
    </row>
    <row r="989" spans="1:8" x14ac:dyDescent="0.25">
      <c r="A989">
        <v>64988056</v>
      </c>
      <c r="B989">
        <v>2904</v>
      </c>
      <c r="C989">
        <v>704</v>
      </c>
      <c r="D989" s="19">
        <v>46098</v>
      </c>
      <c r="E989" t="s">
        <v>20</v>
      </c>
      <c r="F989" t="s">
        <v>17</v>
      </c>
      <c r="G989" t="e">
        <f>VLOOKUP($A989,'CA-US List'!$A:$C,3,0)</f>
        <v>#N/A</v>
      </c>
      <c r="H989" t="s">
        <v>9</v>
      </c>
    </row>
    <row r="990" spans="1:8" x14ac:dyDescent="0.25">
      <c r="A990">
        <v>64988056</v>
      </c>
      <c r="B990">
        <v>2904</v>
      </c>
      <c r="C990">
        <v>-704</v>
      </c>
      <c r="D990" s="19">
        <v>46101</v>
      </c>
      <c r="E990" t="s">
        <v>20</v>
      </c>
      <c r="F990" t="s">
        <v>17</v>
      </c>
      <c r="G990" t="e">
        <f>VLOOKUP($A990,'CA-US List'!$A:$C,3,0)</f>
        <v>#N/A</v>
      </c>
      <c r="H990" t="s">
        <v>9</v>
      </c>
    </row>
    <row r="991" spans="1:8" x14ac:dyDescent="0.25">
      <c r="A991">
        <v>64988927</v>
      </c>
      <c r="B991">
        <v>2904</v>
      </c>
      <c r="C991">
        <v>9456</v>
      </c>
      <c r="D991" s="19">
        <v>46076</v>
      </c>
      <c r="E991" t="s">
        <v>626</v>
      </c>
      <c r="F991" t="s">
        <v>46</v>
      </c>
      <c r="G991" t="e">
        <f>VLOOKUP($A991,'CA-US List'!$A:$C,3,0)</f>
        <v>#N/A</v>
      </c>
      <c r="H991" t="s">
        <v>9</v>
      </c>
    </row>
    <row r="992" spans="1:8" x14ac:dyDescent="0.25">
      <c r="A992">
        <v>64988927</v>
      </c>
      <c r="B992">
        <v>2904</v>
      </c>
      <c r="C992">
        <v>1761</v>
      </c>
      <c r="D992" s="19">
        <v>46077</v>
      </c>
      <c r="E992" t="s">
        <v>626</v>
      </c>
      <c r="F992" t="s">
        <v>46</v>
      </c>
      <c r="G992" t="e">
        <f>VLOOKUP($A992,'CA-US List'!$A:$C,3,0)</f>
        <v>#N/A</v>
      </c>
      <c r="H992" t="s">
        <v>9</v>
      </c>
    </row>
    <row r="993" spans="1:8" x14ac:dyDescent="0.25">
      <c r="A993">
        <v>64999042</v>
      </c>
      <c r="B993">
        <v>2904</v>
      </c>
      <c r="C993">
        <v>3360</v>
      </c>
      <c r="D993" s="19">
        <v>46076</v>
      </c>
      <c r="E993" t="s">
        <v>337</v>
      </c>
      <c r="F993" t="s">
        <v>54</v>
      </c>
      <c r="G993" t="e">
        <f>VLOOKUP($A993,'CA-US List'!$A:$C,3,0)</f>
        <v>#N/A</v>
      </c>
      <c r="H993" t="s">
        <v>9</v>
      </c>
    </row>
    <row r="994" spans="1:8" x14ac:dyDescent="0.25">
      <c r="A994">
        <v>64999042</v>
      </c>
      <c r="B994">
        <v>2904</v>
      </c>
      <c r="C994">
        <v>8396</v>
      </c>
      <c r="D994" s="19">
        <v>46077</v>
      </c>
      <c r="E994" t="s">
        <v>337</v>
      </c>
      <c r="F994" t="s">
        <v>54</v>
      </c>
      <c r="G994" t="e">
        <f>VLOOKUP($A994,'CA-US List'!$A:$C,3,0)</f>
        <v>#N/A</v>
      </c>
      <c r="H994" t="s">
        <v>9</v>
      </c>
    </row>
    <row r="995" spans="1:8" x14ac:dyDescent="0.25">
      <c r="A995">
        <v>64999042</v>
      </c>
      <c r="B995">
        <v>2904</v>
      </c>
      <c r="C995">
        <v>6048</v>
      </c>
      <c r="D995" s="19">
        <v>46077</v>
      </c>
      <c r="E995" t="s">
        <v>337</v>
      </c>
      <c r="F995" t="s">
        <v>54</v>
      </c>
      <c r="G995" t="e">
        <f>VLOOKUP($A995,'CA-US List'!$A:$C,3,0)</f>
        <v>#N/A</v>
      </c>
      <c r="H995" t="s">
        <v>9</v>
      </c>
    </row>
    <row r="996" spans="1:8" x14ac:dyDescent="0.25">
      <c r="A996">
        <v>64999042</v>
      </c>
      <c r="B996">
        <v>2904</v>
      </c>
      <c r="C996">
        <v>10018</v>
      </c>
      <c r="D996" s="19">
        <v>46078</v>
      </c>
      <c r="E996" t="s">
        <v>337</v>
      </c>
      <c r="F996" t="s">
        <v>54</v>
      </c>
      <c r="G996" t="e">
        <f>VLOOKUP($A996,'CA-US List'!$A:$C,3,0)</f>
        <v>#N/A</v>
      </c>
      <c r="H996" t="s">
        <v>9</v>
      </c>
    </row>
    <row r="997" spans="1:8" x14ac:dyDescent="0.25">
      <c r="A997">
        <v>64999042</v>
      </c>
      <c r="B997">
        <v>2904</v>
      </c>
      <c r="C997">
        <v>2401</v>
      </c>
      <c r="D997" s="19">
        <v>46078</v>
      </c>
      <c r="E997" t="s">
        <v>337</v>
      </c>
      <c r="F997" t="s">
        <v>54</v>
      </c>
      <c r="G997" t="e">
        <f>VLOOKUP($A997,'CA-US List'!$A:$C,3,0)</f>
        <v>#N/A</v>
      </c>
      <c r="H997" t="s">
        <v>9</v>
      </c>
    </row>
    <row r="998" spans="1:8" x14ac:dyDescent="0.25">
      <c r="A998">
        <v>64999042</v>
      </c>
      <c r="B998">
        <v>2904</v>
      </c>
      <c r="C998">
        <v>5121</v>
      </c>
      <c r="D998" s="19">
        <v>46079</v>
      </c>
      <c r="E998" t="s">
        <v>337</v>
      </c>
      <c r="F998" t="s">
        <v>54</v>
      </c>
      <c r="G998" t="e">
        <f>VLOOKUP($A998,'CA-US List'!$A:$C,3,0)</f>
        <v>#N/A</v>
      </c>
      <c r="H998" t="s">
        <v>9</v>
      </c>
    </row>
    <row r="999" spans="1:8" x14ac:dyDescent="0.25">
      <c r="A999">
        <v>64999042</v>
      </c>
      <c r="B999">
        <v>2904</v>
      </c>
      <c r="C999">
        <v>-15</v>
      </c>
      <c r="D999" s="19">
        <v>46100</v>
      </c>
      <c r="E999" t="s">
        <v>337</v>
      </c>
      <c r="F999" t="s">
        <v>54</v>
      </c>
      <c r="G999" t="e">
        <f>VLOOKUP($A999,'CA-US List'!$A:$C,3,0)</f>
        <v>#N/A</v>
      </c>
      <c r="H999" t="s">
        <v>9</v>
      </c>
    </row>
    <row r="1000" spans="1:8" x14ac:dyDescent="0.25">
      <c r="A1000">
        <v>64999042</v>
      </c>
      <c r="B1000">
        <v>2904</v>
      </c>
      <c r="C1000">
        <v>7890</v>
      </c>
      <c r="D1000" s="19">
        <v>46079</v>
      </c>
      <c r="E1000" t="s">
        <v>337</v>
      </c>
      <c r="F1000" t="s">
        <v>54</v>
      </c>
      <c r="G1000" t="e">
        <f>VLOOKUP($A1000,'CA-US List'!$A:$C,3,0)</f>
        <v>#N/A</v>
      </c>
      <c r="H1000" t="s">
        <v>9</v>
      </c>
    </row>
    <row r="1001" spans="1:8" x14ac:dyDescent="0.25">
      <c r="A1001">
        <v>64999042</v>
      </c>
      <c r="B1001">
        <v>2904</v>
      </c>
      <c r="C1001">
        <v>10860</v>
      </c>
      <c r="D1001" s="19">
        <v>46080</v>
      </c>
      <c r="E1001" t="s">
        <v>337</v>
      </c>
      <c r="F1001" t="s">
        <v>54</v>
      </c>
      <c r="G1001" t="e">
        <f>VLOOKUP($A1001,'CA-US List'!$A:$C,3,0)</f>
        <v>#N/A</v>
      </c>
      <c r="H1001" t="s">
        <v>9</v>
      </c>
    </row>
    <row r="1002" spans="1:8" x14ac:dyDescent="0.25">
      <c r="A1002">
        <v>64999042</v>
      </c>
      <c r="B1002">
        <v>2904</v>
      </c>
      <c r="C1002">
        <v>5416</v>
      </c>
      <c r="D1002" s="19">
        <v>46080</v>
      </c>
      <c r="E1002" t="s">
        <v>337</v>
      </c>
      <c r="F1002" t="s">
        <v>54</v>
      </c>
      <c r="G1002" t="e">
        <f>VLOOKUP($A1002,'CA-US List'!$A:$C,3,0)</f>
        <v>#N/A</v>
      </c>
      <c r="H1002" t="s">
        <v>9</v>
      </c>
    </row>
    <row r="1003" spans="1:8" x14ac:dyDescent="0.25">
      <c r="A1003">
        <v>64999042</v>
      </c>
      <c r="B1003">
        <v>2904</v>
      </c>
      <c r="C1003">
        <v>386</v>
      </c>
      <c r="D1003" s="19">
        <v>46081</v>
      </c>
      <c r="E1003" t="s">
        <v>337</v>
      </c>
      <c r="F1003" t="s">
        <v>54</v>
      </c>
      <c r="G1003" t="e">
        <f>VLOOKUP($A1003,'CA-US List'!$A:$C,3,0)</f>
        <v>#N/A</v>
      </c>
      <c r="H1003" t="s">
        <v>9</v>
      </c>
    </row>
    <row r="1004" spans="1:8" x14ac:dyDescent="0.25">
      <c r="A1004">
        <v>65242605</v>
      </c>
      <c r="B1004">
        <v>2904</v>
      </c>
      <c r="C1004">
        <v>5813</v>
      </c>
      <c r="D1004" s="19">
        <v>46093</v>
      </c>
      <c r="E1004" t="s">
        <v>915</v>
      </c>
      <c r="F1004" t="s">
        <v>27</v>
      </c>
      <c r="G1004" t="e">
        <f>VLOOKUP($A1004,'CA-US List'!$A:$C,3,0)</f>
        <v>#N/A</v>
      </c>
      <c r="H1004" t="s">
        <v>9</v>
      </c>
    </row>
    <row r="1005" spans="1:8" x14ac:dyDescent="0.25">
      <c r="A1005">
        <v>65242605</v>
      </c>
      <c r="B1005">
        <v>2904</v>
      </c>
      <c r="C1005">
        <v>5746</v>
      </c>
      <c r="D1005" s="19">
        <v>46093</v>
      </c>
      <c r="E1005" t="s">
        <v>915</v>
      </c>
      <c r="F1005" t="s">
        <v>27</v>
      </c>
      <c r="G1005" t="e">
        <f>VLOOKUP($A1005,'CA-US List'!$A:$C,3,0)</f>
        <v>#N/A</v>
      </c>
      <c r="H1005" t="s">
        <v>9</v>
      </c>
    </row>
    <row r="1006" spans="1:8" x14ac:dyDescent="0.25">
      <c r="A1006">
        <v>65458353</v>
      </c>
      <c r="B1006">
        <v>2904</v>
      </c>
      <c r="C1006">
        <v>0</v>
      </c>
      <c r="D1006" s="19">
        <v>46085</v>
      </c>
      <c r="E1006" t="s">
        <v>919</v>
      </c>
      <c r="F1006" t="s">
        <v>46</v>
      </c>
      <c r="G1006" t="e">
        <f>VLOOKUP($A1006,'CA-US List'!$A:$C,3,0)</f>
        <v>#N/A</v>
      </c>
      <c r="H1006" t="s">
        <v>9</v>
      </c>
    </row>
    <row r="1007" spans="1:8" x14ac:dyDescent="0.25">
      <c r="A1007">
        <v>65458353</v>
      </c>
      <c r="B1007">
        <v>2904</v>
      </c>
      <c r="C1007">
        <v>7680</v>
      </c>
      <c r="D1007" s="19">
        <v>46086</v>
      </c>
      <c r="E1007" t="s">
        <v>919</v>
      </c>
      <c r="F1007" t="s">
        <v>46</v>
      </c>
      <c r="G1007" t="e">
        <f>VLOOKUP($A1007,'CA-US List'!$A:$C,3,0)</f>
        <v>#N/A</v>
      </c>
      <c r="H1007" t="s">
        <v>9</v>
      </c>
    </row>
    <row r="1008" spans="1:8" x14ac:dyDescent="0.25">
      <c r="A1008">
        <v>65458353</v>
      </c>
      <c r="B1008">
        <v>2904</v>
      </c>
      <c r="C1008">
        <v>382</v>
      </c>
      <c r="D1008" s="19">
        <v>46087</v>
      </c>
      <c r="E1008" t="s">
        <v>919</v>
      </c>
      <c r="F1008" t="s">
        <v>46</v>
      </c>
      <c r="G1008" t="e">
        <f>VLOOKUP($A1008,'CA-US List'!$A:$C,3,0)</f>
        <v>#N/A</v>
      </c>
      <c r="H1008" t="s">
        <v>9</v>
      </c>
    </row>
    <row r="1009" spans="1:8" x14ac:dyDescent="0.25">
      <c r="A1009">
        <v>65459033</v>
      </c>
      <c r="B1009">
        <v>2904</v>
      </c>
      <c r="C1009">
        <v>15</v>
      </c>
      <c r="D1009" s="19">
        <v>46097</v>
      </c>
      <c r="E1009" t="s">
        <v>639</v>
      </c>
      <c r="F1009" t="s">
        <v>54</v>
      </c>
      <c r="G1009" t="e">
        <f>VLOOKUP($A1009,'CA-US List'!$A:$C,3,0)</f>
        <v>#N/A</v>
      </c>
      <c r="H1009" t="s">
        <v>9</v>
      </c>
    </row>
    <row r="1010" spans="1:8" x14ac:dyDescent="0.25">
      <c r="A1010">
        <v>65471855</v>
      </c>
      <c r="B1010">
        <v>2904</v>
      </c>
      <c r="C1010">
        <v>960</v>
      </c>
      <c r="D1010" s="19">
        <v>46076</v>
      </c>
      <c r="E1010" t="s">
        <v>643</v>
      </c>
      <c r="F1010" t="s">
        <v>54</v>
      </c>
      <c r="G1010" t="e">
        <f>VLOOKUP($A1010,'CA-US List'!$A:$C,3,0)</f>
        <v>#N/A</v>
      </c>
      <c r="H1010" t="s">
        <v>9</v>
      </c>
    </row>
    <row r="1011" spans="1:8" x14ac:dyDescent="0.25">
      <c r="A1011">
        <v>65594416</v>
      </c>
      <c r="B1011">
        <v>2904</v>
      </c>
      <c r="C1011">
        <v>3456</v>
      </c>
      <c r="D1011" s="19">
        <v>46100</v>
      </c>
      <c r="E1011" t="s">
        <v>921</v>
      </c>
      <c r="F1011" t="s">
        <v>61</v>
      </c>
      <c r="G1011" t="e">
        <f>VLOOKUP($A1011,'CA-US List'!$A:$C,3,0)</f>
        <v>#N/A</v>
      </c>
      <c r="H1011" t="s">
        <v>9</v>
      </c>
    </row>
    <row r="1012" spans="1:8" x14ac:dyDescent="0.25">
      <c r="A1012">
        <v>65594416</v>
      </c>
      <c r="B1012">
        <v>2904</v>
      </c>
      <c r="C1012">
        <v>5532</v>
      </c>
      <c r="D1012" s="19">
        <v>46101</v>
      </c>
      <c r="E1012" t="s">
        <v>921</v>
      </c>
      <c r="F1012" t="s">
        <v>61</v>
      </c>
      <c r="G1012" t="e">
        <f>VLOOKUP($A1012,'CA-US List'!$A:$C,3,0)</f>
        <v>#N/A</v>
      </c>
      <c r="H1012" t="s">
        <v>9</v>
      </c>
    </row>
    <row r="1013" spans="1:8" x14ac:dyDescent="0.25">
      <c r="A1013">
        <v>65594416</v>
      </c>
      <c r="B1013">
        <v>2904</v>
      </c>
      <c r="C1013">
        <v>8405</v>
      </c>
      <c r="D1013" s="19">
        <v>46101</v>
      </c>
      <c r="E1013" t="s">
        <v>921</v>
      </c>
      <c r="F1013" t="s">
        <v>61</v>
      </c>
      <c r="G1013" t="e">
        <f>VLOOKUP($A1013,'CA-US List'!$A:$C,3,0)</f>
        <v>#N/A</v>
      </c>
      <c r="H1013" t="s">
        <v>9</v>
      </c>
    </row>
    <row r="1014" spans="1:8" x14ac:dyDescent="0.25">
      <c r="A1014">
        <v>65594416</v>
      </c>
      <c r="B1014">
        <v>2904</v>
      </c>
      <c r="C1014">
        <v>9263</v>
      </c>
      <c r="D1014" s="19">
        <v>46102</v>
      </c>
      <c r="E1014" t="s">
        <v>921</v>
      </c>
      <c r="F1014" t="s">
        <v>61</v>
      </c>
      <c r="G1014" t="e">
        <f>VLOOKUP($A1014,'CA-US List'!$A:$C,3,0)</f>
        <v>#N/A</v>
      </c>
      <c r="H1014" t="s">
        <v>9</v>
      </c>
    </row>
    <row r="1015" spans="1:8" x14ac:dyDescent="0.25">
      <c r="A1015">
        <v>65594416</v>
      </c>
      <c r="B1015">
        <v>2904</v>
      </c>
      <c r="C1015">
        <v>19871</v>
      </c>
      <c r="D1015" s="19">
        <v>46102</v>
      </c>
      <c r="E1015" t="s">
        <v>921</v>
      </c>
      <c r="F1015" t="s">
        <v>61</v>
      </c>
      <c r="G1015" t="e">
        <f>VLOOKUP($A1015,'CA-US List'!$A:$C,3,0)</f>
        <v>#N/A</v>
      </c>
      <c r="H1015" t="s">
        <v>9</v>
      </c>
    </row>
    <row r="1016" spans="1:8" x14ac:dyDescent="0.25">
      <c r="A1016">
        <v>65594416</v>
      </c>
      <c r="B1016">
        <v>2904</v>
      </c>
      <c r="C1016">
        <v>14256</v>
      </c>
      <c r="D1016" s="19">
        <v>46103</v>
      </c>
      <c r="E1016" t="s">
        <v>921</v>
      </c>
      <c r="F1016" t="s">
        <v>61</v>
      </c>
      <c r="G1016" t="e">
        <f>VLOOKUP($A1016,'CA-US List'!$A:$C,3,0)</f>
        <v>#N/A</v>
      </c>
      <c r="H1016" t="s">
        <v>9</v>
      </c>
    </row>
    <row r="1017" spans="1:8" x14ac:dyDescent="0.25">
      <c r="A1017">
        <v>65594416</v>
      </c>
      <c r="B1017">
        <v>2904</v>
      </c>
      <c r="C1017">
        <v>10629</v>
      </c>
      <c r="D1017" s="19">
        <v>46103</v>
      </c>
      <c r="E1017" t="s">
        <v>921</v>
      </c>
      <c r="F1017" t="s">
        <v>61</v>
      </c>
      <c r="G1017" t="e">
        <f>VLOOKUP($A1017,'CA-US List'!$A:$C,3,0)</f>
        <v>#N/A</v>
      </c>
      <c r="H1017" t="s">
        <v>9</v>
      </c>
    </row>
    <row r="1018" spans="1:8" x14ac:dyDescent="0.25">
      <c r="A1018">
        <v>65594416</v>
      </c>
      <c r="B1018">
        <v>2904</v>
      </c>
      <c r="C1018">
        <v>11118</v>
      </c>
      <c r="D1018" s="19">
        <v>46104</v>
      </c>
      <c r="E1018" t="s">
        <v>921</v>
      </c>
      <c r="F1018" t="s">
        <v>61</v>
      </c>
      <c r="G1018" t="e">
        <f>VLOOKUP($A1018,'CA-US List'!$A:$C,3,0)</f>
        <v>#N/A</v>
      </c>
      <c r="H1018" t="s">
        <v>9</v>
      </c>
    </row>
    <row r="1019" spans="1:8" x14ac:dyDescent="0.25">
      <c r="A1019">
        <v>65594416</v>
      </c>
      <c r="B1019">
        <v>2904</v>
      </c>
      <c r="C1019">
        <v>7479</v>
      </c>
      <c r="D1019" s="19">
        <v>46104</v>
      </c>
      <c r="E1019" t="s">
        <v>921</v>
      </c>
      <c r="F1019" t="s">
        <v>61</v>
      </c>
      <c r="G1019" t="e">
        <f>VLOOKUP($A1019,'CA-US List'!$A:$C,3,0)</f>
        <v>#N/A</v>
      </c>
      <c r="H1019" t="s">
        <v>9</v>
      </c>
    </row>
    <row r="1020" spans="1:8" x14ac:dyDescent="0.25">
      <c r="A1020">
        <v>65594416</v>
      </c>
      <c r="B1020">
        <v>2904</v>
      </c>
      <c r="C1020">
        <v>12744</v>
      </c>
      <c r="D1020" s="19">
        <v>46105</v>
      </c>
      <c r="E1020" t="s">
        <v>921</v>
      </c>
      <c r="F1020" t="s">
        <v>61</v>
      </c>
      <c r="G1020" t="e">
        <f>VLOOKUP($A1020,'CA-US List'!$A:$C,3,0)</f>
        <v>#N/A</v>
      </c>
      <c r="H1020" t="s">
        <v>9</v>
      </c>
    </row>
    <row r="1021" spans="1:8" x14ac:dyDescent="0.25">
      <c r="A1021">
        <v>65594416</v>
      </c>
      <c r="B1021">
        <v>2904</v>
      </c>
      <c r="C1021">
        <v>16722</v>
      </c>
      <c r="D1021" s="19">
        <v>46105</v>
      </c>
      <c r="E1021" t="s">
        <v>921</v>
      </c>
      <c r="F1021" t="s">
        <v>61</v>
      </c>
      <c r="G1021" t="e">
        <f>VLOOKUP($A1021,'CA-US List'!$A:$C,3,0)</f>
        <v>#N/A</v>
      </c>
      <c r="H1021" t="s">
        <v>9</v>
      </c>
    </row>
    <row r="1022" spans="1:8" x14ac:dyDescent="0.25">
      <c r="A1022">
        <v>67826412</v>
      </c>
      <c r="B1022">
        <v>2904</v>
      </c>
      <c r="C1022">
        <v>120</v>
      </c>
      <c r="D1022" s="19">
        <v>46076</v>
      </c>
      <c r="E1022" t="s">
        <v>83</v>
      </c>
      <c r="F1022" t="s">
        <v>54</v>
      </c>
      <c r="G1022" t="e">
        <f>VLOOKUP($A1022,'CA-US List'!$A:$C,3,0)</f>
        <v>#N/A</v>
      </c>
      <c r="H1022" t="s">
        <v>9</v>
      </c>
    </row>
    <row r="1023" spans="1:8" x14ac:dyDescent="0.25">
      <c r="A1023">
        <v>67826412</v>
      </c>
      <c r="B1023">
        <v>2904</v>
      </c>
      <c r="C1023">
        <v>10884</v>
      </c>
      <c r="D1023" s="19">
        <v>46092</v>
      </c>
      <c r="E1023" t="s">
        <v>83</v>
      </c>
      <c r="F1023" t="s">
        <v>54</v>
      </c>
      <c r="G1023" t="e">
        <f>VLOOKUP($A1023,'CA-US List'!$A:$C,3,0)</f>
        <v>#N/A</v>
      </c>
      <c r="H1023" t="s">
        <v>9</v>
      </c>
    </row>
    <row r="1024" spans="1:8" x14ac:dyDescent="0.25">
      <c r="A1024">
        <v>67826412</v>
      </c>
      <c r="B1024">
        <v>2904</v>
      </c>
      <c r="C1024">
        <v>9360</v>
      </c>
      <c r="D1024" s="19">
        <v>46093</v>
      </c>
      <c r="E1024" t="s">
        <v>83</v>
      </c>
      <c r="F1024" t="s">
        <v>54</v>
      </c>
      <c r="G1024" t="e">
        <f>VLOOKUP($A1024,'CA-US List'!$A:$C,3,0)</f>
        <v>#N/A</v>
      </c>
      <c r="H1024" t="s">
        <v>9</v>
      </c>
    </row>
    <row r="1025" spans="1:8" x14ac:dyDescent="0.25">
      <c r="A1025">
        <v>67826412</v>
      </c>
      <c r="B1025">
        <v>2904</v>
      </c>
      <c r="C1025">
        <v>10800</v>
      </c>
      <c r="D1025" s="19">
        <v>46093</v>
      </c>
      <c r="E1025" t="s">
        <v>83</v>
      </c>
      <c r="F1025" t="s">
        <v>54</v>
      </c>
      <c r="G1025" t="e">
        <f>VLOOKUP($A1025,'CA-US List'!$A:$C,3,0)</f>
        <v>#N/A</v>
      </c>
      <c r="H1025" t="s">
        <v>9</v>
      </c>
    </row>
    <row r="1026" spans="1:8" x14ac:dyDescent="0.25">
      <c r="A1026">
        <v>67826412</v>
      </c>
      <c r="B1026">
        <v>2904</v>
      </c>
      <c r="C1026">
        <v>8321</v>
      </c>
      <c r="D1026" s="19">
        <v>46094</v>
      </c>
      <c r="E1026" t="s">
        <v>83</v>
      </c>
      <c r="F1026" t="s">
        <v>54</v>
      </c>
      <c r="G1026" t="e">
        <f>VLOOKUP($A1026,'CA-US List'!$A:$C,3,0)</f>
        <v>#N/A</v>
      </c>
      <c r="H1026" t="s">
        <v>9</v>
      </c>
    </row>
    <row r="1027" spans="1:8" x14ac:dyDescent="0.25">
      <c r="A1027">
        <v>67826412</v>
      </c>
      <c r="B1027">
        <v>2904</v>
      </c>
      <c r="C1027">
        <v>-481</v>
      </c>
      <c r="D1027" s="19">
        <v>46100</v>
      </c>
      <c r="E1027" t="s">
        <v>83</v>
      </c>
      <c r="F1027" t="s">
        <v>54</v>
      </c>
      <c r="G1027" t="e">
        <f>VLOOKUP($A1027,'CA-US List'!$A:$C,3,0)</f>
        <v>#N/A</v>
      </c>
      <c r="H1027" t="s">
        <v>9</v>
      </c>
    </row>
    <row r="1028" spans="1:8" x14ac:dyDescent="0.25">
      <c r="A1028">
        <v>67826412</v>
      </c>
      <c r="B1028">
        <v>2904</v>
      </c>
      <c r="C1028">
        <v>9600</v>
      </c>
      <c r="D1028" s="19">
        <v>46094</v>
      </c>
      <c r="E1028" t="s">
        <v>83</v>
      </c>
      <c r="F1028" t="s">
        <v>54</v>
      </c>
      <c r="G1028" t="e">
        <f>VLOOKUP($A1028,'CA-US List'!$A:$C,3,0)</f>
        <v>#N/A</v>
      </c>
      <c r="H1028" t="s">
        <v>9</v>
      </c>
    </row>
    <row r="1029" spans="1:8" x14ac:dyDescent="0.25">
      <c r="A1029">
        <v>67826412</v>
      </c>
      <c r="B1029">
        <v>2904</v>
      </c>
      <c r="C1029">
        <v>240</v>
      </c>
      <c r="D1029" s="19">
        <v>46095</v>
      </c>
      <c r="E1029" t="s">
        <v>83</v>
      </c>
      <c r="F1029" t="s">
        <v>54</v>
      </c>
      <c r="G1029" t="e">
        <f>VLOOKUP($A1029,'CA-US List'!$A:$C,3,0)</f>
        <v>#N/A</v>
      </c>
      <c r="H1029" t="s">
        <v>9</v>
      </c>
    </row>
    <row r="1030" spans="1:8" x14ac:dyDescent="0.25">
      <c r="A1030">
        <v>67826412</v>
      </c>
      <c r="B1030">
        <v>2904</v>
      </c>
      <c r="C1030">
        <v>196</v>
      </c>
      <c r="D1030" s="19">
        <v>46097</v>
      </c>
      <c r="E1030" t="s">
        <v>83</v>
      </c>
      <c r="F1030" t="s">
        <v>54</v>
      </c>
      <c r="G1030" t="e">
        <f>VLOOKUP($A1030,'CA-US List'!$A:$C,3,0)</f>
        <v>#N/A</v>
      </c>
      <c r="H1030" t="s">
        <v>9</v>
      </c>
    </row>
    <row r="1031" spans="1:8" x14ac:dyDescent="0.25">
      <c r="A1031">
        <v>67826412</v>
      </c>
      <c r="B1031">
        <v>2904</v>
      </c>
      <c r="C1031">
        <v>2400</v>
      </c>
      <c r="D1031" s="19">
        <v>46092</v>
      </c>
      <c r="E1031" t="s">
        <v>83</v>
      </c>
      <c r="F1031" t="s">
        <v>54</v>
      </c>
      <c r="G1031" t="e">
        <f>VLOOKUP($A1031,'CA-US List'!$A:$C,3,0)</f>
        <v>#N/A</v>
      </c>
      <c r="H1031" t="s">
        <v>9</v>
      </c>
    </row>
    <row r="1032" spans="1:8" x14ac:dyDescent="0.25">
      <c r="A1032">
        <v>68354587</v>
      </c>
      <c r="B1032">
        <v>2904</v>
      </c>
      <c r="C1032">
        <v>6404</v>
      </c>
      <c r="D1032" s="19">
        <v>46100</v>
      </c>
      <c r="E1032" t="s">
        <v>930</v>
      </c>
      <c r="F1032" t="s">
        <v>46</v>
      </c>
      <c r="G1032" t="e">
        <f>VLOOKUP($A1032,'CA-US List'!$A:$C,3,0)</f>
        <v>#N/A</v>
      </c>
      <c r="H1032" t="s">
        <v>9</v>
      </c>
    </row>
    <row r="1033" spans="1:8" x14ac:dyDescent="0.25">
      <c r="A1033">
        <v>68354587</v>
      </c>
      <c r="B1033">
        <v>2904</v>
      </c>
      <c r="C1033">
        <v>8720</v>
      </c>
      <c r="D1033" s="19">
        <v>46101</v>
      </c>
      <c r="E1033" t="s">
        <v>930</v>
      </c>
      <c r="F1033" t="s">
        <v>46</v>
      </c>
      <c r="G1033" t="e">
        <f>VLOOKUP($A1033,'CA-US List'!$A:$C,3,0)</f>
        <v>#N/A</v>
      </c>
      <c r="H1033" t="s">
        <v>9</v>
      </c>
    </row>
    <row r="1034" spans="1:8" x14ac:dyDescent="0.25">
      <c r="A1034">
        <v>68354587</v>
      </c>
      <c r="B1034">
        <v>2904</v>
      </c>
      <c r="C1034">
        <v>10136</v>
      </c>
      <c r="D1034" s="19">
        <v>46101</v>
      </c>
      <c r="E1034" t="s">
        <v>930</v>
      </c>
      <c r="F1034" t="s">
        <v>46</v>
      </c>
      <c r="G1034" t="e">
        <f>VLOOKUP($A1034,'CA-US List'!$A:$C,3,0)</f>
        <v>#N/A</v>
      </c>
      <c r="H1034" t="s">
        <v>9</v>
      </c>
    </row>
    <row r="1035" spans="1:8" x14ac:dyDescent="0.25">
      <c r="A1035">
        <v>68354587</v>
      </c>
      <c r="B1035">
        <v>2904</v>
      </c>
      <c r="C1035">
        <v>5531</v>
      </c>
      <c r="D1035" s="19">
        <v>46102</v>
      </c>
      <c r="E1035" t="s">
        <v>930</v>
      </c>
      <c r="F1035" t="s">
        <v>46</v>
      </c>
      <c r="G1035" t="e">
        <f>VLOOKUP($A1035,'CA-US List'!$A:$C,3,0)</f>
        <v>#N/A</v>
      </c>
      <c r="H1035" t="s">
        <v>9</v>
      </c>
    </row>
    <row r="1036" spans="1:8" x14ac:dyDescent="0.25">
      <c r="A1036">
        <v>68354588</v>
      </c>
      <c r="B1036">
        <v>2904</v>
      </c>
      <c r="C1036">
        <v>4695</v>
      </c>
      <c r="D1036" s="19">
        <v>46076</v>
      </c>
      <c r="E1036" t="s">
        <v>122</v>
      </c>
      <c r="F1036" t="s">
        <v>46</v>
      </c>
      <c r="G1036" t="e">
        <f>VLOOKUP($A1036,'CA-US List'!$A:$C,3,0)</f>
        <v>#N/A</v>
      </c>
      <c r="H1036" t="s">
        <v>9</v>
      </c>
    </row>
    <row r="1037" spans="1:8" x14ac:dyDescent="0.25">
      <c r="A1037">
        <v>68354588</v>
      </c>
      <c r="B1037">
        <v>2904</v>
      </c>
      <c r="C1037">
        <v>7398</v>
      </c>
      <c r="D1037" s="19">
        <v>46077</v>
      </c>
      <c r="E1037" t="s">
        <v>122</v>
      </c>
      <c r="F1037" t="s">
        <v>46</v>
      </c>
      <c r="G1037" t="e">
        <f>VLOOKUP($A1037,'CA-US List'!$A:$C,3,0)</f>
        <v>#N/A</v>
      </c>
      <c r="H1037" t="s">
        <v>9</v>
      </c>
    </row>
    <row r="1038" spans="1:8" x14ac:dyDescent="0.25">
      <c r="A1038">
        <v>68354588</v>
      </c>
      <c r="B1038">
        <v>2904</v>
      </c>
      <c r="C1038">
        <v>-15</v>
      </c>
      <c r="D1038" s="19">
        <v>46094</v>
      </c>
      <c r="E1038" t="s">
        <v>122</v>
      </c>
      <c r="F1038" t="s">
        <v>46</v>
      </c>
      <c r="G1038" t="e">
        <f>VLOOKUP($A1038,'CA-US List'!$A:$C,3,0)</f>
        <v>#N/A</v>
      </c>
      <c r="H1038" t="s">
        <v>9</v>
      </c>
    </row>
    <row r="1039" spans="1:8" x14ac:dyDescent="0.25">
      <c r="A1039">
        <v>68354588</v>
      </c>
      <c r="B1039">
        <v>2904</v>
      </c>
      <c r="C1039">
        <v>11430</v>
      </c>
      <c r="D1039" s="19">
        <v>46077</v>
      </c>
      <c r="E1039" t="s">
        <v>122</v>
      </c>
      <c r="F1039" t="s">
        <v>46</v>
      </c>
      <c r="G1039" t="e">
        <f>VLOOKUP($A1039,'CA-US List'!$A:$C,3,0)</f>
        <v>#N/A</v>
      </c>
      <c r="H1039" t="s">
        <v>9</v>
      </c>
    </row>
    <row r="1040" spans="1:8" x14ac:dyDescent="0.25">
      <c r="A1040">
        <v>68354588</v>
      </c>
      <c r="B1040">
        <v>2904</v>
      </c>
      <c r="C1040">
        <v>8635</v>
      </c>
      <c r="D1040" s="19">
        <v>46078</v>
      </c>
      <c r="E1040" t="s">
        <v>122</v>
      </c>
      <c r="F1040" t="s">
        <v>46</v>
      </c>
      <c r="G1040" t="e">
        <f>VLOOKUP($A1040,'CA-US List'!$A:$C,3,0)</f>
        <v>#N/A</v>
      </c>
      <c r="H1040" t="s">
        <v>9</v>
      </c>
    </row>
    <row r="1041" spans="1:8" x14ac:dyDescent="0.25">
      <c r="A1041">
        <v>68354588</v>
      </c>
      <c r="B1041">
        <v>2904</v>
      </c>
      <c r="C1041">
        <v>-229</v>
      </c>
      <c r="D1041" s="19">
        <v>46080</v>
      </c>
      <c r="E1041" t="s">
        <v>122</v>
      </c>
      <c r="F1041" t="s">
        <v>46</v>
      </c>
      <c r="G1041" t="e">
        <f>VLOOKUP($A1041,'CA-US List'!$A:$C,3,0)</f>
        <v>#N/A</v>
      </c>
      <c r="H1041" t="s">
        <v>9</v>
      </c>
    </row>
    <row r="1042" spans="1:8" x14ac:dyDescent="0.25">
      <c r="A1042">
        <v>68354588</v>
      </c>
      <c r="B1042">
        <v>2904</v>
      </c>
      <c r="C1042">
        <v>11369</v>
      </c>
      <c r="D1042" s="19">
        <v>46078</v>
      </c>
      <c r="E1042" t="s">
        <v>122</v>
      </c>
      <c r="F1042" t="s">
        <v>46</v>
      </c>
      <c r="G1042" t="e">
        <f>VLOOKUP($A1042,'CA-US List'!$A:$C,3,0)</f>
        <v>#N/A</v>
      </c>
      <c r="H1042" t="s">
        <v>9</v>
      </c>
    </row>
    <row r="1043" spans="1:8" x14ac:dyDescent="0.25">
      <c r="A1043">
        <v>68354588</v>
      </c>
      <c r="B1043">
        <v>2904</v>
      </c>
      <c r="C1043">
        <v>6880</v>
      </c>
      <c r="D1043" s="19">
        <v>46079</v>
      </c>
      <c r="E1043" t="s">
        <v>122</v>
      </c>
      <c r="F1043" t="s">
        <v>46</v>
      </c>
      <c r="G1043" t="e">
        <f>VLOOKUP($A1043,'CA-US List'!$A:$C,3,0)</f>
        <v>#N/A</v>
      </c>
      <c r="H1043" t="s">
        <v>9</v>
      </c>
    </row>
    <row r="1044" spans="1:8" x14ac:dyDescent="0.25">
      <c r="A1044">
        <v>68626039</v>
      </c>
      <c r="B1044">
        <v>2904</v>
      </c>
      <c r="C1044">
        <v>1859</v>
      </c>
      <c r="D1044" s="19">
        <v>46097</v>
      </c>
      <c r="E1044" t="s">
        <v>110</v>
      </c>
      <c r="F1044" t="s">
        <v>46</v>
      </c>
      <c r="G1044" t="e">
        <f>VLOOKUP($A1044,'CA-US List'!$A:$C,3,0)</f>
        <v>#N/A</v>
      </c>
      <c r="H1044" t="s">
        <v>9</v>
      </c>
    </row>
    <row r="1045" spans="1:8" x14ac:dyDescent="0.25">
      <c r="A1045">
        <v>68626039</v>
      </c>
      <c r="B1045">
        <v>2904</v>
      </c>
      <c r="C1045">
        <v>5993</v>
      </c>
      <c r="D1045" s="19">
        <v>46098</v>
      </c>
      <c r="E1045" t="s">
        <v>110</v>
      </c>
      <c r="F1045" t="s">
        <v>46</v>
      </c>
      <c r="G1045" t="e">
        <f>VLOOKUP($A1045,'CA-US List'!$A:$C,3,0)</f>
        <v>#N/A</v>
      </c>
      <c r="H1045" t="s">
        <v>9</v>
      </c>
    </row>
    <row r="1046" spans="1:8" x14ac:dyDescent="0.25">
      <c r="A1046">
        <v>68626039</v>
      </c>
      <c r="B1046">
        <v>2904</v>
      </c>
      <c r="C1046">
        <v>9232</v>
      </c>
      <c r="D1046" s="19">
        <v>46098</v>
      </c>
      <c r="E1046" t="s">
        <v>110</v>
      </c>
      <c r="F1046" t="s">
        <v>46</v>
      </c>
      <c r="G1046" t="e">
        <f>VLOOKUP($A1046,'CA-US List'!$A:$C,3,0)</f>
        <v>#N/A</v>
      </c>
      <c r="H1046" t="s">
        <v>9</v>
      </c>
    </row>
    <row r="1047" spans="1:8" x14ac:dyDescent="0.25">
      <c r="A1047">
        <v>68626039</v>
      </c>
      <c r="B1047">
        <v>2904</v>
      </c>
      <c r="C1047">
        <v>7416</v>
      </c>
      <c r="D1047" s="19">
        <v>46099</v>
      </c>
      <c r="E1047" t="s">
        <v>110</v>
      </c>
      <c r="F1047" t="s">
        <v>46</v>
      </c>
      <c r="G1047" t="e">
        <f>VLOOKUP($A1047,'CA-US List'!$A:$C,3,0)</f>
        <v>#N/A</v>
      </c>
      <c r="H1047" t="s">
        <v>9</v>
      </c>
    </row>
    <row r="1048" spans="1:8" x14ac:dyDescent="0.25">
      <c r="A1048">
        <v>68626039</v>
      </c>
      <c r="B1048">
        <v>2904</v>
      </c>
      <c r="C1048">
        <v>11379</v>
      </c>
      <c r="D1048" s="19">
        <v>46099</v>
      </c>
      <c r="E1048" t="s">
        <v>110</v>
      </c>
      <c r="F1048" t="s">
        <v>46</v>
      </c>
      <c r="G1048" t="e">
        <f>VLOOKUP($A1048,'CA-US List'!$A:$C,3,0)</f>
        <v>#N/A</v>
      </c>
      <c r="H1048" t="s">
        <v>9</v>
      </c>
    </row>
    <row r="1049" spans="1:8" x14ac:dyDescent="0.25">
      <c r="A1049">
        <v>68626039</v>
      </c>
      <c r="B1049">
        <v>2904</v>
      </c>
      <c r="C1049">
        <v>2147</v>
      </c>
      <c r="D1049" s="19">
        <v>46100</v>
      </c>
      <c r="E1049" t="s">
        <v>110</v>
      </c>
      <c r="F1049" t="s">
        <v>46</v>
      </c>
      <c r="G1049" t="e">
        <f>VLOOKUP($A1049,'CA-US List'!$A:$C,3,0)</f>
        <v>#N/A</v>
      </c>
      <c r="H1049" t="s">
        <v>9</v>
      </c>
    </row>
    <row r="1050" spans="1:8" x14ac:dyDescent="0.25">
      <c r="A1050">
        <v>68649095</v>
      </c>
      <c r="B1050">
        <v>2904</v>
      </c>
      <c r="C1050">
        <v>8922</v>
      </c>
      <c r="D1050" s="19">
        <v>46092</v>
      </c>
      <c r="E1050" t="s">
        <v>45</v>
      </c>
      <c r="F1050" t="s">
        <v>46</v>
      </c>
      <c r="G1050" t="e">
        <f>VLOOKUP($A1050,'CA-US List'!$A:$C,3,0)</f>
        <v>#N/A</v>
      </c>
      <c r="H1050" t="s">
        <v>9</v>
      </c>
    </row>
    <row r="1051" spans="1:8" x14ac:dyDescent="0.25">
      <c r="A1051">
        <v>68649095</v>
      </c>
      <c r="B1051">
        <v>2904</v>
      </c>
      <c r="C1051">
        <v>6584</v>
      </c>
      <c r="D1051" s="19">
        <v>46093</v>
      </c>
      <c r="E1051" t="s">
        <v>45</v>
      </c>
      <c r="F1051" t="s">
        <v>46</v>
      </c>
      <c r="G1051" t="e">
        <f>VLOOKUP($A1051,'CA-US List'!$A:$C,3,0)</f>
        <v>#N/A</v>
      </c>
      <c r="H1051" t="s">
        <v>9</v>
      </c>
    </row>
    <row r="1052" spans="1:8" x14ac:dyDescent="0.25">
      <c r="A1052">
        <v>68649095</v>
      </c>
      <c r="B1052">
        <v>2904</v>
      </c>
      <c r="C1052">
        <v>3000</v>
      </c>
      <c r="D1052" s="19">
        <v>46090</v>
      </c>
      <c r="E1052" t="s">
        <v>45</v>
      </c>
      <c r="F1052" t="s">
        <v>46</v>
      </c>
      <c r="G1052" t="e">
        <f>VLOOKUP($A1052,'CA-US List'!$A:$C,3,0)</f>
        <v>#N/A</v>
      </c>
      <c r="H1052" t="s">
        <v>9</v>
      </c>
    </row>
    <row r="1053" spans="1:8" x14ac:dyDescent="0.25">
      <c r="A1053">
        <v>68649095</v>
      </c>
      <c r="B1053">
        <v>2904</v>
      </c>
      <c r="C1053">
        <v>7805</v>
      </c>
      <c r="D1053" s="19">
        <v>46091</v>
      </c>
      <c r="E1053" t="s">
        <v>45</v>
      </c>
      <c r="F1053" t="s">
        <v>46</v>
      </c>
      <c r="G1053" t="e">
        <f>VLOOKUP($A1053,'CA-US List'!$A:$C,3,0)</f>
        <v>#N/A</v>
      </c>
      <c r="H1053" t="s">
        <v>9</v>
      </c>
    </row>
    <row r="1054" spans="1:8" x14ac:dyDescent="0.25">
      <c r="A1054">
        <v>68649095</v>
      </c>
      <c r="B1054">
        <v>2904</v>
      </c>
      <c r="C1054">
        <v>4742</v>
      </c>
      <c r="D1054" s="19">
        <v>46091</v>
      </c>
      <c r="E1054" t="s">
        <v>45</v>
      </c>
      <c r="F1054" t="s">
        <v>46</v>
      </c>
      <c r="G1054" t="e">
        <f>VLOOKUP($A1054,'CA-US List'!$A:$C,3,0)</f>
        <v>#N/A</v>
      </c>
      <c r="H1054" t="s">
        <v>9</v>
      </c>
    </row>
    <row r="1055" spans="1:8" x14ac:dyDescent="0.25">
      <c r="A1055">
        <v>68649095</v>
      </c>
      <c r="B1055">
        <v>2904</v>
      </c>
      <c r="C1055">
        <v>5424</v>
      </c>
      <c r="D1055" s="19">
        <v>46092</v>
      </c>
      <c r="E1055" t="s">
        <v>45</v>
      </c>
      <c r="F1055" t="s">
        <v>46</v>
      </c>
      <c r="G1055" t="e">
        <f>VLOOKUP($A1055,'CA-US List'!$A:$C,3,0)</f>
        <v>#N/A</v>
      </c>
      <c r="H1055" t="s">
        <v>9</v>
      </c>
    </row>
    <row r="1056" spans="1:8" x14ac:dyDescent="0.25">
      <c r="A1056">
        <v>68649095</v>
      </c>
      <c r="B1056">
        <v>2904</v>
      </c>
      <c r="C1056">
        <v>675</v>
      </c>
      <c r="D1056" s="19">
        <v>46093</v>
      </c>
      <c r="E1056" t="s">
        <v>45</v>
      </c>
      <c r="F1056" t="s">
        <v>46</v>
      </c>
      <c r="G1056" t="e">
        <f>VLOOKUP($A1056,'CA-US List'!$A:$C,3,0)</f>
        <v>#N/A</v>
      </c>
      <c r="H1056" t="s">
        <v>9</v>
      </c>
    </row>
    <row r="1057" spans="1:8" x14ac:dyDescent="0.25">
      <c r="A1057">
        <v>68649095</v>
      </c>
      <c r="B1057">
        <v>2904</v>
      </c>
      <c r="C1057">
        <v>-30</v>
      </c>
      <c r="D1057" s="19">
        <v>46104</v>
      </c>
      <c r="E1057" t="s">
        <v>45</v>
      </c>
      <c r="F1057" t="s">
        <v>46</v>
      </c>
      <c r="G1057" t="e">
        <f>VLOOKUP($A1057,'CA-US List'!$A:$C,3,0)</f>
        <v>#N/A</v>
      </c>
      <c r="H1057" t="s">
        <v>9</v>
      </c>
    </row>
    <row r="1058" spans="1:8" x14ac:dyDescent="0.25">
      <c r="A1058">
        <v>68649095</v>
      </c>
      <c r="B1058">
        <v>2904</v>
      </c>
      <c r="C1058">
        <v>8629</v>
      </c>
      <c r="D1058" s="19">
        <v>46093</v>
      </c>
      <c r="E1058" t="s">
        <v>45</v>
      </c>
      <c r="F1058" t="s">
        <v>46</v>
      </c>
      <c r="G1058" t="e">
        <f>VLOOKUP($A1058,'CA-US List'!$A:$C,3,0)</f>
        <v>#N/A</v>
      </c>
      <c r="H1058" t="s">
        <v>9</v>
      </c>
    </row>
    <row r="1059" spans="1:8" x14ac:dyDescent="0.25">
      <c r="A1059">
        <v>68649095</v>
      </c>
      <c r="B1059">
        <v>2904</v>
      </c>
      <c r="C1059">
        <v>-240</v>
      </c>
      <c r="D1059" s="19">
        <v>46100</v>
      </c>
      <c r="E1059" t="s">
        <v>45</v>
      </c>
      <c r="F1059" t="s">
        <v>46</v>
      </c>
      <c r="G1059" t="e">
        <f>VLOOKUP($A1059,'CA-US List'!$A:$C,3,0)</f>
        <v>#N/A</v>
      </c>
      <c r="H1059" t="s">
        <v>9</v>
      </c>
    </row>
    <row r="1060" spans="1:8" x14ac:dyDescent="0.25">
      <c r="A1060">
        <v>68649097</v>
      </c>
      <c r="B1060">
        <v>2904</v>
      </c>
      <c r="C1060">
        <v>720</v>
      </c>
      <c r="D1060" s="19">
        <v>46094</v>
      </c>
      <c r="E1060" t="s">
        <v>938</v>
      </c>
      <c r="F1060" t="s">
        <v>46</v>
      </c>
      <c r="G1060" t="e">
        <f>VLOOKUP($A1060,'CA-US List'!$A:$C,3,0)</f>
        <v>#N/A</v>
      </c>
      <c r="H1060" t="s">
        <v>9</v>
      </c>
    </row>
    <row r="1061" spans="1:8" x14ac:dyDescent="0.25">
      <c r="A1061">
        <v>68649097</v>
      </c>
      <c r="B1061">
        <v>2904</v>
      </c>
      <c r="C1061">
        <v>11204</v>
      </c>
      <c r="D1061" s="19">
        <v>46094</v>
      </c>
      <c r="E1061" t="s">
        <v>938</v>
      </c>
      <c r="F1061" t="s">
        <v>46</v>
      </c>
      <c r="G1061" t="e">
        <f>VLOOKUP($A1061,'CA-US List'!$A:$C,3,0)</f>
        <v>#N/A</v>
      </c>
      <c r="H1061" t="s">
        <v>9</v>
      </c>
    </row>
    <row r="1062" spans="1:8" x14ac:dyDescent="0.25">
      <c r="A1062">
        <v>68649097</v>
      </c>
      <c r="B1062">
        <v>2904</v>
      </c>
      <c r="C1062">
        <v>5284</v>
      </c>
      <c r="D1062" s="19">
        <v>46095</v>
      </c>
      <c r="E1062" t="s">
        <v>938</v>
      </c>
      <c r="F1062" t="s">
        <v>46</v>
      </c>
      <c r="G1062" t="e">
        <f>VLOOKUP($A1062,'CA-US List'!$A:$C,3,0)</f>
        <v>#N/A</v>
      </c>
      <c r="H1062" t="s">
        <v>9</v>
      </c>
    </row>
    <row r="1063" spans="1:8" x14ac:dyDescent="0.25">
      <c r="A1063">
        <v>68649097</v>
      </c>
      <c r="B1063">
        <v>2904</v>
      </c>
      <c r="C1063">
        <v>0</v>
      </c>
      <c r="D1063" s="19">
        <v>46097</v>
      </c>
      <c r="E1063" t="s">
        <v>938</v>
      </c>
      <c r="F1063" t="s">
        <v>46</v>
      </c>
      <c r="G1063" t="e">
        <f>VLOOKUP($A1063,'CA-US List'!$A:$C,3,0)</f>
        <v>#N/A</v>
      </c>
      <c r="H1063" t="s">
        <v>9</v>
      </c>
    </row>
    <row r="1064" spans="1:8" x14ac:dyDescent="0.25">
      <c r="A1064">
        <v>68654238</v>
      </c>
      <c r="B1064">
        <v>2904</v>
      </c>
      <c r="C1064">
        <v>3762</v>
      </c>
      <c r="D1064" s="19">
        <v>46090</v>
      </c>
      <c r="E1064" t="s">
        <v>668</v>
      </c>
      <c r="F1064" t="s">
        <v>54</v>
      </c>
      <c r="G1064" t="e">
        <f>VLOOKUP($A1064,'CA-US List'!$A:$C,3,0)</f>
        <v>#N/A</v>
      </c>
      <c r="H1064" t="s">
        <v>9</v>
      </c>
    </row>
    <row r="1065" spans="1:8" x14ac:dyDescent="0.25">
      <c r="A1065">
        <v>68654238</v>
      </c>
      <c r="B1065">
        <v>2904</v>
      </c>
      <c r="C1065">
        <v>9933</v>
      </c>
      <c r="D1065" s="19">
        <v>46091</v>
      </c>
      <c r="E1065" t="s">
        <v>668</v>
      </c>
      <c r="F1065" t="s">
        <v>54</v>
      </c>
      <c r="G1065" t="e">
        <f>VLOOKUP($A1065,'CA-US List'!$A:$C,3,0)</f>
        <v>#N/A</v>
      </c>
      <c r="H1065" t="s">
        <v>9</v>
      </c>
    </row>
    <row r="1066" spans="1:8" x14ac:dyDescent="0.25">
      <c r="A1066">
        <v>68654238</v>
      </c>
      <c r="B1066">
        <v>2904</v>
      </c>
      <c r="C1066">
        <v>7893</v>
      </c>
      <c r="D1066" s="19">
        <v>46091</v>
      </c>
      <c r="E1066" t="s">
        <v>668</v>
      </c>
      <c r="F1066" t="s">
        <v>54</v>
      </c>
      <c r="G1066" t="e">
        <f>VLOOKUP($A1066,'CA-US List'!$A:$C,3,0)</f>
        <v>#N/A</v>
      </c>
      <c r="H1066" t="s">
        <v>9</v>
      </c>
    </row>
    <row r="1067" spans="1:8" x14ac:dyDescent="0.25">
      <c r="A1067">
        <v>68654238</v>
      </c>
      <c r="B1067">
        <v>2904</v>
      </c>
      <c r="C1067">
        <v>213</v>
      </c>
      <c r="D1067" s="19">
        <v>46092</v>
      </c>
      <c r="E1067" t="s">
        <v>668</v>
      </c>
      <c r="F1067" t="s">
        <v>54</v>
      </c>
      <c r="G1067" t="e">
        <f>VLOOKUP($A1067,'CA-US List'!$A:$C,3,0)</f>
        <v>#N/A</v>
      </c>
      <c r="H1067" t="s">
        <v>9</v>
      </c>
    </row>
    <row r="1068" spans="1:8" x14ac:dyDescent="0.25">
      <c r="A1068">
        <v>68654238</v>
      </c>
      <c r="B1068">
        <v>2904</v>
      </c>
      <c r="C1068">
        <v>267</v>
      </c>
      <c r="D1068" s="19">
        <v>46093</v>
      </c>
      <c r="E1068" t="s">
        <v>668</v>
      </c>
      <c r="F1068" t="s">
        <v>54</v>
      </c>
      <c r="G1068" t="e">
        <f>VLOOKUP($A1068,'CA-US List'!$A:$C,3,0)</f>
        <v>#N/A</v>
      </c>
      <c r="H1068" t="s">
        <v>9</v>
      </c>
    </row>
    <row r="1069" spans="1:8" x14ac:dyDescent="0.25">
      <c r="A1069">
        <v>68741742</v>
      </c>
      <c r="B1069">
        <v>2904</v>
      </c>
      <c r="C1069">
        <v>154</v>
      </c>
      <c r="D1069" s="19">
        <v>46097</v>
      </c>
      <c r="E1069" t="s">
        <v>40</v>
      </c>
      <c r="F1069" t="s">
        <v>49</v>
      </c>
      <c r="G1069" t="e">
        <f>VLOOKUP($A1069,'CA-US List'!$A:$C,3,0)</f>
        <v>#N/A</v>
      </c>
      <c r="H1069" t="s">
        <v>9</v>
      </c>
    </row>
    <row r="1070" spans="1:8" x14ac:dyDescent="0.25">
      <c r="A1070">
        <v>68741742</v>
      </c>
      <c r="B1070">
        <v>2904</v>
      </c>
      <c r="C1070">
        <v>1694</v>
      </c>
      <c r="D1070" s="19">
        <v>46098</v>
      </c>
      <c r="E1070" t="s">
        <v>40</v>
      </c>
      <c r="F1070" t="s">
        <v>49</v>
      </c>
      <c r="G1070" t="e">
        <f>VLOOKUP($A1070,'CA-US List'!$A:$C,3,0)</f>
        <v>#N/A</v>
      </c>
      <c r="H1070" t="s">
        <v>9</v>
      </c>
    </row>
    <row r="1071" spans="1:8" x14ac:dyDescent="0.25">
      <c r="A1071">
        <v>68741742</v>
      </c>
      <c r="B1071">
        <v>2904</v>
      </c>
      <c r="C1071">
        <v>2200</v>
      </c>
      <c r="D1071" s="19">
        <v>46098</v>
      </c>
      <c r="E1071" t="s">
        <v>40</v>
      </c>
      <c r="F1071" t="s">
        <v>49</v>
      </c>
      <c r="G1071" t="e">
        <f>VLOOKUP($A1071,'CA-US List'!$A:$C,3,0)</f>
        <v>#N/A</v>
      </c>
      <c r="H1071" t="s">
        <v>9</v>
      </c>
    </row>
    <row r="1072" spans="1:8" x14ac:dyDescent="0.25">
      <c r="A1072">
        <v>68741742</v>
      </c>
      <c r="B1072">
        <v>2904</v>
      </c>
      <c r="C1072">
        <v>1904</v>
      </c>
      <c r="D1072" s="19">
        <v>46099</v>
      </c>
      <c r="E1072" t="s">
        <v>40</v>
      </c>
      <c r="F1072" t="s">
        <v>49</v>
      </c>
      <c r="G1072" t="e">
        <f>VLOOKUP($A1072,'CA-US List'!$A:$C,3,0)</f>
        <v>#N/A</v>
      </c>
      <c r="H1072" t="s">
        <v>9</v>
      </c>
    </row>
    <row r="1073" spans="1:8" x14ac:dyDescent="0.25">
      <c r="A1073">
        <v>68741742</v>
      </c>
      <c r="B1073">
        <v>2904</v>
      </c>
      <c r="C1073">
        <v>-112</v>
      </c>
      <c r="D1073" s="19">
        <v>46105</v>
      </c>
      <c r="E1073" t="s">
        <v>40</v>
      </c>
      <c r="F1073" t="s">
        <v>49</v>
      </c>
      <c r="G1073" t="e">
        <f>VLOOKUP($A1073,'CA-US List'!$A:$C,3,0)</f>
        <v>#N/A</v>
      </c>
      <c r="H1073" t="s">
        <v>9</v>
      </c>
    </row>
    <row r="1074" spans="1:8" x14ac:dyDescent="0.25">
      <c r="A1074">
        <v>68741742</v>
      </c>
      <c r="B1074">
        <v>2904</v>
      </c>
      <c r="C1074">
        <v>480</v>
      </c>
      <c r="D1074" s="19">
        <v>46099</v>
      </c>
      <c r="E1074" t="s">
        <v>40</v>
      </c>
      <c r="F1074" t="s">
        <v>49</v>
      </c>
      <c r="G1074" t="e">
        <f>VLOOKUP($A1074,'CA-US List'!$A:$C,3,0)</f>
        <v>#N/A</v>
      </c>
      <c r="H1074" t="s">
        <v>9</v>
      </c>
    </row>
    <row r="1075" spans="1:8" x14ac:dyDescent="0.25">
      <c r="A1075">
        <v>68741742</v>
      </c>
      <c r="B1075">
        <v>2904</v>
      </c>
      <c r="C1075">
        <v>1680</v>
      </c>
      <c r="D1075" s="19">
        <v>46100</v>
      </c>
      <c r="E1075" t="s">
        <v>40</v>
      </c>
      <c r="F1075" t="s">
        <v>49</v>
      </c>
      <c r="G1075" t="e">
        <f>VLOOKUP($A1075,'CA-US List'!$A:$C,3,0)</f>
        <v>#N/A</v>
      </c>
      <c r="H1075" t="s">
        <v>9</v>
      </c>
    </row>
    <row r="1076" spans="1:8" x14ac:dyDescent="0.25">
      <c r="A1076">
        <v>68741742</v>
      </c>
      <c r="B1076">
        <v>2904</v>
      </c>
      <c r="C1076">
        <v>1540</v>
      </c>
      <c r="D1076" s="19">
        <v>46100</v>
      </c>
      <c r="E1076" t="s">
        <v>40</v>
      </c>
      <c r="F1076" t="s">
        <v>49</v>
      </c>
      <c r="G1076" t="e">
        <f>VLOOKUP($A1076,'CA-US List'!$A:$C,3,0)</f>
        <v>#N/A</v>
      </c>
      <c r="H1076" t="s">
        <v>9</v>
      </c>
    </row>
    <row r="1077" spans="1:8" x14ac:dyDescent="0.25">
      <c r="A1077">
        <v>68741742</v>
      </c>
      <c r="B1077">
        <v>2904</v>
      </c>
      <c r="C1077">
        <v>1834</v>
      </c>
      <c r="D1077" s="19">
        <v>46101</v>
      </c>
      <c r="E1077" t="s">
        <v>40</v>
      </c>
      <c r="F1077" t="s">
        <v>49</v>
      </c>
      <c r="G1077" t="e">
        <f>VLOOKUP($A1077,'CA-US List'!$A:$C,3,0)</f>
        <v>#N/A</v>
      </c>
      <c r="H1077" t="s">
        <v>9</v>
      </c>
    </row>
    <row r="1078" spans="1:8" x14ac:dyDescent="0.25">
      <c r="A1078">
        <v>68741742</v>
      </c>
      <c r="B1078">
        <v>2904</v>
      </c>
      <c r="C1078">
        <v>2002</v>
      </c>
      <c r="D1078" s="19">
        <v>46101</v>
      </c>
      <c r="E1078" t="s">
        <v>40</v>
      </c>
      <c r="F1078" t="s">
        <v>49</v>
      </c>
      <c r="G1078" t="e">
        <f>VLOOKUP($A1078,'CA-US List'!$A:$C,3,0)</f>
        <v>#N/A</v>
      </c>
      <c r="H1078" t="s">
        <v>9</v>
      </c>
    </row>
    <row r="1079" spans="1:8" x14ac:dyDescent="0.25">
      <c r="A1079">
        <v>68741742</v>
      </c>
      <c r="B1079">
        <v>2904</v>
      </c>
      <c r="C1079">
        <v>1566</v>
      </c>
      <c r="D1079" s="19">
        <v>46102</v>
      </c>
      <c r="E1079" t="s">
        <v>40</v>
      </c>
      <c r="F1079" t="s">
        <v>49</v>
      </c>
      <c r="G1079" t="e">
        <f>VLOOKUP($A1079,'CA-US List'!$A:$C,3,0)</f>
        <v>#N/A</v>
      </c>
      <c r="H1079" t="s">
        <v>9</v>
      </c>
    </row>
    <row r="1080" spans="1:8" x14ac:dyDescent="0.25">
      <c r="A1080">
        <v>68741742</v>
      </c>
      <c r="B1080">
        <v>2904</v>
      </c>
      <c r="C1080">
        <v>1694</v>
      </c>
      <c r="D1080" s="19">
        <v>46104</v>
      </c>
      <c r="E1080" t="s">
        <v>40</v>
      </c>
      <c r="F1080" t="s">
        <v>49</v>
      </c>
      <c r="G1080" t="e">
        <f>VLOOKUP($A1080,'CA-US List'!$A:$C,3,0)</f>
        <v>#N/A</v>
      </c>
      <c r="H1080" t="s">
        <v>9</v>
      </c>
    </row>
    <row r="1081" spans="1:8" x14ac:dyDescent="0.25">
      <c r="A1081">
        <v>68741742</v>
      </c>
      <c r="B1081">
        <v>2904</v>
      </c>
      <c r="C1081">
        <v>1732</v>
      </c>
      <c r="D1081" s="19">
        <v>46105</v>
      </c>
      <c r="E1081" t="s">
        <v>40</v>
      </c>
      <c r="F1081" t="s">
        <v>49</v>
      </c>
      <c r="G1081" t="e">
        <f>VLOOKUP($A1081,'CA-US List'!$A:$C,3,0)</f>
        <v>#N/A</v>
      </c>
      <c r="H1081" t="s">
        <v>9</v>
      </c>
    </row>
    <row r="1082" spans="1:8" x14ac:dyDescent="0.25">
      <c r="A1082">
        <v>68741742</v>
      </c>
      <c r="B1082">
        <v>2904</v>
      </c>
      <c r="C1082">
        <v>2273</v>
      </c>
      <c r="D1082" s="19">
        <v>46105</v>
      </c>
      <c r="E1082" t="s">
        <v>40</v>
      </c>
      <c r="F1082" t="s">
        <v>49</v>
      </c>
      <c r="G1082" t="e">
        <f>VLOOKUP($A1082,'CA-US List'!$A:$C,3,0)</f>
        <v>#N/A</v>
      </c>
      <c r="H1082" t="s">
        <v>9</v>
      </c>
    </row>
    <row r="1083" spans="1:8" x14ac:dyDescent="0.25">
      <c r="A1083">
        <v>68746232</v>
      </c>
      <c r="B1083">
        <v>2904</v>
      </c>
      <c r="C1083">
        <v>2109</v>
      </c>
      <c r="D1083" s="19">
        <v>46079</v>
      </c>
      <c r="E1083" t="s">
        <v>51</v>
      </c>
      <c r="F1083" t="s">
        <v>52</v>
      </c>
      <c r="G1083" t="e">
        <f>VLOOKUP($A1083,'CA-US List'!$A:$C,3,0)</f>
        <v>#N/A</v>
      </c>
      <c r="H1083" t="s">
        <v>9</v>
      </c>
    </row>
    <row r="1084" spans="1:8" x14ac:dyDescent="0.25">
      <c r="A1084">
        <v>68746232</v>
      </c>
      <c r="B1084">
        <v>2904</v>
      </c>
      <c r="C1084">
        <v>1382</v>
      </c>
      <c r="D1084" s="19">
        <v>46080</v>
      </c>
      <c r="E1084" t="s">
        <v>51</v>
      </c>
      <c r="F1084" t="s">
        <v>52</v>
      </c>
      <c r="G1084" t="e">
        <f>VLOOKUP($A1084,'CA-US List'!$A:$C,3,0)</f>
        <v>#N/A</v>
      </c>
      <c r="H1084" t="s">
        <v>9</v>
      </c>
    </row>
    <row r="1085" spans="1:8" x14ac:dyDescent="0.25">
      <c r="A1085">
        <v>68746232</v>
      </c>
      <c r="B1085">
        <v>2904</v>
      </c>
      <c r="C1085">
        <v>1243</v>
      </c>
      <c r="D1085" s="19">
        <v>46078</v>
      </c>
      <c r="E1085" t="s">
        <v>51</v>
      </c>
      <c r="F1085" t="s">
        <v>52</v>
      </c>
      <c r="G1085" t="e">
        <f>VLOOKUP($A1085,'CA-US List'!$A:$C,3,0)</f>
        <v>#N/A</v>
      </c>
      <c r="H1085" t="s">
        <v>9</v>
      </c>
    </row>
    <row r="1086" spans="1:8" x14ac:dyDescent="0.25">
      <c r="A1086">
        <v>68746232</v>
      </c>
      <c r="B1086">
        <v>2904</v>
      </c>
      <c r="C1086">
        <v>1372</v>
      </c>
      <c r="D1086" s="19">
        <v>46079</v>
      </c>
      <c r="E1086" t="s">
        <v>51</v>
      </c>
      <c r="F1086" t="s">
        <v>52</v>
      </c>
      <c r="G1086" t="e">
        <f>VLOOKUP($A1086,'CA-US List'!$A:$C,3,0)</f>
        <v>#N/A</v>
      </c>
      <c r="H1086" t="s">
        <v>9</v>
      </c>
    </row>
    <row r="1087" spans="1:8" x14ac:dyDescent="0.25">
      <c r="A1087">
        <v>68746232</v>
      </c>
      <c r="B1087">
        <v>2904</v>
      </c>
      <c r="C1087">
        <v>1188</v>
      </c>
      <c r="D1087" s="19">
        <v>46080</v>
      </c>
      <c r="E1087" t="s">
        <v>51</v>
      </c>
      <c r="F1087" t="s">
        <v>52</v>
      </c>
      <c r="G1087" t="e">
        <f>VLOOKUP($A1087,'CA-US List'!$A:$C,3,0)</f>
        <v>#N/A</v>
      </c>
      <c r="H1087" t="s">
        <v>9</v>
      </c>
    </row>
    <row r="1088" spans="1:8" x14ac:dyDescent="0.25">
      <c r="A1088">
        <v>68746232</v>
      </c>
      <c r="B1088">
        <v>2904</v>
      </c>
      <c r="C1088">
        <v>296</v>
      </c>
      <c r="D1088" s="19">
        <v>46081</v>
      </c>
      <c r="E1088" t="s">
        <v>51</v>
      </c>
      <c r="F1088" t="s">
        <v>52</v>
      </c>
      <c r="G1088" t="e">
        <f>VLOOKUP($A1088,'CA-US List'!$A:$C,3,0)</f>
        <v>#N/A</v>
      </c>
      <c r="H1088" t="s">
        <v>9</v>
      </c>
    </row>
    <row r="1089" spans="1:8" x14ac:dyDescent="0.25">
      <c r="A1089">
        <v>68746232</v>
      </c>
      <c r="B1089">
        <v>2904</v>
      </c>
      <c r="C1089">
        <v>998</v>
      </c>
      <c r="D1089" s="19">
        <v>46081</v>
      </c>
      <c r="E1089" t="s">
        <v>51</v>
      </c>
      <c r="F1089" t="s">
        <v>52</v>
      </c>
      <c r="G1089" t="e">
        <f>VLOOKUP($A1089,'CA-US List'!$A:$C,3,0)</f>
        <v>#N/A</v>
      </c>
      <c r="H1089" t="s">
        <v>9</v>
      </c>
    </row>
    <row r="1090" spans="1:8" x14ac:dyDescent="0.25">
      <c r="A1090">
        <v>68746232</v>
      </c>
      <c r="B1090">
        <v>2904</v>
      </c>
      <c r="C1090">
        <v>1188</v>
      </c>
      <c r="D1090" s="19">
        <v>46082</v>
      </c>
      <c r="E1090" t="s">
        <v>51</v>
      </c>
      <c r="F1090" t="s">
        <v>52</v>
      </c>
      <c r="G1090" t="e">
        <f>VLOOKUP($A1090,'CA-US List'!$A:$C,3,0)</f>
        <v>#N/A</v>
      </c>
      <c r="H1090" t="s">
        <v>9</v>
      </c>
    </row>
    <row r="1091" spans="1:8" x14ac:dyDescent="0.25">
      <c r="A1091">
        <v>68746232</v>
      </c>
      <c r="B1091">
        <v>2904</v>
      </c>
      <c r="C1091">
        <v>1556</v>
      </c>
      <c r="D1091" s="19">
        <v>46082</v>
      </c>
      <c r="E1091" t="s">
        <v>51</v>
      </c>
      <c r="F1091" t="s">
        <v>52</v>
      </c>
      <c r="G1091" t="e">
        <f>VLOOKUP($A1091,'CA-US List'!$A:$C,3,0)</f>
        <v>#N/A</v>
      </c>
      <c r="H1091" t="s">
        <v>9</v>
      </c>
    </row>
    <row r="1092" spans="1:8" x14ac:dyDescent="0.25">
      <c r="A1092">
        <v>68746232</v>
      </c>
      <c r="B1092">
        <v>2904</v>
      </c>
      <c r="C1092">
        <v>1428</v>
      </c>
      <c r="D1092" s="19">
        <v>46083</v>
      </c>
      <c r="E1092" t="s">
        <v>51</v>
      </c>
      <c r="F1092" t="s">
        <v>52</v>
      </c>
      <c r="G1092" t="e">
        <f>VLOOKUP($A1092,'CA-US List'!$A:$C,3,0)</f>
        <v>#N/A</v>
      </c>
      <c r="H1092" t="s">
        <v>9</v>
      </c>
    </row>
    <row r="1093" spans="1:8" x14ac:dyDescent="0.25">
      <c r="A1093">
        <v>68746232</v>
      </c>
      <c r="B1093">
        <v>2904</v>
      </c>
      <c r="C1093">
        <v>132</v>
      </c>
      <c r="D1093" s="19">
        <v>46076</v>
      </c>
      <c r="E1093" t="s">
        <v>51</v>
      </c>
      <c r="F1093" t="s">
        <v>52</v>
      </c>
      <c r="G1093" t="e">
        <f>VLOOKUP($A1093,'CA-US List'!$A:$C,3,0)</f>
        <v>#N/A</v>
      </c>
      <c r="H1093" t="s">
        <v>9</v>
      </c>
    </row>
    <row r="1094" spans="1:8" x14ac:dyDescent="0.25">
      <c r="A1094">
        <v>68746232</v>
      </c>
      <c r="B1094">
        <v>2904</v>
      </c>
      <c r="C1094">
        <v>926</v>
      </c>
      <c r="D1094" s="19">
        <v>46076</v>
      </c>
      <c r="E1094" t="s">
        <v>51</v>
      </c>
      <c r="F1094" t="s">
        <v>52</v>
      </c>
      <c r="G1094" t="e">
        <f>VLOOKUP($A1094,'CA-US List'!$A:$C,3,0)</f>
        <v>#N/A</v>
      </c>
      <c r="H1094" t="s">
        <v>9</v>
      </c>
    </row>
    <row r="1095" spans="1:8" x14ac:dyDescent="0.25">
      <c r="A1095">
        <v>68746232</v>
      </c>
      <c r="B1095">
        <v>2904</v>
      </c>
      <c r="C1095">
        <v>381</v>
      </c>
      <c r="D1095" s="19">
        <v>46076</v>
      </c>
      <c r="E1095" t="s">
        <v>51</v>
      </c>
      <c r="F1095" t="s">
        <v>52</v>
      </c>
      <c r="G1095" t="e">
        <f>VLOOKUP($A1095,'CA-US List'!$A:$C,3,0)</f>
        <v>#N/A</v>
      </c>
      <c r="H1095" t="s">
        <v>9</v>
      </c>
    </row>
    <row r="1096" spans="1:8" x14ac:dyDescent="0.25">
      <c r="A1096">
        <v>68746232</v>
      </c>
      <c r="B1096">
        <v>2904</v>
      </c>
      <c r="C1096">
        <v>1056</v>
      </c>
      <c r="D1096" s="19">
        <v>46077</v>
      </c>
      <c r="E1096" t="s">
        <v>51</v>
      </c>
      <c r="F1096" t="s">
        <v>52</v>
      </c>
      <c r="G1096" t="e">
        <f>VLOOKUP($A1096,'CA-US List'!$A:$C,3,0)</f>
        <v>#N/A</v>
      </c>
      <c r="H1096" t="s">
        <v>9</v>
      </c>
    </row>
    <row r="1097" spans="1:8" x14ac:dyDescent="0.25">
      <c r="A1097">
        <v>68746232</v>
      </c>
      <c r="B1097">
        <v>2904</v>
      </c>
      <c r="C1097">
        <v>447</v>
      </c>
      <c r="D1097" s="19">
        <v>46077</v>
      </c>
      <c r="E1097" t="s">
        <v>51</v>
      </c>
      <c r="F1097" t="s">
        <v>52</v>
      </c>
      <c r="G1097" t="e">
        <f>VLOOKUP($A1097,'CA-US List'!$A:$C,3,0)</f>
        <v>#N/A</v>
      </c>
      <c r="H1097" t="s">
        <v>9</v>
      </c>
    </row>
    <row r="1098" spans="1:8" x14ac:dyDescent="0.25">
      <c r="A1098">
        <v>68746232</v>
      </c>
      <c r="B1098">
        <v>2904</v>
      </c>
      <c r="C1098">
        <v>1056</v>
      </c>
      <c r="D1098" s="19">
        <v>46078</v>
      </c>
      <c r="E1098" t="s">
        <v>51</v>
      </c>
      <c r="F1098" t="s">
        <v>52</v>
      </c>
      <c r="G1098" t="e">
        <f>VLOOKUP($A1098,'CA-US List'!$A:$C,3,0)</f>
        <v>#N/A</v>
      </c>
      <c r="H1098" t="s">
        <v>9</v>
      </c>
    </row>
    <row r="1099" spans="1:8" x14ac:dyDescent="0.25">
      <c r="A1099">
        <v>68746232</v>
      </c>
      <c r="B1099">
        <v>2904</v>
      </c>
      <c r="C1099">
        <v>1245</v>
      </c>
      <c r="D1099" s="19">
        <v>46083</v>
      </c>
      <c r="E1099" t="s">
        <v>51</v>
      </c>
      <c r="F1099" t="s">
        <v>52</v>
      </c>
      <c r="G1099" t="e">
        <f>VLOOKUP($A1099,'CA-US List'!$A:$C,3,0)</f>
        <v>#N/A</v>
      </c>
      <c r="H1099" t="s">
        <v>9</v>
      </c>
    </row>
    <row r="1100" spans="1:8" x14ac:dyDescent="0.25">
      <c r="A1100">
        <v>68746232</v>
      </c>
      <c r="B1100">
        <v>2904</v>
      </c>
      <c r="C1100">
        <v>1403</v>
      </c>
      <c r="D1100" s="19">
        <v>46084</v>
      </c>
      <c r="E1100" t="s">
        <v>51</v>
      </c>
      <c r="F1100" t="s">
        <v>52</v>
      </c>
      <c r="G1100" t="e">
        <f>VLOOKUP($A1100,'CA-US List'!$A:$C,3,0)</f>
        <v>#N/A</v>
      </c>
      <c r="H1100" t="s">
        <v>9</v>
      </c>
    </row>
    <row r="1101" spans="1:8" x14ac:dyDescent="0.25">
      <c r="A1101">
        <v>68746232</v>
      </c>
      <c r="B1101">
        <v>2904</v>
      </c>
      <c r="C1101">
        <v>1861</v>
      </c>
      <c r="D1101" s="19">
        <v>46084</v>
      </c>
      <c r="E1101" t="s">
        <v>51</v>
      </c>
      <c r="F1101" t="s">
        <v>52</v>
      </c>
      <c r="G1101" t="e">
        <f>VLOOKUP($A1101,'CA-US List'!$A:$C,3,0)</f>
        <v>#N/A</v>
      </c>
      <c r="H1101" t="s">
        <v>9</v>
      </c>
    </row>
    <row r="1102" spans="1:8" x14ac:dyDescent="0.25">
      <c r="A1102">
        <v>68746232</v>
      </c>
      <c r="B1102">
        <v>2904</v>
      </c>
      <c r="C1102">
        <v>1618</v>
      </c>
      <c r="D1102" s="19">
        <v>46085</v>
      </c>
      <c r="E1102" t="s">
        <v>51</v>
      </c>
      <c r="F1102" t="s">
        <v>52</v>
      </c>
      <c r="G1102" t="e">
        <f>VLOOKUP($A1102,'CA-US List'!$A:$C,3,0)</f>
        <v>#N/A</v>
      </c>
      <c r="H1102" t="s">
        <v>9</v>
      </c>
    </row>
    <row r="1103" spans="1:8" x14ac:dyDescent="0.25">
      <c r="A1103">
        <v>68746232</v>
      </c>
      <c r="B1103">
        <v>2904</v>
      </c>
      <c r="C1103">
        <v>-137</v>
      </c>
      <c r="D1103" s="19">
        <v>46090</v>
      </c>
      <c r="E1103" t="s">
        <v>51</v>
      </c>
      <c r="F1103" t="s">
        <v>52</v>
      </c>
      <c r="G1103" t="e">
        <f>VLOOKUP($A1103,'CA-US List'!$A:$C,3,0)</f>
        <v>#N/A</v>
      </c>
      <c r="H1103" t="s">
        <v>9</v>
      </c>
    </row>
    <row r="1104" spans="1:8" x14ac:dyDescent="0.25">
      <c r="A1104">
        <v>68746232</v>
      </c>
      <c r="B1104">
        <v>2904</v>
      </c>
      <c r="C1104">
        <v>1848</v>
      </c>
      <c r="D1104" s="19">
        <v>46085</v>
      </c>
      <c r="E1104" t="s">
        <v>51</v>
      </c>
      <c r="F1104" t="s">
        <v>52</v>
      </c>
      <c r="G1104" t="e">
        <f>VLOOKUP($A1104,'CA-US List'!$A:$C,3,0)</f>
        <v>#N/A</v>
      </c>
      <c r="H1104" t="s">
        <v>9</v>
      </c>
    </row>
    <row r="1105" spans="1:8" x14ac:dyDescent="0.25">
      <c r="A1105">
        <v>68746232</v>
      </c>
      <c r="B1105">
        <v>2904</v>
      </c>
      <c r="C1105">
        <v>1397</v>
      </c>
      <c r="D1105" s="19">
        <v>46086</v>
      </c>
      <c r="E1105" t="s">
        <v>51</v>
      </c>
      <c r="F1105" t="s">
        <v>52</v>
      </c>
      <c r="G1105" t="e">
        <f>VLOOKUP($A1105,'CA-US List'!$A:$C,3,0)</f>
        <v>#N/A</v>
      </c>
      <c r="H1105" t="s">
        <v>9</v>
      </c>
    </row>
    <row r="1106" spans="1:8" x14ac:dyDescent="0.25">
      <c r="A1106">
        <v>68746232</v>
      </c>
      <c r="B1106">
        <v>2904</v>
      </c>
      <c r="C1106">
        <v>337</v>
      </c>
      <c r="D1106" s="19">
        <v>46086</v>
      </c>
      <c r="E1106" t="s">
        <v>51</v>
      </c>
      <c r="F1106" t="s">
        <v>52</v>
      </c>
      <c r="G1106" t="e">
        <f>VLOOKUP($A1106,'CA-US List'!$A:$C,3,0)</f>
        <v>#N/A</v>
      </c>
      <c r="H1106" t="s">
        <v>9</v>
      </c>
    </row>
    <row r="1107" spans="1:8" x14ac:dyDescent="0.25">
      <c r="A1107">
        <v>68746232</v>
      </c>
      <c r="B1107">
        <v>2904</v>
      </c>
      <c r="C1107">
        <v>932</v>
      </c>
      <c r="D1107" s="19">
        <v>46087</v>
      </c>
      <c r="E1107" t="s">
        <v>51</v>
      </c>
      <c r="F1107" t="s">
        <v>52</v>
      </c>
      <c r="G1107" t="e">
        <f>VLOOKUP($A1107,'CA-US List'!$A:$C,3,0)</f>
        <v>#N/A</v>
      </c>
      <c r="H1107" t="s">
        <v>9</v>
      </c>
    </row>
    <row r="1108" spans="1:8" x14ac:dyDescent="0.25">
      <c r="A1108">
        <v>68746232</v>
      </c>
      <c r="B1108">
        <v>2904</v>
      </c>
      <c r="C1108">
        <v>13</v>
      </c>
      <c r="D1108" s="19">
        <v>46090</v>
      </c>
      <c r="E1108" t="s">
        <v>51</v>
      </c>
      <c r="F1108" t="s">
        <v>52</v>
      </c>
      <c r="G1108" t="e">
        <f>VLOOKUP($A1108,'CA-US List'!$A:$C,3,0)</f>
        <v>#N/A</v>
      </c>
      <c r="H1108" t="s">
        <v>9</v>
      </c>
    </row>
    <row r="1109" spans="1:8" x14ac:dyDescent="0.25">
      <c r="A1109">
        <v>68746232</v>
      </c>
      <c r="B1109">
        <v>2904</v>
      </c>
      <c r="C1109">
        <v>1320</v>
      </c>
      <c r="D1109" s="19">
        <v>46087</v>
      </c>
      <c r="E1109" t="s">
        <v>51</v>
      </c>
      <c r="F1109" t="s">
        <v>52</v>
      </c>
      <c r="G1109" t="e">
        <f>VLOOKUP($A1109,'CA-US List'!$A:$C,3,0)</f>
        <v>#N/A</v>
      </c>
      <c r="H1109" t="s">
        <v>9</v>
      </c>
    </row>
    <row r="1110" spans="1:8" x14ac:dyDescent="0.25">
      <c r="A1110">
        <v>68746232</v>
      </c>
      <c r="B1110">
        <v>2904</v>
      </c>
      <c r="C1110">
        <v>1194</v>
      </c>
      <c r="D1110" s="19">
        <v>46088</v>
      </c>
      <c r="E1110" t="s">
        <v>51</v>
      </c>
      <c r="F1110" t="s">
        <v>52</v>
      </c>
      <c r="G1110" t="e">
        <f>VLOOKUP($A1110,'CA-US List'!$A:$C,3,0)</f>
        <v>#N/A</v>
      </c>
      <c r="H1110" t="s">
        <v>9</v>
      </c>
    </row>
    <row r="1111" spans="1:8" x14ac:dyDescent="0.25">
      <c r="A1111">
        <v>68746232</v>
      </c>
      <c r="B1111">
        <v>2904</v>
      </c>
      <c r="C1111">
        <v>69</v>
      </c>
      <c r="D1111" s="19">
        <v>46090</v>
      </c>
      <c r="E1111" t="s">
        <v>51</v>
      </c>
      <c r="F1111" t="s">
        <v>52</v>
      </c>
      <c r="G1111" t="e">
        <f>VLOOKUP($A1111,'CA-US List'!$A:$C,3,0)</f>
        <v>#N/A</v>
      </c>
      <c r="H1111" t="s">
        <v>9</v>
      </c>
    </row>
    <row r="1112" spans="1:8" x14ac:dyDescent="0.25">
      <c r="A1112">
        <v>68746232</v>
      </c>
      <c r="B1112">
        <v>2904</v>
      </c>
      <c r="C1112">
        <v>1243</v>
      </c>
      <c r="D1112" s="19">
        <v>46088</v>
      </c>
      <c r="E1112" t="s">
        <v>51</v>
      </c>
      <c r="F1112" t="s">
        <v>52</v>
      </c>
      <c r="G1112" t="e">
        <f>VLOOKUP($A1112,'CA-US List'!$A:$C,3,0)</f>
        <v>#N/A</v>
      </c>
      <c r="H1112" t="s">
        <v>9</v>
      </c>
    </row>
    <row r="1113" spans="1:8" x14ac:dyDescent="0.25">
      <c r="A1113">
        <v>68746232</v>
      </c>
      <c r="B1113">
        <v>2904</v>
      </c>
      <c r="C1113">
        <v>1421</v>
      </c>
      <c r="D1113" s="19">
        <v>46089</v>
      </c>
      <c r="E1113" t="s">
        <v>51</v>
      </c>
      <c r="F1113" t="s">
        <v>52</v>
      </c>
      <c r="G1113" t="e">
        <f>VLOOKUP($A1113,'CA-US List'!$A:$C,3,0)</f>
        <v>#N/A</v>
      </c>
      <c r="H1113" t="s">
        <v>9</v>
      </c>
    </row>
    <row r="1114" spans="1:8" x14ac:dyDescent="0.25">
      <c r="A1114">
        <v>68746232</v>
      </c>
      <c r="B1114">
        <v>2904</v>
      </c>
      <c r="C1114">
        <v>1013</v>
      </c>
      <c r="D1114" s="19">
        <v>46089</v>
      </c>
      <c r="E1114" t="s">
        <v>51</v>
      </c>
      <c r="F1114" t="s">
        <v>52</v>
      </c>
      <c r="G1114" t="e">
        <f>VLOOKUP($A1114,'CA-US List'!$A:$C,3,0)</f>
        <v>#N/A</v>
      </c>
      <c r="H1114" t="s">
        <v>9</v>
      </c>
    </row>
    <row r="1115" spans="1:8" x14ac:dyDescent="0.25">
      <c r="A1115">
        <v>68746232</v>
      </c>
      <c r="B1115">
        <v>2904</v>
      </c>
      <c r="C1115">
        <v>957</v>
      </c>
      <c r="D1115" s="19">
        <v>46090</v>
      </c>
      <c r="E1115" t="s">
        <v>51</v>
      </c>
      <c r="F1115" t="s">
        <v>52</v>
      </c>
      <c r="G1115" t="e">
        <f>VLOOKUP($A1115,'CA-US List'!$A:$C,3,0)</f>
        <v>#N/A</v>
      </c>
      <c r="H1115" t="s">
        <v>9</v>
      </c>
    </row>
    <row r="1116" spans="1:8" x14ac:dyDescent="0.25">
      <c r="A1116">
        <v>68746232</v>
      </c>
      <c r="B1116">
        <v>2904</v>
      </c>
      <c r="C1116">
        <v>1314</v>
      </c>
      <c r="D1116" s="19">
        <v>46090</v>
      </c>
      <c r="E1116" t="s">
        <v>51</v>
      </c>
      <c r="F1116" t="s">
        <v>52</v>
      </c>
      <c r="G1116" t="e">
        <f>VLOOKUP($A1116,'CA-US List'!$A:$C,3,0)</f>
        <v>#N/A</v>
      </c>
      <c r="H1116" t="s">
        <v>9</v>
      </c>
    </row>
    <row r="1117" spans="1:8" x14ac:dyDescent="0.25">
      <c r="A1117">
        <v>68746232</v>
      </c>
      <c r="B1117">
        <v>2904</v>
      </c>
      <c r="C1117">
        <v>948</v>
      </c>
      <c r="D1117" s="19">
        <v>46091</v>
      </c>
      <c r="E1117" t="s">
        <v>51</v>
      </c>
      <c r="F1117" t="s">
        <v>52</v>
      </c>
      <c r="G1117" t="e">
        <f>VLOOKUP($A1117,'CA-US List'!$A:$C,3,0)</f>
        <v>#N/A</v>
      </c>
      <c r="H1117" t="s">
        <v>9</v>
      </c>
    </row>
    <row r="1118" spans="1:8" x14ac:dyDescent="0.25">
      <c r="A1118">
        <v>68746232</v>
      </c>
      <c r="B1118">
        <v>2904</v>
      </c>
      <c r="C1118">
        <v>60</v>
      </c>
      <c r="D1118" s="19">
        <v>46091</v>
      </c>
      <c r="E1118" t="s">
        <v>51</v>
      </c>
      <c r="F1118" t="s">
        <v>52</v>
      </c>
      <c r="G1118" t="e">
        <f>VLOOKUP($A1118,'CA-US List'!$A:$C,3,0)</f>
        <v>#N/A</v>
      </c>
      <c r="H1118" t="s">
        <v>9</v>
      </c>
    </row>
    <row r="1119" spans="1:8" x14ac:dyDescent="0.25">
      <c r="A1119">
        <v>68746232</v>
      </c>
      <c r="B1119">
        <v>2904</v>
      </c>
      <c r="C1119">
        <v>924</v>
      </c>
      <c r="D1119" s="19">
        <v>46092</v>
      </c>
      <c r="E1119" t="s">
        <v>51</v>
      </c>
      <c r="F1119" t="s">
        <v>52</v>
      </c>
      <c r="G1119" t="e">
        <f>VLOOKUP($A1119,'CA-US List'!$A:$C,3,0)</f>
        <v>#N/A</v>
      </c>
      <c r="H1119" t="s">
        <v>9</v>
      </c>
    </row>
    <row r="1120" spans="1:8" x14ac:dyDescent="0.25">
      <c r="A1120">
        <v>68746232</v>
      </c>
      <c r="B1120">
        <v>2904</v>
      </c>
      <c r="C1120">
        <v>2247</v>
      </c>
      <c r="D1120" s="19">
        <v>46092</v>
      </c>
      <c r="E1120" t="s">
        <v>51</v>
      </c>
      <c r="F1120" t="s">
        <v>52</v>
      </c>
      <c r="G1120" t="e">
        <f>VLOOKUP($A1120,'CA-US List'!$A:$C,3,0)</f>
        <v>#N/A</v>
      </c>
      <c r="H1120" t="s">
        <v>9</v>
      </c>
    </row>
    <row r="1121" spans="1:8" x14ac:dyDescent="0.25">
      <c r="A1121">
        <v>68746232</v>
      </c>
      <c r="B1121">
        <v>2904</v>
      </c>
      <c r="C1121">
        <v>924</v>
      </c>
      <c r="D1121" s="19">
        <v>46093</v>
      </c>
      <c r="E1121" t="s">
        <v>51</v>
      </c>
      <c r="F1121" t="s">
        <v>52</v>
      </c>
      <c r="G1121" t="e">
        <f>VLOOKUP($A1121,'CA-US List'!$A:$C,3,0)</f>
        <v>#N/A</v>
      </c>
      <c r="H1121" t="s">
        <v>9</v>
      </c>
    </row>
    <row r="1122" spans="1:8" x14ac:dyDescent="0.25">
      <c r="A1122">
        <v>68746232</v>
      </c>
      <c r="B1122">
        <v>2904</v>
      </c>
      <c r="C1122">
        <v>1495</v>
      </c>
      <c r="D1122" s="19">
        <v>46093</v>
      </c>
      <c r="E1122" t="s">
        <v>51</v>
      </c>
      <c r="F1122" t="s">
        <v>52</v>
      </c>
      <c r="G1122" t="e">
        <f>VLOOKUP($A1122,'CA-US List'!$A:$C,3,0)</f>
        <v>#N/A</v>
      </c>
      <c r="H1122" t="s">
        <v>9</v>
      </c>
    </row>
    <row r="1123" spans="1:8" x14ac:dyDescent="0.25">
      <c r="A1123">
        <v>68746232</v>
      </c>
      <c r="B1123">
        <v>2904</v>
      </c>
      <c r="C1123">
        <v>1429</v>
      </c>
      <c r="D1123" s="19">
        <v>46094</v>
      </c>
      <c r="E1123" t="s">
        <v>51</v>
      </c>
      <c r="F1123" t="s">
        <v>52</v>
      </c>
      <c r="G1123" t="e">
        <f>VLOOKUP($A1123,'CA-US List'!$A:$C,3,0)</f>
        <v>#N/A</v>
      </c>
      <c r="H1123" t="s">
        <v>9</v>
      </c>
    </row>
    <row r="1124" spans="1:8" x14ac:dyDescent="0.25">
      <c r="A1124">
        <v>68746232</v>
      </c>
      <c r="B1124">
        <v>2904</v>
      </c>
      <c r="C1124">
        <v>2112</v>
      </c>
      <c r="D1124" s="19">
        <v>46094</v>
      </c>
      <c r="E1124" t="s">
        <v>51</v>
      </c>
      <c r="F1124" t="s">
        <v>52</v>
      </c>
      <c r="G1124" t="e">
        <f>VLOOKUP($A1124,'CA-US List'!$A:$C,3,0)</f>
        <v>#N/A</v>
      </c>
      <c r="H1124" t="s">
        <v>9</v>
      </c>
    </row>
    <row r="1125" spans="1:8" x14ac:dyDescent="0.25">
      <c r="A1125">
        <v>68746232</v>
      </c>
      <c r="B1125">
        <v>2904</v>
      </c>
      <c r="C1125">
        <v>1320</v>
      </c>
      <c r="D1125" s="19">
        <v>46095</v>
      </c>
      <c r="E1125" t="s">
        <v>51</v>
      </c>
      <c r="F1125" t="s">
        <v>52</v>
      </c>
      <c r="G1125" t="e">
        <f>VLOOKUP($A1125,'CA-US List'!$A:$C,3,0)</f>
        <v>#N/A</v>
      </c>
      <c r="H1125" t="s">
        <v>9</v>
      </c>
    </row>
    <row r="1126" spans="1:8" x14ac:dyDescent="0.25">
      <c r="A1126">
        <v>68746232</v>
      </c>
      <c r="B1126">
        <v>2904</v>
      </c>
      <c r="C1126">
        <v>132</v>
      </c>
      <c r="D1126" s="19">
        <v>46097</v>
      </c>
      <c r="E1126" t="s">
        <v>51</v>
      </c>
      <c r="F1126" t="s">
        <v>52</v>
      </c>
      <c r="G1126" t="e">
        <f>VLOOKUP($A1126,'CA-US List'!$A:$C,3,0)</f>
        <v>#N/A</v>
      </c>
      <c r="H1126" t="s">
        <v>9</v>
      </c>
    </row>
    <row r="1127" spans="1:8" x14ac:dyDescent="0.25">
      <c r="A1127">
        <v>68746232</v>
      </c>
      <c r="B1127">
        <v>2904</v>
      </c>
      <c r="C1127">
        <v>3087</v>
      </c>
      <c r="D1127" s="19">
        <v>46097</v>
      </c>
      <c r="E1127" t="s">
        <v>51</v>
      </c>
      <c r="F1127" t="s">
        <v>52</v>
      </c>
      <c r="G1127" t="e">
        <f>VLOOKUP($A1127,'CA-US List'!$A:$C,3,0)</f>
        <v>#N/A</v>
      </c>
      <c r="H1127" t="s">
        <v>9</v>
      </c>
    </row>
    <row r="1128" spans="1:8" x14ac:dyDescent="0.25">
      <c r="A1128">
        <v>68746232</v>
      </c>
      <c r="B1128">
        <v>2904</v>
      </c>
      <c r="C1128">
        <v>1277</v>
      </c>
      <c r="D1128" s="19">
        <v>46098</v>
      </c>
      <c r="E1128" t="s">
        <v>51</v>
      </c>
      <c r="F1128" t="s">
        <v>52</v>
      </c>
      <c r="G1128" t="e">
        <f>VLOOKUP($A1128,'CA-US List'!$A:$C,3,0)</f>
        <v>#N/A</v>
      </c>
      <c r="H1128" t="s">
        <v>9</v>
      </c>
    </row>
    <row r="1129" spans="1:8" x14ac:dyDescent="0.25">
      <c r="A1129">
        <v>68746232</v>
      </c>
      <c r="B1129">
        <v>2904</v>
      </c>
      <c r="C1129">
        <v>-1277</v>
      </c>
      <c r="D1129" s="19">
        <v>46100</v>
      </c>
      <c r="E1129" t="s">
        <v>51</v>
      </c>
      <c r="F1129" t="s">
        <v>52</v>
      </c>
      <c r="G1129" t="e">
        <f>VLOOKUP($A1129,'CA-US List'!$A:$C,3,0)</f>
        <v>#N/A</v>
      </c>
      <c r="H1129" t="s">
        <v>9</v>
      </c>
    </row>
    <row r="1130" spans="1:8" x14ac:dyDescent="0.25">
      <c r="A1130">
        <v>68746232</v>
      </c>
      <c r="B1130">
        <v>2904</v>
      </c>
      <c r="C1130">
        <v>1277</v>
      </c>
      <c r="D1130" s="19">
        <v>46097</v>
      </c>
      <c r="E1130" t="s">
        <v>51</v>
      </c>
      <c r="F1130" t="s">
        <v>52</v>
      </c>
      <c r="G1130" t="e">
        <f>VLOOKUP($A1130,'CA-US List'!$A:$C,3,0)</f>
        <v>#N/A</v>
      </c>
      <c r="H1130" t="s">
        <v>9</v>
      </c>
    </row>
    <row r="1131" spans="1:8" x14ac:dyDescent="0.25">
      <c r="A1131">
        <v>68746232</v>
      </c>
      <c r="B1131">
        <v>2904</v>
      </c>
      <c r="C1131">
        <v>-1277</v>
      </c>
      <c r="D1131" s="19">
        <v>46098</v>
      </c>
      <c r="E1131" t="s">
        <v>51</v>
      </c>
      <c r="F1131" t="s">
        <v>52</v>
      </c>
      <c r="G1131" t="e">
        <f>VLOOKUP($A1131,'CA-US List'!$A:$C,3,0)</f>
        <v>#N/A</v>
      </c>
      <c r="H1131" t="s">
        <v>9</v>
      </c>
    </row>
    <row r="1132" spans="1:8" x14ac:dyDescent="0.25">
      <c r="A1132">
        <v>68746232</v>
      </c>
      <c r="B1132">
        <v>2904</v>
      </c>
      <c r="C1132">
        <v>1277</v>
      </c>
      <c r="D1132" s="19">
        <v>46100</v>
      </c>
      <c r="E1132" t="s">
        <v>51</v>
      </c>
      <c r="F1132" t="s">
        <v>52</v>
      </c>
      <c r="G1132" t="e">
        <f>VLOOKUP($A1132,'CA-US List'!$A:$C,3,0)</f>
        <v>#N/A</v>
      </c>
      <c r="H1132" t="s">
        <v>9</v>
      </c>
    </row>
    <row r="1133" spans="1:8" x14ac:dyDescent="0.25">
      <c r="A1133">
        <v>68817796</v>
      </c>
      <c r="B1133">
        <v>2904</v>
      </c>
      <c r="C1133">
        <v>6595</v>
      </c>
      <c r="D1133" s="19">
        <v>46094</v>
      </c>
      <c r="E1133" t="s">
        <v>7</v>
      </c>
      <c r="F1133" t="s">
        <v>21</v>
      </c>
      <c r="G1133" t="e">
        <f>VLOOKUP($A1133,'CA-US List'!$A:$C,3,0)</f>
        <v>#N/A</v>
      </c>
      <c r="H1133" t="s">
        <v>9</v>
      </c>
    </row>
    <row r="1134" spans="1:8" x14ac:dyDescent="0.25">
      <c r="A1134">
        <v>68817796</v>
      </c>
      <c r="B1134">
        <v>2904</v>
      </c>
      <c r="C1134">
        <v>5631</v>
      </c>
      <c r="D1134" s="19">
        <v>46095</v>
      </c>
      <c r="E1134" t="s">
        <v>7</v>
      </c>
      <c r="F1134" t="s">
        <v>21</v>
      </c>
      <c r="G1134" t="e">
        <f>VLOOKUP($A1134,'CA-US List'!$A:$C,3,0)</f>
        <v>#N/A</v>
      </c>
      <c r="H1134" t="s">
        <v>9</v>
      </c>
    </row>
    <row r="1135" spans="1:8" x14ac:dyDescent="0.25">
      <c r="A1135">
        <v>68817796</v>
      </c>
      <c r="B1135">
        <v>2904</v>
      </c>
      <c r="C1135">
        <v>704</v>
      </c>
      <c r="D1135" s="19">
        <v>46097</v>
      </c>
      <c r="E1135" t="s">
        <v>7</v>
      </c>
      <c r="F1135" t="s">
        <v>21</v>
      </c>
      <c r="G1135" t="e">
        <f>VLOOKUP($A1135,'CA-US List'!$A:$C,3,0)</f>
        <v>#N/A</v>
      </c>
      <c r="H1135" t="s">
        <v>9</v>
      </c>
    </row>
    <row r="1136" spans="1:8" x14ac:dyDescent="0.25">
      <c r="A1136">
        <v>68817796</v>
      </c>
      <c r="B1136">
        <v>2904</v>
      </c>
      <c r="C1136">
        <v>12616</v>
      </c>
      <c r="D1136" s="19">
        <v>46097</v>
      </c>
      <c r="E1136" t="s">
        <v>7</v>
      </c>
      <c r="F1136" t="s">
        <v>21</v>
      </c>
      <c r="G1136" t="e">
        <f>VLOOKUP($A1136,'CA-US List'!$A:$C,3,0)</f>
        <v>#N/A</v>
      </c>
      <c r="H1136" t="s">
        <v>9</v>
      </c>
    </row>
    <row r="1137" spans="1:8" x14ac:dyDescent="0.25">
      <c r="A1137">
        <v>68817796</v>
      </c>
      <c r="B1137">
        <v>2904</v>
      </c>
      <c r="C1137">
        <v>352</v>
      </c>
      <c r="D1137" s="19">
        <v>46098</v>
      </c>
      <c r="E1137" t="s">
        <v>7</v>
      </c>
      <c r="F1137" t="s">
        <v>21</v>
      </c>
      <c r="G1137" t="e">
        <f>VLOOKUP($A1137,'CA-US List'!$A:$C,3,0)</f>
        <v>#N/A</v>
      </c>
      <c r="H1137" t="s">
        <v>9</v>
      </c>
    </row>
    <row r="1138" spans="1:8" x14ac:dyDescent="0.25">
      <c r="A1138">
        <v>68817796</v>
      </c>
      <c r="B1138">
        <v>2904</v>
      </c>
      <c r="C1138">
        <v>226</v>
      </c>
      <c r="D1138" s="19">
        <v>46099</v>
      </c>
      <c r="E1138" t="s">
        <v>7</v>
      </c>
      <c r="F1138" t="s">
        <v>21</v>
      </c>
      <c r="G1138" t="e">
        <f>VLOOKUP($A1138,'CA-US List'!$A:$C,3,0)</f>
        <v>#N/A</v>
      </c>
      <c r="H1138" t="s">
        <v>9</v>
      </c>
    </row>
    <row r="1139" spans="1:8" x14ac:dyDescent="0.25">
      <c r="A1139">
        <v>68817796</v>
      </c>
      <c r="B1139">
        <v>2904</v>
      </c>
      <c r="C1139">
        <v>528</v>
      </c>
      <c r="D1139" s="19">
        <v>46093</v>
      </c>
      <c r="E1139" t="s">
        <v>7</v>
      </c>
      <c r="F1139" t="s">
        <v>21</v>
      </c>
      <c r="G1139" t="e">
        <f>VLOOKUP($A1139,'CA-US List'!$A:$C,3,0)</f>
        <v>#N/A</v>
      </c>
      <c r="H1139" t="s">
        <v>9</v>
      </c>
    </row>
    <row r="1140" spans="1:8" x14ac:dyDescent="0.25">
      <c r="A1140">
        <v>68817796</v>
      </c>
      <c r="B1140">
        <v>2904</v>
      </c>
      <c r="C1140">
        <v>6688</v>
      </c>
      <c r="D1140" s="19">
        <v>46094</v>
      </c>
      <c r="E1140" t="s">
        <v>7</v>
      </c>
      <c r="F1140" t="s">
        <v>21</v>
      </c>
      <c r="G1140" t="e">
        <f>VLOOKUP($A1140,'CA-US List'!$A:$C,3,0)</f>
        <v>#N/A</v>
      </c>
      <c r="H1140" t="s">
        <v>9</v>
      </c>
    </row>
    <row r="1141" spans="1:8" x14ac:dyDescent="0.25">
      <c r="A1141">
        <v>68817800</v>
      </c>
      <c r="B1141">
        <v>2904</v>
      </c>
      <c r="C1141">
        <v>2894</v>
      </c>
      <c r="D1141" s="19">
        <v>46076</v>
      </c>
      <c r="E1141" t="s">
        <v>693</v>
      </c>
      <c r="F1141" t="s">
        <v>17</v>
      </c>
      <c r="G1141" t="e">
        <f>VLOOKUP($A1141,'CA-US List'!$A:$C,3,0)</f>
        <v>#N/A</v>
      </c>
      <c r="H1141" t="s">
        <v>9</v>
      </c>
    </row>
    <row r="1142" spans="1:8" x14ac:dyDescent="0.25">
      <c r="A1142">
        <v>68817801</v>
      </c>
      <c r="B1142">
        <v>2904</v>
      </c>
      <c r="C1142">
        <v>528</v>
      </c>
      <c r="D1142" s="19">
        <v>46090</v>
      </c>
      <c r="E1142" t="s">
        <v>102</v>
      </c>
      <c r="F1142" t="s">
        <v>21</v>
      </c>
      <c r="G1142" t="e">
        <f>VLOOKUP($A1142,'CA-US List'!$A:$C,3,0)</f>
        <v>#N/A</v>
      </c>
      <c r="H1142" t="s">
        <v>9</v>
      </c>
    </row>
    <row r="1143" spans="1:8" x14ac:dyDescent="0.25">
      <c r="A1143">
        <v>68817801</v>
      </c>
      <c r="B1143">
        <v>2904</v>
      </c>
      <c r="C1143">
        <v>4928</v>
      </c>
      <c r="D1143" s="19">
        <v>46091</v>
      </c>
      <c r="E1143" t="s">
        <v>102</v>
      </c>
      <c r="F1143" t="s">
        <v>21</v>
      </c>
      <c r="G1143" t="e">
        <f>VLOOKUP($A1143,'CA-US List'!$A:$C,3,0)</f>
        <v>#N/A</v>
      </c>
      <c r="H1143" t="s">
        <v>9</v>
      </c>
    </row>
    <row r="1144" spans="1:8" x14ac:dyDescent="0.25">
      <c r="A1144">
        <v>68817801</v>
      </c>
      <c r="B1144">
        <v>2904</v>
      </c>
      <c r="C1144">
        <v>7295</v>
      </c>
      <c r="D1144" s="19">
        <v>46091</v>
      </c>
      <c r="E1144" t="s">
        <v>102</v>
      </c>
      <c r="F1144" t="s">
        <v>21</v>
      </c>
      <c r="G1144" t="e">
        <f>VLOOKUP($A1144,'CA-US List'!$A:$C,3,0)</f>
        <v>#N/A</v>
      </c>
      <c r="H1144" t="s">
        <v>9</v>
      </c>
    </row>
    <row r="1145" spans="1:8" x14ac:dyDescent="0.25">
      <c r="A1145">
        <v>68817801</v>
      </c>
      <c r="B1145">
        <v>2904</v>
      </c>
      <c r="C1145">
        <v>5808</v>
      </c>
      <c r="D1145" s="19">
        <v>46092</v>
      </c>
      <c r="E1145" t="s">
        <v>102</v>
      </c>
      <c r="F1145" t="s">
        <v>21</v>
      </c>
      <c r="G1145" t="e">
        <f>VLOOKUP($A1145,'CA-US List'!$A:$C,3,0)</f>
        <v>#N/A</v>
      </c>
      <c r="H1145" t="s">
        <v>9</v>
      </c>
    </row>
    <row r="1146" spans="1:8" x14ac:dyDescent="0.25">
      <c r="A1146">
        <v>68817801</v>
      </c>
      <c r="B1146">
        <v>2904</v>
      </c>
      <c r="C1146">
        <v>8258</v>
      </c>
      <c r="D1146" s="19">
        <v>46092</v>
      </c>
      <c r="E1146" t="s">
        <v>102</v>
      </c>
      <c r="F1146" t="s">
        <v>21</v>
      </c>
      <c r="G1146" t="e">
        <f>VLOOKUP($A1146,'CA-US List'!$A:$C,3,0)</f>
        <v>#N/A</v>
      </c>
      <c r="H1146" t="s">
        <v>9</v>
      </c>
    </row>
    <row r="1147" spans="1:8" x14ac:dyDescent="0.25">
      <c r="A1147">
        <v>68817801</v>
      </c>
      <c r="B1147">
        <v>2904</v>
      </c>
      <c r="C1147">
        <v>6801</v>
      </c>
      <c r="D1147" s="19">
        <v>46093</v>
      </c>
      <c r="E1147" t="s">
        <v>102</v>
      </c>
      <c r="F1147" t="s">
        <v>21</v>
      </c>
      <c r="G1147" t="e">
        <f>VLOOKUP($A1147,'CA-US List'!$A:$C,3,0)</f>
        <v>#N/A</v>
      </c>
      <c r="H1147" t="s">
        <v>9</v>
      </c>
    </row>
    <row r="1148" spans="1:8" x14ac:dyDescent="0.25">
      <c r="A1148">
        <v>68817801</v>
      </c>
      <c r="B1148">
        <v>2904</v>
      </c>
      <c r="C1148">
        <v>5132</v>
      </c>
      <c r="D1148" s="19">
        <v>46093</v>
      </c>
      <c r="E1148" t="s">
        <v>102</v>
      </c>
      <c r="F1148" t="s">
        <v>21</v>
      </c>
      <c r="G1148" t="e">
        <f>VLOOKUP($A1148,'CA-US List'!$A:$C,3,0)</f>
        <v>#N/A</v>
      </c>
      <c r="H1148" t="s">
        <v>9</v>
      </c>
    </row>
    <row r="1149" spans="1:8" x14ac:dyDescent="0.25">
      <c r="A1149">
        <v>68817801</v>
      </c>
      <c r="B1149">
        <v>2904</v>
      </c>
      <c r="C1149">
        <v>5766</v>
      </c>
      <c r="D1149" s="19">
        <v>46097</v>
      </c>
      <c r="E1149" t="s">
        <v>102</v>
      </c>
      <c r="F1149" t="s">
        <v>21</v>
      </c>
      <c r="G1149" t="e">
        <f>VLOOKUP($A1149,'CA-US List'!$A:$C,3,0)</f>
        <v>#N/A</v>
      </c>
      <c r="H1149" t="s">
        <v>9</v>
      </c>
    </row>
    <row r="1150" spans="1:8" x14ac:dyDescent="0.25">
      <c r="A1150">
        <v>68817801</v>
      </c>
      <c r="B1150">
        <v>2904</v>
      </c>
      <c r="C1150">
        <v>528</v>
      </c>
      <c r="D1150" s="19">
        <v>46098</v>
      </c>
      <c r="E1150" t="s">
        <v>102</v>
      </c>
      <c r="F1150" t="s">
        <v>21</v>
      </c>
      <c r="G1150" t="e">
        <f>VLOOKUP($A1150,'CA-US List'!$A:$C,3,0)</f>
        <v>#N/A</v>
      </c>
      <c r="H1150" t="s">
        <v>9</v>
      </c>
    </row>
    <row r="1151" spans="1:8" x14ac:dyDescent="0.25">
      <c r="A1151">
        <v>68821728</v>
      </c>
      <c r="B1151">
        <v>2904</v>
      </c>
      <c r="C1151">
        <v>2152</v>
      </c>
      <c r="D1151" s="19">
        <v>46087</v>
      </c>
      <c r="E1151" t="s">
        <v>695</v>
      </c>
      <c r="F1151" t="s">
        <v>21</v>
      </c>
      <c r="G1151" t="e">
        <f>VLOOKUP($A1151,'CA-US List'!$A:$C,3,0)</f>
        <v>#N/A</v>
      </c>
      <c r="H1151" t="s">
        <v>9</v>
      </c>
    </row>
    <row r="1152" spans="1:8" x14ac:dyDescent="0.25">
      <c r="A1152">
        <v>68821728</v>
      </c>
      <c r="B1152">
        <v>2904</v>
      </c>
      <c r="C1152">
        <v>6688</v>
      </c>
      <c r="D1152" s="19">
        <v>46087</v>
      </c>
      <c r="E1152" t="s">
        <v>695</v>
      </c>
      <c r="F1152" t="s">
        <v>21</v>
      </c>
      <c r="G1152" t="e">
        <f>VLOOKUP($A1152,'CA-US List'!$A:$C,3,0)</f>
        <v>#N/A</v>
      </c>
      <c r="H1152" t="s">
        <v>9</v>
      </c>
    </row>
    <row r="1153" spans="1:8" x14ac:dyDescent="0.25">
      <c r="A1153">
        <v>68821728</v>
      </c>
      <c r="B1153">
        <v>2904</v>
      </c>
      <c r="C1153">
        <v>6516</v>
      </c>
      <c r="D1153" s="19">
        <v>46088</v>
      </c>
      <c r="E1153" t="s">
        <v>695</v>
      </c>
      <c r="F1153" t="s">
        <v>21</v>
      </c>
      <c r="G1153" t="e">
        <f>VLOOKUP($A1153,'CA-US List'!$A:$C,3,0)</f>
        <v>#N/A</v>
      </c>
      <c r="H1153" t="s">
        <v>9</v>
      </c>
    </row>
    <row r="1154" spans="1:8" x14ac:dyDescent="0.25">
      <c r="A1154">
        <v>68821728</v>
      </c>
      <c r="B1154">
        <v>2904</v>
      </c>
      <c r="C1154">
        <v>6336</v>
      </c>
      <c r="D1154" s="19">
        <v>46088</v>
      </c>
      <c r="E1154" t="s">
        <v>695</v>
      </c>
      <c r="F1154" t="s">
        <v>21</v>
      </c>
      <c r="G1154" t="e">
        <f>VLOOKUP($A1154,'CA-US List'!$A:$C,3,0)</f>
        <v>#N/A</v>
      </c>
      <c r="H1154" t="s">
        <v>9</v>
      </c>
    </row>
    <row r="1155" spans="1:8" x14ac:dyDescent="0.25">
      <c r="A1155">
        <v>68821728</v>
      </c>
      <c r="B1155">
        <v>2904</v>
      </c>
      <c r="C1155">
        <v>5894</v>
      </c>
      <c r="D1155" s="19">
        <v>46089</v>
      </c>
      <c r="E1155" t="s">
        <v>695</v>
      </c>
      <c r="F1155" t="s">
        <v>21</v>
      </c>
      <c r="G1155" t="e">
        <f>VLOOKUP($A1155,'CA-US List'!$A:$C,3,0)</f>
        <v>#N/A</v>
      </c>
      <c r="H1155" t="s">
        <v>9</v>
      </c>
    </row>
    <row r="1156" spans="1:8" x14ac:dyDescent="0.25">
      <c r="A1156">
        <v>68821728</v>
      </c>
      <c r="B1156">
        <v>2904</v>
      </c>
      <c r="C1156">
        <v>-9</v>
      </c>
      <c r="D1156" s="19">
        <v>46100</v>
      </c>
      <c r="E1156" t="s">
        <v>695</v>
      </c>
      <c r="F1156" t="s">
        <v>21</v>
      </c>
      <c r="G1156" t="e">
        <f>VLOOKUP($A1156,'CA-US List'!$A:$C,3,0)</f>
        <v>#N/A</v>
      </c>
      <c r="H1156" t="s">
        <v>9</v>
      </c>
    </row>
    <row r="1157" spans="1:8" x14ac:dyDescent="0.25">
      <c r="A1157">
        <v>68821728</v>
      </c>
      <c r="B1157">
        <v>2904</v>
      </c>
      <c r="C1157">
        <v>4282</v>
      </c>
      <c r="D1157" s="19">
        <v>46089</v>
      </c>
      <c r="E1157" t="s">
        <v>695</v>
      </c>
      <c r="F1157" t="s">
        <v>9</v>
      </c>
      <c r="G1157" t="e">
        <f>VLOOKUP($A1157,'CA-US List'!$A:$C,3,0)</f>
        <v>#N/A</v>
      </c>
      <c r="H1157" t="s">
        <v>9</v>
      </c>
    </row>
    <row r="1158" spans="1:8" x14ac:dyDescent="0.25">
      <c r="A1158">
        <v>68821734</v>
      </c>
      <c r="B1158">
        <v>2904</v>
      </c>
      <c r="C1158">
        <v>704</v>
      </c>
      <c r="D1158" s="19">
        <v>46097</v>
      </c>
      <c r="E1158" t="s">
        <v>144</v>
      </c>
      <c r="F1158" t="s">
        <v>12</v>
      </c>
      <c r="G1158" t="e">
        <f>VLOOKUP($A1158,'CA-US List'!$A:$C,3,0)</f>
        <v>#N/A</v>
      </c>
      <c r="H1158" t="s">
        <v>9</v>
      </c>
    </row>
    <row r="1159" spans="1:8" x14ac:dyDescent="0.25">
      <c r="A1159">
        <v>68821734</v>
      </c>
      <c r="B1159">
        <v>2904</v>
      </c>
      <c r="C1159">
        <v>9680</v>
      </c>
      <c r="D1159" s="19">
        <v>46097</v>
      </c>
      <c r="E1159" t="s">
        <v>144</v>
      </c>
      <c r="F1159" t="s">
        <v>12</v>
      </c>
      <c r="G1159" t="e">
        <f>VLOOKUP($A1159,'CA-US List'!$A:$C,3,0)</f>
        <v>#N/A</v>
      </c>
      <c r="H1159" t="s">
        <v>9</v>
      </c>
    </row>
    <row r="1160" spans="1:8" x14ac:dyDescent="0.25">
      <c r="A1160">
        <v>68821734</v>
      </c>
      <c r="B1160">
        <v>2904</v>
      </c>
      <c r="C1160">
        <v>8448</v>
      </c>
      <c r="D1160" s="19">
        <v>46098</v>
      </c>
      <c r="E1160" t="s">
        <v>144</v>
      </c>
      <c r="F1160" t="s">
        <v>12</v>
      </c>
      <c r="G1160" t="e">
        <f>VLOOKUP($A1160,'CA-US List'!$A:$C,3,0)</f>
        <v>#N/A</v>
      </c>
      <c r="H1160" t="s">
        <v>9</v>
      </c>
    </row>
    <row r="1161" spans="1:8" x14ac:dyDescent="0.25">
      <c r="A1161">
        <v>68821734</v>
      </c>
      <c r="B1161">
        <v>2904</v>
      </c>
      <c r="C1161">
        <v>12320</v>
      </c>
      <c r="D1161" s="19">
        <v>46098</v>
      </c>
      <c r="E1161" t="s">
        <v>144</v>
      </c>
      <c r="F1161" t="s">
        <v>12</v>
      </c>
      <c r="G1161" t="e">
        <f>VLOOKUP($A1161,'CA-US List'!$A:$C,3,0)</f>
        <v>#N/A</v>
      </c>
      <c r="H1161" t="s">
        <v>9</v>
      </c>
    </row>
    <row r="1162" spans="1:8" x14ac:dyDescent="0.25">
      <c r="A1162">
        <v>68821734</v>
      </c>
      <c r="B1162">
        <v>2904</v>
      </c>
      <c r="C1162">
        <v>5199</v>
      </c>
      <c r="D1162" s="19">
        <v>46099</v>
      </c>
      <c r="E1162" t="s">
        <v>144</v>
      </c>
      <c r="F1162" t="s">
        <v>12</v>
      </c>
      <c r="G1162" t="e">
        <f>VLOOKUP($A1162,'CA-US List'!$A:$C,3,0)</f>
        <v>#N/A</v>
      </c>
      <c r="H1162" t="s">
        <v>9</v>
      </c>
    </row>
    <row r="1163" spans="1:8" x14ac:dyDescent="0.25">
      <c r="A1163">
        <v>68821734</v>
      </c>
      <c r="B1163">
        <v>2904</v>
      </c>
      <c r="C1163">
        <v>176</v>
      </c>
      <c r="D1163" s="19">
        <v>46099</v>
      </c>
      <c r="E1163" t="s">
        <v>144</v>
      </c>
      <c r="F1163" t="s">
        <v>12</v>
      </c>
      <c r="G1163" t="e">
        <f>VLOOKUP($A1163,'CA-US List'!$A:$C,3,0)</f>
        <v>#N/A</v>
      </c>
      <c r="H1163" t="s">
        <v>9</v>
      </c>
    </row>
    <row r="1164" spans="1:8" x14ac:dyDescent="0.25">
      <c r="A1164">
        <v>68821734</v>
      </c>
      <c r="B1164">
        <v>2904</v>
      </c>
      <c r="C1164">
        <v>4048</v>
      </c>
      <c r="D1164" s="19">
        <v>46100</v>
      </c>
      <c r="E1164" t="s">
        <v>144</v>
      </c>
      <c r="F1164" t="s">
        <v>12</v>
      </c>
      <c r="G1164" t="e">
        <f>VLOOKUP($A1164,'CA-US List'!$A:$C,3,0)</f>
        <v>#N/A</v>
      </c>
      <c r="H1164" t="s">
        <v>9</v>
      </c>
    </row>
    <row r="1165" spans="1:8" x14ac:dyDescent="0.25">
      <c r="A1165">
        <v>68821734</v>
      </c>
      <c r="B1165">
        <v>2904</v>
      </c>
      <c r="C1165">
        <v>13200</v>
      </c>
      <c r="D1165" s="19">
        <v>46100</v>
      </c>
      <c r="E1165" t="s">
        <v>144</v>
      </c>
      <c r="F1165" t="s">
        <v>12</v>
      </c>
      <c r="G1165" t="e">
        <f>VLOOKUP($A1165,'CA-US List'!$A:$C,3,0)</f>
        <v>#N/A</v>
      </c>
      <c r="H1165" t="s">
        <v>9</v>
      </c>
    </row>
    <row r="1166" spans="1:8" x14ac:dyDescent="0.25">
      <c r="A1166">
        <v>68821734</v>
      </c>
      <c r="B1166">
        <v>2904</v>
      </c>
      <c r="C1166">
        <v>11385</v>
      </c>
      <c r="D1166" s="19">
        <v>46101</v>
      </c>
      <c r="E1166" t="s">
        <v>144</v>
      </c>
      <c r="F1166" t="s">
        <v>12</v>
      </c>
      <c r="G1166" t="e">
        <f>VLOOKUP($A1166,'CA-US List'!$A:$C,3,0)</f>
        <v>#N/A</v>
      </c>
      <c r="H1166" t="s">
        <v>9</v>
      </c>
    </row>
    <row r="1167" spans="1:8" x14ac:dyDescent="0.25">
      <c r="A1167">
        <v>68821734</v>
      </c>
      <c r="B1167">
        <v>2904</v>
      </c>
      <c r="C1167">
        <v>9328</v>
      </c>
      <c r="D1167" s="19">
        <v>46101</v>
      </c>
      <c r="E1167" t="s">
        <v>144</v>
      </c>
      <c r="F1167" t="s">
        <v>12</v>
      </c>
      <c r="G1167" t="e">
        <f>VLOOKUP($A1167,'CA-US List'!$A:$C,3,0)</f>
        <v>#N/A</v>
      </c>
      <c r="H1167" t="s">
        <v>9</v>
      </c>
    </row>
    <row r="1168" spans="1:8" x14ac:dyDescent="0.25">
      <c r="A1168">
        <v>68821734</v>
      </c>
      <c r="B1168">
        <v>2904</v>
      </c>
      <c r="C1168">
        <v>25</v>
      </c>
      <c r="D1168" s="19">
        <v>46102</v>
      </c>
      <c r="E1168" t="s">
        <v>144</v>
      </c>
      <c r="F1168" t="s">
        <v>12</v>
      </c>
      <c r="G1168" t="e">
        <f>VLOOKUP($A1168,'CA-US List'!$A:$C,3,0)</f>
        <v>#N/A</v>
      </c>
      <c r="H1168" t="s">
        <v>9</v>
      </c>
    </row>
    <row r="1169" spans="1:8" x14ac:dyDescent="0.25">
      <c r="A1169">
        <v>68821735</v>
      </c>
      <c r="B1169">
        <v>2904</v>
      </c>
      <c r="C1169">
        <v>6864</v>
      </c>
      <c r="D1169" s="19">
        <v>46090</v>
      </c>
      <c r="E1169" t="s">
        <v>84</v>
      </c>
      <c r="F1169" t="s">
        <v>21</v>
      </c>
      <c r="G1169" t="e">
        <f>VLOOKUP($A1169,'CA-US List'!$A:$C,3,0)</f>
        <v>#N/A</v>
      </c>
      <c r="H1169" t="s">
        <v>9</v>
      </c>
    </row>
    <row r="1170" spans="1:8" x14ac:dyDescent="0.25">
      <c r="A1170">
        <v>68821735</v>
      </c>
      <c r="B1170">
        <v>2904</v>
      </c>
      <c r="C1170">
        <v>2992</v>
      </c>
      <c r="D1170" s="19">
        <v>46088</v>
      </c>
      <c r="E1170" t="s">
        <v>84</v>
      </c>
      <c r="F1170" t="s">
        <v>17</v>
      </c>
      <c r="G1170" t="e">
        <f>VLOOKUP($A1170,'CA-US List'!$A:$C,3,0)</f>
        <v>#N/A</v>
      </c>
      <c r="H1170" t="s">
        <v>9</v>
      </c>
    </row>
    <row r="1171" spans="1:8" x14ac:dyDescent="0.25">
      <c r="A1171">
        <v>68821735</v>
      </c>
      <c r="B1171">
        <v>2904</v>
      </c>
      <c r="C1171">
        <v>5225</v>
      </c>
      <c r="D1171" s="19">
        <v>46089</v>
      </c>
      <c r="E1171" t="s">
        <v>84</v>
      </c>
      <c r="F1171" t="s">
        <v>17</v>
      </c>
      <c r="G1171" t="e">
        <f>VLOOKUP($A1171,'CA-US List'!$A:$C,3,0)</f>
        <v>#N/A</v>
      </c>
      <c r="H1171" t="s">
        <v>9</v>
      </c>
    </row>
    <row r="1172" spans="1:8" x14ac:dyDescent="0.25">
      <c r="A1172">
        <v>68821735</v>
      </c>
      <c r="B1172">
        <v>2904</v>
      </c>
      <c r="C1172">
        <v>6988</v>
      </c>
      <c r="D1172" s="19">
        <v>46089</v>
      </c>
      <c r="E1172" t="s">
        <v>84</v>
      </c>
      <c r="F1172" t="s">
        <v>17</v>
      </c>
      <c r="G1172" t="e">
        <f>VLOOKUP($A1172,'CA-US List'!$A:$C,3,0)</f>
        <v>#N/A</v>
      </c>
      <c r="H1172" t="s">
        <v>9</v>
      </c>
    </row>
    <row r="1173" spans="1:8" x14ac:dyDescent="0.25">
      <c r="A1173">
        <v>68821735</v>
      </c>
      <c r="B1173">
        <v>2904</v>
      </c>
      <c r="C1173">
        <v>5984</v>
      </c>
      <c r="D1173" s="19">
        <v>46090</v>
      </c>
      <c r="E1173" t="s">
        <v>84</v>
      </c>
      <c r="F1173" t="s">
        <v>17</v>
      </c>
      <c r="G1173" t="e">
        <f>VLOOKUP($A1173,'CA-US List'!$A:$C,3,0)</f>
        <v>#N/A</v>
      </c>
      <c r="H1173" t="s">
        <v>9</v>
      </c>
    </row>
    <row r="1174" spans="1:8" x14ac:dyDescent="0.25">
      <c r="A1174">
        <v>68821735</v>
      </c>
      <c r="B1174">
        <v>2904</v>
      </c>
      <c r="C1174">
        <v>7040</v>
      </c>
      <c r="D1174" s="19">
        <v>46105</v>
      </c>
      <c r="E1174" t="s">
        <v>84</v>
      </c>
      <c r="F1174" t="s">
        <v>21</v>
      </c>
      <c r="G1174" t="e">
        <f>VLOOKUP($A1174,'CA-US List'!$A:$C,3,0)</f>
        <v>#N/A</v>
      </c>
      <c r="H1174" t="s">
        <v>9</v>
      </c>
    </row>
    <row r="1175" spans="1:8" x14ac:dyDescent="0.25">
      <c r="A1175">
        <v>68821735</v>
      </c>
      <c r="B1175">
        <v>2904</v>
      </c>
      <c r="C1175">
        <v>3120</v>
      </c>
      <c r="D1175" s="19">
        <v>46090</v>
      </c>
      <c r="E1175" t="s">
        <v>84</v>
      </c>
      <c r="F1175" t="s">
        <v>17</v>
      </c>
      <c r="G1175" t="e">
        <f>VLOOKUP($A1175,'CA-US List'!$A:$C,3,0)</f>
        <v>#N/A</v>
      </c>
      <c r="H1175" t="s">
        <v>9</v>
      </c>
    </row>
    <row r="1176" spans="1:8" x14ac:dyDescent="0.25">
      <c r="A1176">
        <v>68821735</v>
      </c>
      <c r="B1176">
        <v>2904</v>
      </c>
      <c r="C1176">
        <v>2659</v>
      </c>
      <c r="D1176" s="19">
        <v>46090</v>
      </c>
      <c r="E1176" t="s">
        <v>84</v>
      </c>
      <c r="F1176" t="s">
        <v>21</v>
      </c>
      <c r="G1176" t="e">
        <f>VLOOKUP($A1176,'CA-US List'!$A:$C,3,0)</f>
        <v>#N/A</v>
      </c>
      <c r="H1176" t="s">
        <v>9</v>
      </c>
    </row>
    <row r="1177" spans="1:8" x14ac:dyDescent="0.25">
      <c r="A1177">
        <v>68821735</v>
      </c>
      <c r="B1177">
        <v>2904</v>
      </c>
      <c r="C1177">
        <v>704</v>
      </c>
      <c r="D1177" s="19">
        <v>46104</v>
      </c>
      <c r="E1177" t="s">
        <v>84</v>
      </c>
      <c r="F1177" t="s">
        <v>21</v>
      </c>
      <c r="G1177" t="e">
        <f>VLOOKUP($A1177,'CA-US List'!$A:$C,3,0)</f>
        <v>#N/A</v>
      </c>
      <c r="H1177" t="s">
        <v>9</v>
      </c>
    </row>
    <row r="1178" spans="1:8" x14ac:dyDescent="0.25">
      <c r="A1178">
        <v>68821735</v>
      </c>
      <c r="B1178">
        <v>2904</v>
      </c>
      <c r="C1178">
        <v>5236</v>
      </c>
      <c r="D1178" s="19">
        <v>46105</v>
      </c>
      <c r="E1178" t="s">
        <v>84</v>
      </c>
      <c r="F1178" t="s">
        <v>21</v>
      </c>
      <c r="G1178" t="e">
        <f>VLOOKUP($A1178,'CA-US List'!$A:$C,3,0)</f>
        <v>#N/A</v>
      </c>
      <c r="H1178" t="s">
        <v>9</v>
      </c>
    </row>
    <row r="1179" spans="1:8" x14ac:dyDescent="0.25">
      <c r="A1179">
        <v>68851104</v>
      </c>
      <c r="B1179">
        <v>2904</v>
      </c>
      <c r="C1179">
        <v>30</v>
      </c>
      <c r="D1179" s="19">
        <v>46076</v>
      </c>
      <c r="E1179" t="s">
        <v>16</v>
      </c>
      <c r="F1179" t="s">
        <v>21</v>
      </c>
      <c r="G1179" t="e">
        <f>VLOOKUP($A1179,'CA-US List'!$A:$C,3,0)</f>
        <v>#N/A</v>
      </c>
      <c r="H1179" t="s">
        <v>9</v>
      </c>
    </row>
    <row r="1180" spans="1:8" x14ac:dyDescent="0.25">
      <c r="A1180">
        <v>68851104</v>
      </c>
      <c r="B1180">
        <v>2904</v>
      </c>
      <c r="C1180">
        <v>3905</v>
      </c>
      <c r="D1180" s="19">
        <v>46097</v>
      </c>
      <c r="E1180" t="s">
        <v>16</v>
      </c>
      <c r="F1180" t="s">
        <v>21</v>
      </c>
      <c r="G1180" t="e">
        <f>VLOOKUP($A1180,'CA-US List'!$A:$C,3,0)</f>
        <v>#N/A</v>
      </c>
      <c r="H1180" t="s">
        <v>9</v>
      </c>
    </row>
    <row r="1181" spans="1:8" x14ac:dyDescent="0.25">
      <c r="A1181">
        <v>68851104</v>
      </c>
      <c r="B1181">
        <v>2904</v>
      </c>
      <c r="C1181">
        <v>5443</v>
      </c>
      <c r="D1181" s="19">
        <v>46098</v>
      </c>
      <c r="E1181" t="s">
        <v>16</v>
      </c>
      <c r="F1181" t="s">
        <v>21</v>
      </c>
      <c r="G1181" t="e">
        <f>VLOOKUP($A1181,'CA-US List'!$A:$C,3,0)</f>
        <v>#N/A</v>
      </c>
      <c r="H1181" t="s">
        <v>9</v>
      </c>
    </row>
    <row r="1182" spans="1:8" x14ac:dyDescent="0.25">
      <c r="A1182">
        <v>68851104</v>
      </c>
      <c r="B1182">
        <v>2904</v>
      </c>
      <c r="C1182">
        <v>-98</v>
      </c>
      <c r="D1182" s="19">
        <v>46100</v>
      </c>
      <c r="E1182" t="s">
        <v>16</v>
      </c>
      <c r="F1182" t="s">
        <v>21</v>
      </c>
      <c r="G1182" t="e">
        <f>VLOOKUP($A1182,'CA-US List'!$A:$C,3,0)</f>
        <v>#N/A</v>
      </c>
      <c r="H1182" t="s">
        <v>9</v>
      </c>
    </row>
    <row r="1183" spans="1:8" x14ac:dyDescent="0.25">
      <c r="A1183">
        <v>68851104</v>
      </c>
      <c r="B1183">
        <v>2904</v>
      </c>
      <c r="C1183">
        <v>7920</v>
      </c>
      <c r="D1183" s="19">
        <v>46098</v>
      </c>
      <c r="E1183" t="s">
        <v>16</v>
      </c>
      <c r="F1183" t="s">
        <v>21</v>
      </c>
      <c r="G1183" t="e">
        <f>VLOOKUP($A1183,'CA-US List'!$A:$C,3,0)</f>
        <v>#N/A</v>
      </c>
      <c r="H1183" t="s">
        <v>9</v>
      </c>
    </row>
    <row r="1184" spans="1:8" x14ac:dyDescent="0.25">
      <c r="A1184">
        <v>68851104</v>
      </c>
      <c r="B1184">
        <v>2904</v>
      </c>
      <c r="C1184">
        <v>5632</v>
      </c>
      <c r="D1184" s="19">
        <v>46099</v>
      </c>
      <c r="E1184" t="s">
        <v>16</v>
      </c>
      <c r="F1184" t="s">
        <v>21</v>
      </c>
      <c r="G1184" t="e">
        <f>VLOOKUP($A1184,'CA-US List'!$A:$C,3,0)</f>
        <v>#N/A</v>
      </c>
      <c r="H1184" t="s">
        <v>9</v>
      </c>
    </row>
    <row r="1185" spans="1:8" x14ac:dyDescent="0.25">
      <c r="A1185">
        <v>68851104</v>
      </c>
      <c r="B1185">
        <v>2904</v>
      </c>
      <c r="C1185">
        <v>634</v>
      </c>
      <c r="D1185" s="19">
        <v>46099</v>
      </c>
      <c r="E1185" t="s">
        <v>16</v>
      </c>
      <c r="F1185" t="s">
        <v>21</v>
      </c>
      <c r="G1185" t="e">
        <f>VLOOKUP($A1185,'CA-US List'!$A:$C,3,0)</f>
        <v>#N/A</v>
      </c>
      <c r="H1185" t="s">
        <v>9</v>
      </c>
    </row>
    <row r="1186" spans="1:8" x14ac:dyDescent="0.25">
      <c r="A1186">
        <v>68851104</v>
      </c>
      <c r="B1186">
        <v>2904</v>
      </c>
      <c r="C1186">
        <v>1232</v>
      </c>
      <c r="D1186" s="19">
        <v>46100</v>
      </c>
      <c r="E1186" t="s">
        <v>16</v>
      </c>
      <c r="F1186" t="s">
        <v>21</v>
      </c>
      <c r="G1186" t="e">
        <f>VLOOKUP($A1186,'CA-US List'!$A:$C,3,0)</f>
        <v>#N/A</v>
      </c>
      <c r="H1186" t="s">
        <v>9</v>
      </c>
    </row>
    <row r="1187" spans="1:8" x14ac:dyDescent="0.25">
      <c r="A1187">
        <v>68851104</v>
      </c>
      <c r="B1187">
        <v>2904</v>
      </c>
      <c r="C1187">
        <v>7524</v>
      </c>
      <c r="D1187" s="19">
        <v>46100</v>
      </c>
      <c r="E1187" t="s">
        <v>16</v>
      </c>
      <c r="F1187" t="s">
        <v>21</v>
      </c>
      <c r="G1187" t="e">
        <f>VLOOKUP($A1187,'CA-US List'!$A:$C,3,0)</f>
        <v>#N/A</v>
      </c>
      <c r="H1187" t="s">
        <v>9</v>
      </c>
    </row>
    <row r="1188" spans="1:8" x14ac:dyDescent="0.25">
      <c r="A1188">
        <v>68851104</v>
      </c>
      <c r="B1188">
        <v>2904</v>
      </c>
      <c r="C1188">
        <v>7139</v>
      </c>
      <c r="D1188" s="19">
        <v>46101</v>
      </c>
      <c r="E1188" t="s">
        <v>16</v>
      </c>
      <c r="F1188" t="s">
        <v>21</v>
      </c>
      <c r="G1188" t="e">
        <f>VLOOKUP($A1188,'CA-US List'!$A:$C,3,0)</f>
        <v>#N/A</v>
      </c>
      <c r="H1188" t="s">
        <v>9</v>
      </c>
    </row>
    <row r="1189" spans="1:8" x14ac:dyDescent="0.25">
      <c r="A1189">
        <v>68851104</v>
      </c>
      <c r="B1189">
        <v>2904</v>
      </c>
      <c r="C1189">
        <v>176</v>
      </c>
      <c r="D1189" s="19">
        <v>46076</v>
      </c>
      <c r="E1189" t="s">
        <v>16</v>
      </c>
      <c r="F1189" t="s">
        <v>17</v>
      </c>
      <c r="G1189" t="e">
        <f>VLOOKUP($A1189,'CA-US List'!$A:$C,3,0)</f>
        <v>#N/A</v>
      </c>
      <c r="H1189" t="s">
        <v>9</v>
      </c>
    </row>
    <row r="1190" spans="1:8" x14ac:dyDescent="0.25">
      <c r="A1190">
        <v>68851104</v>
      </c>
      <c r="B1190">
        <v>2904</v>
      </c>
      <c r="C1190">
        <v>5341</v>
      </c>
      <c r="D1190" s="19">
        <v>46076</v>
      </c>
      <c r="E1190" t="s">
        <v>16</v>
      </c>
      <c r="F1190" t="s">
        <v>17</v>
      </c>
      <c r="G1190" t="e">
        <f>VLOOKUP($A1190,'CA-US List'!$A:$C,3,0)</f>
        <v>#N/A</v>
      </c>
      <c r="H1190" t="s">
        <v>9</v>
      </c>
    </row>
    <row r="1191" spans="1:8" x14ac:dyDescent="0.25">
      <c r="A1191">
        <v>68851104</v>
      </c>
      <c r="B1191">
        <v>2904</v>
      </c>
      <c r="C1191">
        <v>7216</v>
      </c>
      <c r="D1191" s="19">
        <v>46077</v>
      </c>
      <c r="E1191" t="s">
        <v>16</v>
      </c>
      <c r="F1191" t="s">
        <v>17</v>
      </c>
      <c r="G1191" t="e">
        <f>VLOOKUP($A1191,'CA-US List'!$A:$C,3,0)</f>
        <v>#N/A</v>
      </c>
      <c r="H1191" t="s">
        <v>9</v>
      </c>
    </row>
    <row r="1192" spans="1:8" x14ac:dyDescent="0.25">
      <c r="A1192">
        <v>68851104</v>
      </c>
      <c r="B1192">
        <v>2904</v>
      </c>
      <c r="C1192">
        <v>1149</v>
      </c>
      <c r="D1192" s="19">
        <v>46077</v>
      </c>
      <c r="E1192" t="s">
        <v>16</v>
      </c>
      <c r="F1192" t="s">
        <v>17</v>
      </c>
      <c r="G1192" t="e">
        <f>VLOOKUP($A1192,'CA-US List'!$A:$C,3,0)</f>
        <v>#N/A</v>
      </c>
      <c r="H1192" t="s">
        <v>9</v>
      </c>
    </row>
    <row r="1193" spans="1:8" x14ac:dyDescent="0.25">
      <c r="A1193">
        <v>68851104</v>
      </c>
      <c r="B1193">
        <v>2904</v>
      </c>
      <c r="C1193">
        <v>352</v>
      </c>
      <c r="D1193" s="19">
        <v>46078</v>
      </c>
      <c r="E1193" t="s">
        <v>16</v>
      </c>
      <c r="F1193" t="s">
        <v>17</v>
      </c>
      <c r="G1193" t="e">
        <f>VLOOKUP($A1193,'CA-US List'!$A:$C,3,0)</f>
        <v>#N/A</v>
      </c>
      <c r="H1193" t="s">
        <v>9</v>
      </c>
    </row>
    <row r="1194" spans="1:8" x14ac:dyDescent="0.25">
      <c r="A1194">
        <v>68851104</v>
      </c>
      <c r="B1194">
        <v>2904</v>
      </c>
      <c r="C1194">
        <v>141</v>
      </c>
      <c r="D1194" s="19">
        <v>46098</v>
      </c>
      <c r="E1194" t="s">
        <v>16</v>
      </c>
      <c r="F1194" t="s">
        <v>21</v>
      </c>
      <c r="G1194" t="e">
        <f>VLOOKUP($A1194,'CA-US List'!$A:$C,3,0)</f>
        <v>#N/A</v>
      </c>
      <c r="H1194" t="s">
        <v>9</v>
      </c>
    </row>
    <row r="1195" spans="1:8" x14ac:dyDescent="0.25">
      <c r="A1195">
        <v>68851104</v>
      </c>
      <c r="B1195">
        <v>2904</v>
      </c>
      <c r="C1195">
        <v>3591</v>
      </c>
      <c r="D1195" s="19">
        <v>46101</v>
      </c>
      <c r="E1195" t="s">
        <v>16</v>
      </c>
      <c r="F1195" t="s">
        <v>21</v>
      </c>
      <c r="G1195" t="e">
        <f>VLOOKUP($A1195,'CA-US List'!$A:$C,3,0)</f>
        <v>#N/A</v>
      </c>
      <c r="H1195" t="s">
        <v>9</v>
      </c>
    </row>
    <row r="1196" spans="1:8" x14ac:dyDescent="0.25">
      <c r="A1196">
        <v>68851105</v>
      </c>
      <c r="B1196">
        <v>2904</v>
      </c>
      <c r="C1196">
        <v>-45</v>
      </c>
      <c r="D1196" s="19">
        <v>46076</v>
      </c>
      <c r="E1196" t="s">
        <v>701</v>
      </c>
      <c r="F1196" t="s">
        <v>12</v>
      </c>
      <c r="G1196" t="e">
        <f>VLOOKUP($A1196,'CA-US List'!$A:$C,3,0)</f>
        <v>#N/A</v>
      </c>
      <c r="H1196" t="s">
        <v>9</v>
      </c>
    </row>
    <row r="1197" spans="1:8" x14ac:dyDescent="0.25">
      <c r="A1197">
        <v>68851105</v>
      </c>
      <c r="B1197">
        <v>2904</v>
      </c>
      <c r="C1197">
        <v>-11</v>
      </c>
      <c r="D1197" s="19">
        <v>46094</v>
      </c>
      <c r="E1197" t="s">
        <v>701</v>
      </c>
      <c r="F1197" t="s">
        <v>12</v>
      </c>
      <c r="G1197" t="e">
        <f>VLOOKUP($A1197,'CA-US List'!$A:$C,3,0)</f>
        <v>#N/A</v>
      </c>
      <c r="H1197" t="s">
        <v>9</v>
      </c>
    </row>
    <row r="1198" spans="1:8" x14ac:dyDescent="0.25">
      <c r="A1198">
        <v>68851105</v>
      </c>
      <c r="B1198">
        <v>2904</v>
      </c>
      <c r="C1198">
        <v>4466</v>
      </c>
      <c r="D1198" s="19">
        <v>46077</v>
      </c>
      <c r="E1198" t="s">
        <v>701</v>
      </c>
      <c r="F1198" t="s">
        <v>12</v>
      </c>
      <c r="G1198" t="e">
        <f>VLOOKUP($A1198,'CA-US List'!$A:$C,3,0)</f>
        <v>#N/A</v>
      </c>
      <c r="H1198" t="s">
        <v>9</v>
      </c>
    </row>
    <row r="1199" spans="1:8" x14ac:dyDescent="0.25">
      <c r="A1199">
        <v>68851105</v>
      </c>
      <c r="B1199">
        <v>2904</v>
      </c>
      <c r="C1199">
        <v>5163</v>
      </c>
      <c r="D1199" s="19">
        <v>46078</v>
      </c>
      <c r="E1199" t="s">
        <v>701</v>
      </c>
      <c r="F1199" t="s">
        <v>12</v>
      </c>
      <c r="G1199" t="e">
        <f>VLOOKUP($A1199,'CA-US List'!$A:$C,3,0)</f>
        <v>#N/A</v>
      </c>
      <c r="H1199" t="s">
        <v>9</v>
      </c>
    </row>
    <row r="1200" spans="1:8" x14ac:dyDescent="0.25">
      <c r="A1200">
        <v>68851105</v>
      </c>
      <c r="B1200">
        <v>2904</v>
      </c>
      <c r="C1200">
        <v>8624</v>
      </c>
      <c r="D1200" s="19">
        <v>46104</v>
      </c>
      <c r="E1200" t="s">
        <v>701</v>
      </c>
      <c r="F1200" t="s">
        <v>12</v>
      </c>
      <c r="G1200" t="e">
        <f>VLOOKUP($A1200,'CA-US List'!$A:$C,3,0)</f>
        <v>#N/A</v>
      </c>
      <c r="H1200" t="s">
        <v>9</v>
      </c>
    </row>
    <row r="1201" spans="1:8" x14ac:dyDescent="0.25">
      <c r="A1201">
        <v>68851105</v>
      </c>
      <c r="B1201">
        <v>2904</v>
      </c>
      <c r="C1201">
        <v>3609</v>
      </c>
      <c r="D1201" s="19">
        <v>46105</v>
      </c>
      <c r="E1201" t="s">
        <v>701</v>
      </c>
      <c r="F1201" t="s">
        <v>12</v>
      </c>
      <c r="G1201" t="e">
        <f>VLOOKUP($A1201,'CA-US List'!$A:$C,3,0)</f>
        <v>#N/A</v>
      </c>
      <c r="H1201" t="s">
        <v>9</v>
      </c>
    </row>
    <row r="1202" spans="1:8" x14ac:dyDescent="0.25">
      <c r="A1202">
        <v>68851106</v>
      </c>
      <c r="B1202">
        <v>2904</v>
      </c>
      <c r="C1202">
        <v>9856</v>
      </c>
      <c r="D1202" s="19">
        <v>46081</v>
      </c>
      <c r="E1202" t="s">
        <v>129</v>
      </c>
      <c r="F1202" t="s">
        <v>12</v>
      </c>
      <c r="G1202" t="e">
        <f>VLOOKUP($A1202,'CA-US List'!$A:$C,3,0)</f>
        <v>#N/A</v>
      </c>
      <c r="H1202" t="s">
        <v>9</v>
      </c>
    </row>
    <row r="1203" spans="1:8" x14ac:dyDescent="0.25">
      <c r="A1203">
        <v>68851106</v>
      </c>
      <c r="B1203">
        <v>2904</v>
      </c>
      <c r="C1203">
        <v>6462</v>
      </c>
      <c r="D1203" s="19">
        <v>46082</v>
      </c>
      <c r="E1203" t="s">
        <v>129</v>
      </c>
      <c r="F1203" t="s">
        <v>12</v>
      </c>
      <c r="G1203" t="e">
        <f>VLOOKUP($A1203,'CA-US List'!$A:$C,3,0)</f>
        <v>#N/A</v>
      </c>
      <c r="H1203" t="s">
        <v>9</v>
      </c>
    </row>
    <row r="1204" spans="1:8" x14ac:dyDescent="0.25">
      <c r="A1204">
        <v>68851106</v>
      </c>
      <c r="B1204">
        <v>2904</v>
      </c>
      <c r="C1204">
        <v>2618</v>
      </c>
      <c r="D1204" s="19">
        <v>46081</v>
      </c>
      <c r="E1204" t="s">
        <v>129</v>
      </c>
      <c r="F1204" t="s">
        <v>12</v>
      </c>
      <c r="G1204" t="e">
        <f>VLOOKUP($A1204,'CA-US List'!$A:$C,3,0)</f>
        <v>#N/A</v>
      </c>
      <c r="H1204" t="s">
        <v>9</v>
      </c>
    </row>
    <row r="1205" spans="1:8" x14ac:dyDescent="0.25">
      <c r="A1205">
        <v>68851107</v>
      </c>
      <c r="B1205">
        <v>2904</v>
      </c>
      <c r="C1205">
        <v>-80</v>
      </c>
      <c r="D1205" s="19">
        <v>46101</v>
      </c>
      <c r="E1205" t="s">
        <v>11</v>
      </c>
      <c r="F1205" t="s">
        <v>12</v>
      </c>
      <c r="G1205" t="e">
        <f>VLOOKUP($A1205,'CA-US List'!$A:$C,3,0)</f>
        <v>#N/A</v>
      </c>
      <c r="H1205" t="s">
        <v>9</v>
      </c>
    </row>
    <row r="1206" spans="1:8" x14ac:dyDescent="0.25">
      <c r="A1206">
        <v>68851107</v>
      </c>
      <c r="B1206">
        <v>2904</v>
      </c>
      <c r="C1206">
        <v>14080</v>
      </c>
      <c r="D1206" s="19">
        <v>46076</v>
      </c>
      <c r="E1206" t="s">
        <v>11</v>
      </c>
      <c r="F1206" t="s">
        <v>12</v>
      </c>
      <c r="G1206" t="e">
        <f>VLOOKUP($A1206,'CA-US List'!$A:$C,3,0)</f>
        <v>#N/A</v>
      </c>
      <c r="H1206" t="s">
        <v>9</v>
      </c>
    </row>
    <row r="1207" spans="1:8" x14ac:dyDescent="0.25">
      <c r="A1207">
        <v>68851107</v>
      </c>
      <c r="B1207">
        <v>2904</v>
      </c>
      <c r="C1207">
        <v>10701</v>
      </c>
      <c r="D1207" s="19">
        <v>46076</v>
      </c>
      <c r="E1207" t="s">
        <v>11</v>
      </c>
      <c r="F1207" t="s">
        <v>12</v>
      </c>
      <c r="G1207" t="e">
        <f>VLOOKUP($A1207,'CA-US List'!$A:$C,3,0)</f>
        <v>#N/A</v>
      </c>
      <c r="H1207" t="s">
        <v>9</v>
      </c>
    </row>
    <row r="1208" spans="1:8" x14ac:dyDescent="0.25">
      <c r="A1208">
        <v>68851107</v>
      </c>
      <c r="B1208">
        <v>2904</v>
      </c>
      <c r="C1208">
        <v>11967</v>
      </c>
      <c r="D1208" s="19">
        <v>46077</v>
      </c>
      <c r="E1208" t="s">
        <v>11</v>
      </c>
      <c r="F1208" t="s">
        <v>12</v>
      </c>
      <c r="G1208" t="e">
        <f>VLOOKUP($A1208,'CA-US List'!$A:$C,3,0)</f>
        <v>#N/A</v>
      </c>
      <c r="H1208" t="s">
        <v>9</v>
      </c>
    </row>
    <row r="1209" spans="1:8" x14ac:dyDescent="0.25">
      <c r="A1209">
        <v>68851107</v>
      </c>
      <c r="B1209">
        <v>2904</v>
      </c>
      <c r="C1209">
        <v>-214</v>
      </c>
      <c r="D1209" s="19">
        <v>46080</v>
      </c>
      <c r="E1209" t="s">
        <v>11</v>
      </c>
      <c r="F1209" t="s">
        <v>12</v>
      </c>
      <c r="G1209" t="e">
        <f>VLOOKUP($A1209,'CA-US List'!$A:$C,3,0)</f>
        <v>#N/A</v>
      </c>
      <c r="H1209" t="s">
        <v>9</v>
      </c>
    </row>
    <row r="1210" spans="1:8" x14ac:dyDescent="0.25">
      <c r="A1210">
        <v>68851107</v>
      </c>
      <c r="B1210">
        <v>2904</v>
      </c>
      <c r="C1210">
        <v>11616</v>
      </c>
      <c r="D1210" s="19">
        <v>46084</v>
      </c>
      <c r="E1210" t="s">
        <v>11</v>
      </c>
      <c r="F1210" t="s">
        <v>12</v>
      </c>
      <c r="G1210" t="e">
        <f>VLOOKUP($A1210,'CA-US List'!$A:$C,3,0)</f>
        <v>#N/A</v>
      </c>
      <c r="H1210" t="s">
        <v>9</v>
      </c>
    </row>
    <row r="1211" spans="1:8" x14ac:dyDescent="0.25">
      <c r="A1211">
        <v>68851107</v>
      </c>
      <c r="B1211">
        <v>2904</v>
      </c>
      <c r="C1211">
        <v>12143</v>
      </c>
      <c r="D1211" s="19">
        <v>46085</v>
      </c>
      <c r="E1211" t="s">
        <v>11</v>
      </c>
      <c r="F1211" t="s">
        <v>12</v>
      </c>
      <c r="G1211" t="e">
        <f>VLOOKUP($A1211,'CA-US List'!$A:$C,3,0)</f>
        <v>#N/A</v>
      </c>
      <c r="H1211" t="s">
        <v>9</v>
      </c>
    </row>
    <row r="1212" spans="1:8" x14ac:dyDescent="0.25">
      <c r="A1212">
        <v>68851107</v>
      </c>
      <c r="B1212">
        <v>2904</v>
      </c>
      <c r="C1212">
        <v>176</v>
      </c>
      <c r="D1212" s="19">
        <v>46086</v>
      </c>
      <c r="E1212" t="s">
        <v>11</v>
      </c>
      <c r="F1212" t="s">
        <v>12</v>
      </c>
      <c r="G1212" t="e">
        <f>VLOOKUP($A1212,'CA-US List'!$A:$C,3,0)</f>
        <v>#N/A</v>
      </c>
      <c r="H1212" t="s">
        <v>9</v>
      </c>
    </row>
    <row r="1213" spans="1:8" x14ac:dyDescent="0.25">
      <c r="A1213">
        <v>68851107</v>
      </c>
      <c r="B1213">
        <v>2904</v>
      </c>
      <c r="C1213">
        <v>11792</v>
      </c>
      <c r="D1213" s="19">
        <v>46085</v>
      </c>
      <c r="E1213" t="s">
        <v>11</v>
      </c>
      <c r="F1213" t="s">
        <v>12</v>
      </c>
      <c r="G1213" t="e">
        <f>VLOOKUP($A1213,'CA-US List'!$A:$C,3,0)</f>
        <v>#N/A</v>
      </c>
      <c r="H1213" t="s">
        <v>9</v>
      </c>
    </row>
    <row r="1214" spans="1:8" x14ac:dyDescent="0.25">
      <c r="A1214">
        <v>68851107</v>
      </c>
      <c r="B1214">
        <v>2904</v>
      </c>
      <c r="C1214">
        <v>12496</v>
      </c>
      <c r="D1214" s="19">
        <v>46086</v>
      </c>
      <c r="E1214" t="s">
        <v>11</v>
      </c>
      <c r="F1214" t="s">
        <v>12</v>
      </c>
      <c r="G1214" t="e">
        <f>VLOOKUP($A1214,'CA-US List'!$A:$C,3,0)</f>
        <v>#N/A</v>
      </c>
      <c r="H1214" t="s">
        <v>9</v>
      </c>
    </row>
    <row r="1215" spans="1:8" x14ac:dyDescent="0.25">
      <c r="A1215">
        <v>68851107</v>
      </c>
      <c r="B1215">
        <v>2904</v>
      </c>
      <c r="C1215">
        <v>12496</v>
      </c>
      <c r="D1215" s="19">
        <v>46086</v>
      </c>
      <c r="E1215" t="s">
        <v>11</v>
      </c>
      <c r="F1215" t="s">
        <v>12</v>
      </c>
      <c r="G1215" t="e">
        <f>VLOOKUP($A1215,'CA-US List'!$A:$C,3,0)</f>
        <v>#N/A</v>
      </c>
      <c r="H1215" t="s">
        <v>9</v>
      </c>
    </row>
    <row r="1216" spans="1:8" x14ac:dyDescent="0.25">
      <c r="A1216">
        <v>68851107</v>
      </c>
      <c r="B1216">
        <v>2904</v>
      </c>
      <c r="C1216">
        <v>13012</v>
      </c>
      <c r="D1216" s="19">
        <v>46087</v>
      </c>
      <c r="E1216" t="s">
        <v>11</v>
      </c>
      <c r="F1216" t="s">
        <v>12</v>
      </c>
      <c r="G1216" t="e">
        <f>VLOOKUP($A1216,'CA-US List'!$A:$C,3,0)</f>
        <v>#N/A</v>
      </c>
      <c r="H1216" t="s">
        <v>9</v>
      </c>
    </row>
    <row r="1217" spans="1:8" x14ac:dyDescent="0.25">
      <c r="A1217">
        <v>68851107</v>
      </c>
      <c r="B1217">
        <v>2904</v>
      </c>
      <c r="C1217">
        <v>9856</v>
      </c>
      <c r="D1217" s="19">
        <v>46087</v>
      </c>
      <c r="E1217" t="s">
        <v>11</v>
      </c>
      <c r="F1217" t="s">
        <v>12</v>
      </c>
      <c r="G1217" t="e">
        <f>VLOOKUP($A1217,'CA-US List'!$A:$C,3,0)</f>
        <v>#N/A</v>
      </c>
      <c r="H1217" t="s">
        <v>9</v>
      </c>
    </row>
    <row r="1218" spans="1:8" x14ac:dyDescent="0.25">
      <c r="A1218">
        <v>68851107</v>
      </c>
      <c r="B1218">
        <v>2904</v>
      </c>
      <c r="C1218">
        <v>4455</v>
      </c>
      <c r="D1218" s="19">
        <v>46088</v>
      </c>
      <c r="E1218" t="s">
        <v>11</v>
      </c>
      <c r="F1218" t="s">
        <v>12</v>
      </c>
      <c r="G1218" t="e">
        <f>VLOOKUP($A1218,'CA-US List'!$A:$C,3,0)</f>
        <v>#N/A</v>
      </c>
      <c r="H1218" t="s">
        <v>9</v>
      </c>
    </row>
    <row r="1219" spans="1:8" x14ac:dyDescent="0.25">
      <c r="A1219">
        <v>68851107</v>
      </c>
      <c r="B1219">
        <v>2904</v>
      </c>
      <c r="C1219">
        <v>1760</v>
      </c>
      <c r="D1219" s="19">
        <v>46082</v>
      </c>
      <c r="E1219" t="s">
        <v>11</v>
      </c>
      <c r="F1219" t="s">
        <v>12</v>
      </c>
      <c r="G1219" t="e">
        <f>VLOOKUP($A1219,'CA-US List'!$A:$C,3,0)</f>
        <v>#N/A</v>
      </c>
      <c r="H1219" t="s">
        <v>9</v>
      </c>
    </row>
    <row r="1220" spans="1:8" x14ac:dyDescent="0.25">
      <c r="A1220">
        <v>68851107</v>
      </c>
      <c r="B1220">
        <v>2904</v>
      </c>
      <c r="C1220">
        <v>10560</v>
      </c>
      <c r="D1220" s="19">
        <v>46082</v>
      </c>
      <c r="E1220" t="s">
        <v>11</v>
      </c>
      <c r="F1220" t="s">
        <v>12</v>
      </c>
      <c r="G1220" t="e">
        <f>VLOOKUP($A1220,'CA-US List'!$A:$C,3,0)</f>
        <v>#N/A</v>
      </c>
      <c r="H1220" t="s">
        <v>9</v>
      </c>
    </row>
    <row r="1221" spans="1:8" x14ac:dyDescent="0.25">
      <c r="A1221">
        <v>68851107</v>
      </c>
      <c r="B1221">
        <v>2904</v>
      </c>
      <c r="C1221">
        <v>7557</v>
      </c>
      <c r="D1221" s="19">
        <v>46083</v>
      </c>
      <c r="E1221" t="s">
        <v>11</v>
      </c>
      <c r="F1221" t="s">
        <v>12</v>
      </c>
      <c r="G1221" t="e">
        <f>VLOOKUP($A1221,'CA-US List'!$A:$C,3,0)</f>
        <v>#N/A</v>
      </c>
      <c r="H1221" t="s">
        <v>9</v>
      </c>
    </row>
    <row r="1222" spans="1:8" x14ac:dyDescent="0.25">
      <c r="A1222">
        <v>68851107</v>
      </c>
      <c r="B1222">
        <v>2904</v>
      </c>
      <c r="C1222">
        <v>12848</v>
      </c>
      <c r="D1222" s="19">
        <v>46092</v>
      </c>
      <c r="E1222" t="s">
        <v>11</v>
      </c>
      <c r="F1222" t="s">
        <v>12</v>
      </c>
      <c r="G1222" t="e">
        <f>VLOOKUP($A1222,'CA-US List'!$A:$C,3,0)</f>
        <v>#N/A</v>
      </c>
      <c r="H1222" t="s">
        <v>9</v>
      </c>
    </row>
    <row r="1223" spans="1:8" x14ac:dyDescent="0.25">
      <c r="A1223">
        <v>68851107</v>
      </c>
      <c r="B1223">
        <v>2904</v>
      </c>
      <c r="C1223">
        <v>9680</v>
      </c>
      <c r="D1223" s="19">
        <v>46093</v>
      </c>
      <c r="E1223" t="s">
        <v>11</v>
      </c>
      <c r="F1223" t="s">
        <v>12</v>
      </c>
      <c r="G1223" t="e">
        <f>VLOOKUP($A1223,'CA-US List'!$A:$C,3,0)</f>
        <v>#N/A</v>
      </c>
      <c r="H1223" t="s">
        <v>9</v>
      </c>
    </row>
    <row r="1224" spans="1:8" x14ac:dyDescent="0.25">
      <c r="A1224">
        <v>68851107</v>
      </c>
      <c r="B1224">
        <v>2904</v>
      </c>
      <c r="C1224">
        <v>12232</v>
      </c>
      <c r="D1224" s="19">
        <v>46093</v>
      </c>
      <c r="E1224" t="s">
        <v>11</v>
      </c>
      <c r="F1224" t="s">
        <v>12</v>
      </c>
      <c r="G1224" t="e">
        <f>VLOOKUP($A1224,'CA-US List'!$A:$C,3,0)</f>
        <v>#N/A</v>
      </c>
      <c r="H1224" t="s">
        <v>9</v>
      </c>
    </row>
    <row r="1225" spans="1:8" x14ac:dyDescent="0.25">
      <c r="A1225">
        <v>68851107</v>
      </c>
      <c r="B1225">
        <v>2904</v>
      </c>
      <c r="C1225">
        <v>9152</v>
      </c>
      <c r="D1225" s="19">
        <v>46094</v>
      </c>
      <c r="E1225" t="s">
        <v>11</v>
      </c>
      <c r="F1225" t="s">
        <v>12</v>
      </c>
      <c r="G1225" t="e">
        <f>VLOOKUP($A1225,'CA-US List'!$A:$C,3,0)</f>
        <v>#N/A</v>
      </c>
      <c r="H1225" t="s">
        <v>9</v>
      </c>
    </row>
    <row r="1226" spans="1:8" x14ac:dyDescent="0.25">
      <c r="A1226">
        <v>68851107</v>
      </c>
      <c r="B1226">
        <v>2904</v>
      </c>
      <c r="C1226">
        <v>12672</v>
      </c>
      <c r="D1226" s="19">
        <v>46094</v>
      </c>
      <c r="E1226" t="s">
        <v>11</v>
      </c>
      <c r="F1226" t="s">
        <v>12</v>
      </c>
      <c r="G1226" t="e">
        <f>VLOOKUP($A1226,'CA-US List'!$A:$C,3,0)</f>
        <v>#N/A</v>
      </c>
      <c r="H1226" t="s">
        <v>9</v>
      </c>
    </row>
    <row r="1227" spans="1:8" x14ac:dyDescent="0.25">
      <c r="A1227">
        <v>68851107</v>
      </c>
      <c r="B1227">
        <v>2904</v>
      </c>
      <c r="C1227">
        <v>10724</v>
      </c>
      <c r="D1227" s="19">
        <v>46095</v>
      </c>
      <c r="E1227" t="s">
        <v>11</v>
      </c>
      <c r="F1227" t="s">
        <v>12</v>
      </c>
      <c r="G1227" t="e">
        <f>VLOOKUP($A1227,'CA-US List'!$A:$C,3,0)</f>
        <v>#N/A</v>
      </c>
      <c r="H1227" t="s">
        <v>9</v>
      </c>
    </row>
    <row r="1228" spans="1:8" x14ac:dyDescent="0.25">
      <c r="A1228">
        <v>68851107</v>
      </c>
      <c r="B1228">
        <v>2904</v>
      </c>
      <c r="C1228">
        <v>1232</v>
      </c>
      <c r="D1228" s="19">
        <v>46097</v>
      </c>
      <c r="E1228" t="s">
        <v>11</v>
      </c>
      <c r="F1228" t="s">
        <v>12</v>
      </c>
      <c r="G1228" t="e">
        <f>VLOOKUP($A1228,'CA-US List'!$A:$C,3,0)</f>
        <v>#N/A</v>
      </c>
      <c r="H1228" t="s">
        <v>9</v>
      </c>
    </row>
    <row r="1229" spans="1:8" x14ac:dyDescent="0.25">
      <c r="A1229">
        <v>68851107</v>
      </c>
      <c r="B1229">
        <v>2904</v>
      </c>
      <c r="C1229">
        <v>23538</v>
      </c>
      <c r="D1229" s="19">
        <v>46097</v>
      </c>
      <c r="E1229" t="s">
        <v>11</v>
      </c>
      <c r="F1229" t="s">
        <v>12</v>
      </c>
      <c r="G1229" t="e">
        <f>VLOOKUP($A1229,'CA-US List'!$A:$C,3,0)</f>
        <v>#N/A</v>
      </c>
      <c r="H1229" t="s">
        <v>9</v>
      </c>
    </row>
    <row r="1230" spans="1:8" x14ac:dyDescent="0.25">
      <c r="A1230">
        <v>68851107</v>
      </c>
      <c r="B1230">
        <v>2904</v>
      </c>
      <c r="C1230">
        <v>2112</v>
      </c>
      <c r="D1230" s="19">
        <v>46102</v>
      </c>
      <c r="E1230" t="s">
        <v>11</v>
      </c>
      <c r="F1230" t="s">
        <v>12</v>
      </c>
      <c r="G1230" t="e">
        <f>VLOOKUP($A1230,'CA-US List'!$A:$C,3,0)</f>
        <v>#N/A</v>
      </c>
      <c r="H1230" t="s">
        <v>9</v>
      </c>
    </row>
    <row r="1231" spans="1:8" x14ac:dyDescent="0.25">
      <c r="A1231">
        <v>68851107</v>
      </c>
      <c r="B1231">
        <v>2904</v>
      </c>
      <c r="C1231">
        <v>176</v>
      </c>
      <c r="D1231" s="19">
        <v>46101</v>
      </c>
      <c r="E1231" t="s">
        <v>11</v>
      </c>
      <c r="F1231" t="s">
        <v>12</v>
      </c>
      <c r="G1231" t="e">
        <f>VLOOKUP($A1231,'CA-US List'!$A:$C,3,0)</f>
        <v>#N/A</v>
      </c>
      <c r="H1231" t="s">
        <v>9</v>
      </c>
    </row>
    <row r="1232" spans="1:8" x14ac:dyDescent="0.25">
      <c r="A1232">
        <v>68851107</v>
      </c>
      <c r="B1232">
        <v>2904</v>
      </c>
      <c r="C1232">
        <v>840</v>
      </c>
      <c r="D1232" s="19">
        <v>46083</v>
      </c>
      <c r="E1232" t="s">
        <v>11</v>
      </c>
      <c r="F1232" t="s">
        <v>12</v>
      </c>
      <c r="G1232" t="e">
        <f>VLOOKUP($A1232,'CA-US List'!$A:$C,3,0)</f>
        <v>#N/A</v>
      </c>
      <c r="H1232" t="s">
        <v>9</v>
      </c>
    </row>
    <row r="1233" spans="1:8" x14ac:dyDescent="0.25">
      <c r="A1233">
        <v>68851107</v>
      </c>
      <c r="B1233">
        <v>2904</v>
      </c>
      <c r="C1233">
        <v>4636</v>
      </c>
      <c r="D1233" s="19">
        <v>46084</v>
      </c>
      <c r="E1233" t="s">
        <v>11</v>
      </c>
      <c r="F1233" t="s">
        <v>12</v>
      </c>
      <c r="G1233" t="e">
        <f>VLOOKUP($A1233,'CA-US List'!$A:$C,3,0)</f>
        <v>#N/A</v>
      </c>
      <c r="H1233" t="s">
        <v>9</v>
      </c>
    </row>
    <row r="1234" spans="1:8" x14ac:dyDescent="0.25">
      <c r="A1234">
        <v>68851107</v>
      </c>
      <c r="B1234">
        <v>2904</v>
      </c>
      <c r="C1234">
        <v>3143</v>
      </c>
      <c r="D1234" s="19">
        <v>46092</v>
      </c>
      <c r="E1234" t="s">
        <v>11</v>
      </c>
      <c r="F1234" t="s">
        <v>12</v>
      </c>
      <c r="G1234" t="e">
        <f>VLOOKUP($A1234,'CA-US List'!$A:$C,3,0)</f>
        <v>#N/A</v>
      </c>
      <c r="H1234" t="s">
        <v>9</v>
      </c>
    </row>
    <row r="1235" spans="1:8" x14ac:dyDescent="0.25">
      <c r="A1235">
        <v>68851107</v>
      </c>
      <c r="B1235">
        <v>2904</v>
      </c>
      <c r="C1235">
        <v>176</v>
      </c>
      <c r="D1235" s="19">
        <v>46093</v>
      </c>
      <c r="E1235" t="s">
        <v>11</v>
      </c>
      <c r="F1235" t="s">
        <v>12</v>
      </c>
      <c r="G1235" t="e">
        <f>VLOOKUP($A1235,'CA-US List'!$A:$C,3,0)</f>
        <v>#N/A</v>
      </c>
      <c r="H1235" t="s">
        <v>9</v>
      </c>
    </row>
    <row r="1236" spans="1:8" x14ac:dyDescent="0.25">
      <c r="A1236">
        <v>68851107</v>
      </c>
      <c r="B1236">
        <v>2904</v>
      </c>
      <c r="C1236">
        <v>8800</v>
      </c>
      <c r="D1236" s="19">
        <v>46097</v>
      </c>
      <c r="E1236" t="s">
        <v>11</v>
      </c>
      <c r="F1236" t="s">
        <v>12</v>
      </c>
      <c r="G1236" t="e">
        <f>VLOOKUP($A1236,'CA-US List'!$A:$C,3,0)</f>
        <v>#N/A</v>
      </c>
      <c r="H1236" t="s">
        <v>9</v>
      </c>
    </row>
    <row r="1237" spans="1:8" x14ac:dyDescent="0.25">
      <c r="A1237">
        <v>68851107</v>
      </c>
      <c r="B1237">
        <v>2904</v>
      </c>
      <c r="C1237">
        <v>352</v>
      </c>
      <c r="D1237" s="19">
        <v>46098</v>
      </c>
      <c r="E1237" t="s">
        <v>11</v>
      </c>
      <c r="F1237" t="s">
        <v>12</v>
      </c>
      <c r="G1237" t="e">
        <f>VLOOKUP($A1237,'CA-US List'!$A:$C,3,0)</f>
        <v>#N/A</v>
      </c>
      <c r="H1237" t="s">
        <v>9</v>
      </c>
    </row>
    <row r="1238" spans="1:8" x14ac:dyDescent="0.25">
      <c r="A1238">
        <v>68851107</v>
      </c>
      <c r="B1238">
        <v>2904</v>
      </c>
      <c r="C1238">
        <v>203</v>
      </c>
      <c r="D1238" s="19">
        <v>46099</v>
      </c>
      <c r="E1238" t="s">
        <v>11</v>
      </c>
      <c r="F1238" t="s">
        <v>12</v>
      </c>
      <c r="G1238" t="e">
        <f>VLOOKUP($A1238,'CA-US List'!$A:$C,3,0)</f>
        <v>#N/A</v>
      </c>
      <c r="H1238" t="s">
        <v>9</v>
      </c>
    </row>
    <row r="1239" spans="1:8" x14ac:dyDescent="0.25">
      <c r="A1239">
        <v>68851107</v>
      </c>
      <c r="B1239">
        <v>2904</v>
      </c>
      <c r="C1239">
        <v>10994</v>
      </c>
      <c r="D1239" s="19">
        <v>46102</v>
      </c>
      <c r="E1239" t="s">
        <v>11</v>
      </c>
      <c r="F1239" t="s">
        <v>12</v>
      </c>
      <c r="G1239" t="e">
        <f>VLOOKUP($A1239,'CA-US List'!$A:$C,3,0)</f>
        <v>#N/A</v>
      </c>
      <c r="H1239" t="s">
        <v>9</v>
      </c>
    </row>
    <row r="1240" spans="1:8" x14ac:dyDescent="0.25">
      <c r="A1240">
        <v>68851107</v>
      </c>
      <c r="B1240">
        <v>2904</v>
      </c>
      <c r="C1240">
        <v>9427</v>
      </c>
      <c r="D1240" s="19">
        <v>46103</v>
      </c>
      <c r="E1240" t="s">
        <v>11</v>
      </c>
      <c r="F1240" t="s">
        <v>12</v>
      </c>
      <c r="G1240" t="e">
        <f>VLOOKUP($A1240,'CA-US List'!$A:$C,3,0)</f>
        <v>#N/A</v>
      </c>
      <c r="H1240" t="s">
        <v>9</v>
      </c>
    </row>
    <row r="1241" spans="1:8" x14ac:dyDescent="0.25">
      <c r="A1241">
        <v>68851107</v>
      </c>
      <c r="B1241">
        <v>2904</v>
      </c>
      <c r="C1241">
        <v>176</v>
      </c>
      <c r="D1241" s="19">
        <v>46104</v>
      </c>
      <c r="E1241" t="s">
        <v>11</v>
      </c>
      <c r="F1241" t="s">
        <v>12</v>
      </c>
      <c r="G1241" t="e">
        <f>VLOOKUP($A1241,'CA-US List'!$A:$C,3,0)</f>
        <v>#N/A</v>
      </c>
      <c r="H1241" t="s">
        <v>9</v>
      </c>
    </row>
    <row r="1242" spans="1:8" x14ac:dyDescent="0.25">
      <c r="A1242">
        <v>68851107</v>
      </c>
      <c r="B1242">
        <v>2904</v>
      </c>
      <c r="C1242">
        <v>11002</v>
      </c>
      <c r="D1242" s="19">
        <v>46103</v>
      </c>
      <c r="E1242" t="s">
        <v>11</v>
      </c>
      <c r="F1242" t="s">
        <v>12</v>
      </c>
      <c r="G1242" t="e">
        <f>VLOOKUP($A1242,'CA-US List'!$A:$C,3,0)</f>
        <v>#N/A</v>
      </c>
      <c r="H1242" t="s">
        <v>9</v>
      </c>
    </row>
    <row r="1243" spans="1:8" x14ac:dyDescent="0.25">
      <c r="A1243">
        <v>68851107</v>
      </c>
      <c r="B1243">
        <v>2904</v>
      </c>
      <c r="C1243">
        <v>6711</v>
      </c>
      <c r="D1243" s="19">
        <v>46104</v>
      </c>
      <c r="E1243" t="s">
        <v>11</v>
      </c>
      <c r="F1243" t="s">
        <v>12</v>
      </c>
      <c r="G1243" t="e">
        <f>VLOOKUP($A1243,'CA-US List'!$A:$C,3,0)</f>
        <v>#N/A</v>
      </c>
      <c r="H1243" t="s">
        <v>9</v>
      </c>
    </row>
    <row r="1244" spans="1:8" x14ac:dyDescent="0.25">
      <c r="A1244">
        <v>68851108</v>
      </c>
      <c r="B1244">
        <v>2904</v>
      </c>
      <c r="C1244">
        <v>2997</v>
      </c>
      <c r="D1244" s="19">
        <v>46078</v>
      </c>
      <c r="E1244" t="s">
        <v>74</v>
      </c>
      <c r="F1244" t="s">
        <v>12</v>
      </c>
      <c r="G1244" t="e">
        <f>VLOOKUP($A1244,'CA-US List'!$A:$C,3,0)</f>
        <v>#N/A</v>
      </c>
      <c r="H1244" t="s">
        <v>9</v>
      </c>
    </row>
    <row r="1245" spans="1:8" x14ac:dyDescent="0.25">
      <c r="A1245">
        <v>68851108</v>
      </c>
      <c r="B1245">
        <v>2904</v>
      </c>
      <c r="C1245">
        <v>4576</v>
      </c>
      <c r="D1245" s="19">
        <v>46079</v>
      </c>
      <c r="E1245" t="s">
        <v>74</v>
      </c>
      <c r="F1245" t="s">
        <v>12</v>
      </c>
      <c r="G1245" t="e">
        <f>VLOOKUP($A1245,'CA-US List'!$A:$C,3,0)</f>
        <v>#N/A</v>
      </c>
      <c r="H1245" t="s">
        <v>9</v>
      </c>
    </row>
    <row r="1246" spans="1:8" x14ac:dyDescent="0.25">
      <c r="A1246">
        <v>68851108</v>
      </c>
      <c r="B1246">
        <v>2904</v>
      </c>
      <c r="C1246">
        <v>2902</v>
      </c>
      <c r="D1246" s="19">
        <v>46088</v>
      </c>
      <c r="E1246" t="s">
        <v>74</v>
      </c>
      <c r="F1246" t="s">
        <v>12</v>
      </c>
      <c r="G1246" t="e">
        <f>VLOOKUP($A1246,'CA-US List'!$A:$C,3,0)</f>
        <v>#N/A</v>
      </c>
      <c r="H1246" t="s">
        <v>9</v>
      </c>
    </row>
    <row r="1247" spans="1:8" x14ac:dyDescent="0.25">
      <c r="A1247">
        <v>68851108</v>
      </c>
      <c r="B1247">
        <v>2904</v>
      </c>
      <c r="C1247">
        <v>11566</v>
      </c>
      <c r="D1247" s="19">
        <v>46089</v>
      </c>
      <c r="E1247" t="s">
        <v>74</v>
      </c>
      <c r="F1247" t="s">
        <v>12</v>
      </c>
      <c r="G1247" t="e">
        <f>VLOOKUP($A1247,'CA-US List'!$A:$C,3,0)</f>
        <v>#N/A</v>
      </c>
      <c r="H1247" t="s">
        <v>9</v>
      </c>
    </row>
    <row r="1248" spans="1:8" x14ac:dyDescent="0.25">
      <c r="A1248">
        <v>68851108</v>
      </c>
      <c r="B1248">
        <v>2904</v>
      </c>
      <c r="C1248">
        <v>12320</v>
      </c>
      <c r="D1248" s="19">
        <v>46089</v>
      </c>
      <c r="E1248" t="s">
        <v>74</v>
      </c>
      <c r="F1248" t="s">
        <v>12</v>
      </c>
      <c r="G1248" t="e">
        <f>VLOOKUP($A1248,'CA-US List'!$A:$C,3,0)</f>
        <v>#N/A</v>
      </c>
      <c r="H1248" t="s">
        <v>9</v>
      </c>
    </row>
    <row r="1249" spans="1:8" x14ac:dyDescent="0.25">
      <c r="A1249">
        <v>68851108</v>
      </c>
      <c r="B1249">
        <v>2904</v>
      </c>
      <c r="C1249">
        <v>10384</v>
      </c>
      <c r="D1249" s="19">
        <v>46090</v>
      </c>
      <c r="E1249" t="s">
        <v>74</v>
      </c>
      <c r="F1249" t="s">
        <v>12</v>
      </c>
      <c r="G1249" t="e">
        <f>VLOOKUP($A1249,'CA-US List'!$A:$C,3,0)</f>
        <v>#N/A</v>
      </c>
      <c r="H1249" t="s">
        <v>9</v>
      </c>
    </row>
    <row r="1250" spans="1:8" x14ac:dyDescent="0.25">
      <c r="A1250">
        <v>68851108</v>
      </c>
      <c r="B1250">
        <v>2904</v>
      </c>
      <c r="C1250">
        <v>13024</v>
      </c>
      <c r="D1250" s="19">
        <v>46090</v>
      </c>
      <c r="E1250" t="s">
        <v>74</v>
      </c>
      <c r="F1250" t="s">
        <v>12</v>
      </c>
      <c r="G1250" t="e">
        <f>VLOOKUP($A1250,'CA-US List'!$A:$C,3,0)</f>
        <v>#N/A</v>
      </c>
      <c r="H1250" t="s">
        <v>9</v>
      </c>
    </row>
    <row r="1251" spans="1:8" x14ac:dyDescent="0.25">
      <c r="A1251">
        <v>68851108</v>
      </c>
      <c r="B1251">
        <v>2904</v>
      </c>
      <c r="C1251">
        <v>10032</v>
      </c>
      <c r="D1251" s="19">
        <v>46091</v>
      </c>
      <c r="E1251" t="s">
        <v>74</v>
      </c>
      <c r="F1251" t="s">
        <v>12</v>
      </c>
      <c r="G1251" t="e">
        <f>VLOOKUP($A1251,'CA-US List'!$A:$C,3,0)</f>
        <v>#N/A</v>
      </c>
      <c r="H1251" t="s">
        <v>9</v>
      </c>
    </row>
    <row r="1252" spans="1:8" x14ac:dyDescent="0.25">
      <c r="A1252">
        <v>68851108</v>
      </c>
      <c r="B1252">
        <v>2904</v>
      </c>
      <c r="C1252">
        <v>10384</v>
      </c>
      <c r="D1252" s="19">
        <v>46079</v>
      </c>
      <c r="E1252" t="s">
        <v>74</v>
      </c>
      <c r="F1252" t="s">
        <v>12</v>
      </c>
      <c r="G1252" t="e">
        <f>VLOOKUP($A1252,'CA-US List'!$A:$C,3,0)</f>
        <v>#N/A</v>
      </c>
      <c r="H1252" t="s">
        <v>9</v>
      </c>
    </row>
    <row r="1253" spans="1:8" x14ac:dyDescent="0.25">
      <c r="A1253">
        <v>68851108</v>
      </c>
      <c r="B1253">
        <v>2904</v>
      </c>
      <c r="C1253">
        <v>9064</v>
      </c>
      <c r="D1253" s="19">
        <v>46080</v>
      </c>
      <c r="E1253" t="s">
        <v>74</v>
      </c>
      <c r="F1253" t="s">
        <v>12</v>
      </c>
      <c r="G1253" t="e">
        <f>VLOOKUP($A1253,'CA-US List'!$A:$C,3,0)</f>
        <v>#N/A</v>
      </c>
      <c r="H1253" t="s">
        <v>9</v>
      </c>
    </row>
    <row r="1254" spans="1:8" x14ac:dyDescent="0.25">
      <c r="A1254">
        <v>68851108</v>
      </c>
      <c r="B1254">
        <v>2904</v>
      </c>
      <c r="C1254">
        <v>10032</v>
      </c>
      <c r="D1254" s="19">
        <v>46080</v>
      </c>
      <c r="E1254" t="s">
        <v>74</v>
      </c>
      <c r="F1254" t="s">
        <v>12</v>
      </c>
      <c r="G1254" t="e">
        <f>VLOOKUP($A1254,'CA-US List'!$A:$C,3,0)</f>
        <v>#N/A</v>
      </c>
      <c r="H1254" t="s">
        <v>9</v>
      </c>
    </row>
    <row r="1255" spans="1:8" x14ac:dyDescent="0.25">
      <c r="A1255">
        <v>68851108</v>
      </c>
      <c r="B1255">
        <v>2904</v>
      </c>
      <c r="C1255">
        <v>2248</v>
      </c>
      <c r="D1255" s="19">
        <v>46081</v>
      </c>
      <c r="E1255" t="s">
        <v>74</v>
      </c>
      <c r="F1255" t="s">
        <v>12</v>
      </c>
      <c r="G1255" t="e">
        <f>VLOOKUP($A1255,'CA-US List'!$A:$C,3,0)</f>
        <v>#N/A</v>
      </c>
      <c r="H1255" t="s">
        <v>9</v>
      </c>
    </row>
    <row r="1256" spans="1:8" x14ac:dyDescent="0.25">
      <c r="A1256">
        <v>68851108</v>
      </c>
      <c r="B1256">
        <v>2904</v>
      </c>
      <c r="C1256">
        <v>4862</v>
      </c>
      <c r="D1256" s="19">
        <v>46105</v>
      </c>
      <c r="E1256" t="s">
        <v>74</v>
      </c>
      <c r="F1256" t="s">
        <v>12</v>
      </c>
      <c r="G1256" t="e">
        <f>VLOOKUP($A1256,'CA-US List'!$A:$C,3,0)</f>
        <v>#N/A</v>
      </c>
      <c r="H1256" t="s">
        <v>9</v>
      </c>
    </row>
    <row r="1257" spans="1:8" x14ac:dyDescent="0.25">
      <c r="A1257">
        <v>68851108</v>
      </c>
      <c r="B1257">
        <v>2904</v>
      </c>
      <c r="C1257">
        <v>2112</v>
      </c>
      <c r="D1257" s="19">
        <v>46078</v>
      </c>
      <c r="E1257" t="s">
        <v>74</v>
      </c>
      <c r="F1257" t="s">
        <v>12</v>
      </c>
      <c r="G1257" t="e">
        <f>VLOOKUP($A1257,'CA-US List'!$A:$C,3,0)</f>
        <v>#N/A</v>
      </c>
      <c r="H1257" t="s">
        <v>9</v>
      </c>
    </row>
    <row r="1258" spans="1:8" x14ac:dyDescent="0.25">
      <c r="A1258">
        <v>68851108</v>
      </c>
      <c r="B1258">
        <v>2904</v>
      </c>
      <c r="C1258">
        <v>9742</v>
      </c>
      <c r="D1258" s="19">
        <v>46091</v>
      </c>
      <c r="E1258" t="s">
        <v>74</v>
      </c>
      <c r="F1258" t="s">
        <v>12</v>
      </c>
      <c r="G1258" t="e">
        <f>VLOOKUP($A1258,'CA-US List'!$A:$C,3,0)</f>
        <v>#N/A</v>
      </c>
      <c r="H1258" t="s">
        <v>9</v>
      </c>
    </row>
    <row r="1259" spans="1:8" x14ac:dyDescent="0.25">
      <c r="A1259">
        <v>68851108</v>
      </c>
      <c r="B1259">
        <v>2904</v>
      </c>
      <c r="C1259">
        <v>13728</v>
      </c>
      <c r="D1259" s="19">
        <v>46105</v>
      </c>
      <c r="E1259" t="s">
        <v>74</v>
      </c>
      <c r="F1259" t="s">
        <v>12</v>
      </c>
      <c r="G1259" t="e">
        <f>VLOOKUP($A1259,'CA-US List'!$A:$C,3,0)</f>
        <v>#N/A</v>
      </c>
      <c r="H1259" t="s">
        <v>9</v>
      </c>
    </row>
    <row r="1260" spans="1:8" x14ac:dyDescent="0.25">
      <c r="A1260">
        <v>68852591</v>
      </c>
      <c r="B1260">
        <v>2904</v>
      </c>
      <c r="C1260">
        <v>396</v>
      </c>
      <c r="D1260" s="19">
        <v>46097</v>
      </c>
      <c r="E1260" t="s">
        <v>68</v>
      </c>
      <c r="F1260" t="s">
        <v>52</v>
      </c>
      <c r="G1260" t="e">
        <f>VLOOKUP($A1260,'CA-US List'!$A:$C,3,0)</f>
        <v>#N/A</v>
      </c>
      <c r="H1260" t="s">
        <v>9</v>
      </c>
    </row>
    <row r="1261" spans="1:8" x14ac:dyDescent="0.25">
      <c r="A1261">
        <v>68852591</v>
      </c>
      <c r="B1261">
        <v>2904</v>
      </c>
      <c r="C1261">
        <v>779</v>
      </c>
      <c r="D1261" s="19">
        <v>46098</v>
      </c>
      <c r="E1261" t="s">
        <v>68</v>
      </c>
      <c r="F1261" t="s">
        <v>52</v>
      </c>
      <c r="G1261" t="e">
        <f>VLOOKUP($A1261,'CA-US List'!$A:$C,3,0)</f>
        <v>#N/A</v>
      </c>
      <c r="H1261" t="s">
        <v>9</v>
      </c>
    </row>
    <row r="1262" spans="1:8" x14ac:dyDescent="0.25">
      <c r="A1262">
        <v>68852591</v>
      </c>
      <c r="B1262">
        <v>2904</v>
      </c>
      <c r="C1262">
        <v>2112</v>
      </c>
      <c r="D1262" s="19">
        <v>46098</v>
      </c>
      <c r="E1262" t="s">
        <v>68</v>
      </c>
      <c r="F1262" t="s">
        <v>52</v>
      </c>
      <c r="G1262" t="e">
        <f>VLOOKUP($A1262,'CA-US List'!$A:$C,3,0)</f>
        <v>#N/A</v>
      </c>
      <c r="H1262" t="s">
        <v>9</v>
      </c>
    </row>
    <row r="1263" spans="1:8" x14ac:dyDescent="0.25">
      <c r="A1263">
        <v>68852591</v>
      </c>
      <c r="B1263">
        <v>2904</v>
      </c>
      <c r="C1263">
        <v>1056</v>
      </c>
      <c r="D1263" s="19">
        <v>46099</v>
      </c>
      <c r="E1263" t="s">
        <v>68</v>
      </c>
      <c r="F1263" t="s">
        <v>52</v>
      </c>
      <c r="G1263" t="e">
        <f>VLOOKUP($A1263,'CA-US List'!$A:$C,3,0)</f>
        <v>#N/A</v>
      </c>
      <c r="H1263" t="s">
        <v>9</v>
      </c>
    </row>
    <row r="1264" spans="1:8" x14ac:dyDescent="0.25">
      <c r="A1264">
        <v>68852591</v>
      </c>
      <c r="B1264">
        <v>2904</v>
      </c>
      <c r="C1264">
        <v>-13</v>
      </c>
      <c r="D1264" s="19">
        <v>46105</v>
      </c>
      <c r="E1264" t="s">
        <v>68</v>
      </c>
      <c r="F1264" t="s">
        <v>52</v>
      </c>
      <c r="G1264" t="e">
        <f>VLOOKUP($A1264,'CA-US List'!$A:$C,3,0)</f>
        <v>#N/A</v>
      </c>
      <c r="H1264" t="s">
        <v>9</v>
      </c>
    </row>
    <row r="1265" spans="1:8" x14ac:dyDescent="0.25">
      <c r="A1265">
        <v>68852591</v>
      </c>
      <c r="B1265">
        <v>2904</v>
      </c>
      <c r="C1265">
        <v>1794</v>
      </c>
      <c r="D1265" s="19">
        <v>46099</v>
      </c>
      <c r="E1265" t="s">
        <v>68</v>
      </c>
      <c r="F1265" t="s">
        <v>52</v>
      </c>
      <c r="G1265" t="e">
        <f>VLOOKUP($A1265,'CA-US List'!$A:$C,3,0)</f>
        <v>#N/A</v>
      </c>
      <c r="H1265" t="s">
        <v>9</v>
      </c>
    </row>
    <row r="1266" spans="1:8" x14ac:dyDescent="0.25">
      <c r="A1266">
        <v>68852591</v>
      </c>
      <c r="B1266">
        <v>2904</v>
      </c>
      <c r="C1266">
        <v>1716</v>
      </c>
      <c r="D1266" s="19">
        <v>46100</v>
      </c>
      <c r="E1266" t="s">
        <v>68</v>
      </c>
      <c r="F1266" t="s">
        <v>52</v>
      </c>
      <c r="G1266" t="e">
        <f>VLOOKUP($A1266,'CA-US List'!$A:$C,3,0)</f>
        <v>#N/A</v>
      </c>
      <c r="H1266" t="s">
        <v>9</v>
      </c>
    </row>
    <row r="1267" spans="1:8" x14ac:dyDescent="0.25">
      <c r="A1267">
        <v>68852591</v>
      </c>
      <c r="B1267">
        <v>2904</v>
      </c>
      <c r="C1267">
        <v>1297</v>
      </c>
      <c r="D1267" s="19">
        <v>46100</v>
      </c>
      <c r="E1267" t="s">
        <v>68</v>
      </c>
      <c r="F1267" t="s">
        <v>52</v>
      </c>
      <c r="G1267" t="e">
        <f>VLOOKUP($A1267,'CA-US List'!$A:$C,3,0)</f>
        <v>#N/A</v>
      </c>
      <c r="H1267" t="s">
        <v>9</v>
      </c>
    </row>
    <row r="1268" spans="1:8" x14ac:dyDescent="0.25">
      <c r="A1268">
        <v>68852591</v>
      </c>
      <c r="B1268">
        <v>2904</v>
      </c>
      <c r="C1268">
        <v>1452</v>
      </c>
      <c r="D1268" s="19">
        <v>46101</v>
      </c>
      <c r="E1268" t="s">
        <v>68</v>
      </c>
      <c r="F1268" t="s">
        <v>52</v>
      </c>
      <c r="G1268" t="e">
        <f>VLOOKUP($A1268,'CA-US List'!$A:$C,3,0)</f>
        <v>#N/A</v>
      </c>
      <c r="H1268" t="s">
        <v>9</v>
      </c>
    </row>
    <row r="1269" spans="1:8" x14ac:dyDescent="0.25">
      <c r="A1269">
        <v>68852591</v>
      </c>
      <c r="B1269">
        <v>2904</v>
      </c>
      <c r="C1269">
        <v>527</v>
      </c>
      <c r="D1269" s="19">
        <v>46101</v>
      </c>
      <c r="E1269" t="s">
        <v>68</v>
      </c>
      <c r="F1269" t="s">
        <v>52</v>
      </c>
      <c r="G1269" t="e">
        <f>VLOOKUP($A1269,'CA-US List'!$A:$C,3,0)</f>
        <v>#N/A</v>
      </c>
      <c r="H1269" t="s">
        <v>9</v>
      </c>
    </row>
    <row r="1270" spans="1:8" x14ac:dyDescent="0.25">
      <c r="A1270">
        <v>68852591</v>
      </c>
      <c r="B1270">
        <v>2904</v>
      </c>
      <c r="C1270">
        <v>1383</v>
      </c>
      <c r="D1270" s="19">
        <v>46102</v>
      </c>
      <c r="E1270" t="s">
        <v>68</v>
      </c>
      <c r="F1270" t="s">
        <v>52</v>
      </c>
      <c r="G1270" t="e">
        <f>VLOOKUP($A1270,'CA-US List'!$A:$C,3,0)</f>
        <v>#N/A</v>
      </c>
      <c r="H1270" t="s">
        <v>9</v>
      </c>
    </row>
    <row r="1271" spans="1:8" x14ac:dyDescent="0.25">
      <c r="A1271">
        <v>68852591</v>
      </c>
      <c r="B1271">
        <v>2904</v>
      </c>
      <c r="C1271">
        <v>1471</v>
      </c>
      <c r="D1271" s="19">
        <v>46102</v>
      </c>
      <c r="E1271" t="s">
        <v>68</v>
      </c>
      <c r="F1271" t="s">
        <v>52</v>
      </c>
      <c r="G1271" t="e">
        <f>VLOOKUP($A1271,'CA-US List'!$A:$C,3,0)</f>
        <v>#N/A</v>
      </c>
      <c r="H1271" t="s">
        <v>9</v>
      </c>
    </row>
    <row r="1272" spans="1:8" x14ac:dyDescent="0.25">
      <c r="A1272">
        <v>68852591</v>
      </c>
      <c r="B1272">
        <v>2904</v>
      </c>
      <c r="C1272">
        <v>1320</v>
      </c>
      <c r="D1272" s="19">
        <v>46103</v>
      </c>
      <c r="E1272" t="s">
        <v>68</v>
      </c>
      <c r="F1272" t="s">
        <v>52</v>
      </c>
      <c r="G1272" t="e">
        <f>VLOOKUP($A1272,'CA-US List'!$A:$C,3,0)</f>
        <v>#N/A</v>
      </c>
      <c r="H1272" t="s">
        <v>9</v>
      </c>
    </row>
    <row r="1273" spans="1:8" x14ac:dyDescent="0.25">
      <c r="A1273">
        <v>68852591</v>
      </c>
      <c r="B1273">
        <v>2904</v>
      </c>
      <c r="C1273">
        <v>1797</v>
      </c>
      <c r="D1273" s="19">
        <v>46103</v>
      </c>
      <c r="E1273" t="s">
        <v>68</v>
      </c>
      <c r="F1273" t="s">
        <v>52</v>
      </c>
      <c r="G1273" t="e">
        <f>VLOOKUP($A1273,'CA-US List'!$A:$C,3,0)</f>
        <v>#N/A</v>
      </c>
      <c r="H1273" t="s">
        <v>9</v>
      </c>
    </row>
    <row r="1274" spans="1:8" x14ac:dyDescent="0.25">
      <c r="A1274">
        <v>68852591</v>
      </c>
      <c r="B1274">
        <v>2904</v>
      </c>
      <c r="C1274">
        <v>923</v>
      </c>
      <c r="D1274" s="19">
        <v>46104</v>
      </c>
      <c r="E1274" t="s">
        <v>68</v>
      </c>
      <c r="F1274" t="s">
        <v>52</v>
      </c>
      <c r="G1274" t="e">
        <f>VLOOKUP($A1274,'CA-US List'!$A:$C,3,0)</f>
        <v>#N/A</v>
      </c>
      <c r="H1274" t="s">
        <v>9</v>
      </c>
    </row>
    <row r="1275" spans="1:8" x14ac:dyDescent="0.25">
      <c r="A1275">
        <v>68852591</v>
      </c>
      <c r="B1275">
        <v>2904</v>
      </c>
      <c r="C1275">
        <v>729</v>
      </c>
      <c r="D1275" s="19">
        <v>46104</v>
      </c>
      <c r="E1275" t="s">
        <v>68</v>
      </c>
      <c r="F1275" t="s">
        <v>52</v>
      </c>
      <c r="G1275" t="e">
        <f>VLOOKUP($A1275,'CA-US List'!$A:$C,3,0)</f>
        <v>#N/A</v>
      </c>
      <c r="H1275" t="s">
        <v>9</v>
      </c>
    </row>
    <row r="1276" spans="1:8" x14ac:dyDescent="0.25">
      <c r="A1276">
        <v>68852591</v>
      </c>
      <c r="B1276">
        <v>2904</v>
      </c>
      <c r="C1276">
        <v>264</v>
      </c>
      <c r="D1276" s="19">
        <v>46105</v>
      </c>
      <c r="E1276" t="s">
        <v>68</v>
      </c>
      <c r="F1276" t="s">
        <v>52</v>
      </c>
      <c r="G1276" t="e">
        <f>VLOOKUP($A1276,'CA-US List'!$A:$C,3,0)</f>
        <v>#N/A</v>
      </c>
      <c r="H1276" t="s">
        <v>9</v>
      </c>
    </row>
    <row r="1277" spans="1:8" x14ac:dyDescent="0.25">
      <c r="A1277">
        <v>68852591</v>
      </c>
      <c r="B1277">
        <v>2904</v>
      </c>
      <c r="C1277">
        <v>1848</v>
      </c>
      <c r="D1277" s="19">
        <v>46105</v>
      </c>
      <c r="E1277" t="s">
        <v>68</v>
      </c>
      <c r="F1277" t="s">
        <v>52</v>
      </c>
      <c r="G1277" t="e">
        <f>VLOOKUP($A1277,'CA-US List'!$A:$C,3,0)</f>
        <v>#N/A</v>
      </c>
      <c r="H1277" t="s">
        <v>9</v>
      </c>
    </row>
    <row r="1278" spans="1:8" x14ac:dyDescent="0.25">
      <c r="A1278">
        <v>68852625</v>
      </c>
      <c r="B1278">
        <v>2904</v>
      </c>
      <c r="C1278">
        <v>13817</v>
      </c>
      <c r="D1278" s="19">
        <v>46089</v>
      </c>
      <c r="E1278" t="s">
        <v>946</v>
      </c>
      <c r="F1278" t="s">
        <v>27</v>
      </c>
      <c r="G1278" t="e">
        <f>VLOOKUP($A1278,'CA-US List'!$A:$C,3,0)</f>
        <v>#N/A</v>
      </c>
      <c r="H1278" t="s">
        <v>9</v>
      </c>
    </row>
    <row r="1279" spans="1:8" x14ac:dyDescent="0.25">
      <c r="A1279">
        <v>68852625</v>
      </c>
      <c r="B1279">
        <v>2904</v>
      </c>
      <c r="C1279">
        <v>12175</v>
      </c>
      <c r="D1279" s="19">
        <v>46090</v>
      </c>
      <c r="E1279" t="s">
        <v>946</v>
      </c>
      <c r="F1279" t="s">
        <v>27</v>
      </c>
      <c r="G1279" t="e">
        <f>VLOOKUP($A1279,'CA-US List'!$A:$C,3,0)</f>
        <v>#N/A</v>
      </c>
      <c r="H1279" t="s">
        <v>9</v>
      </c>
    </row>
    <row r="1280" spans="1:8" x14ac:dyDescent="0.25">
      <c r="A1280">
        <v>68852625</v>
      </c>
      <c r="B1280">
        <v>2904</v>
      </c>
      <c r="C1280">
        <v>15233</v>
      </c>
      <c r="D1280" s="19">
        <v>46090</v>
      </c>
      <c r="E1280" t="s">
        <v>946</v>
      </c>
      <c r="F1280" t="s">
        <v>27</v>
      </c>
      <c r="G1280" t="e">
        <f>VLOOKUP($A1280,'CA-US List'!$A:$C,3,0)</f>
        <v>#N/A</v>
      </c>
      <c r="H1280" t="s">
        <v>9</v>
      </c>
    </row>
    <row r="1281" spans="1:8" x14ac:dyDescent="0.25">
      <c r="A1281">
        <v>68852625</v>
      </c>
      <c r="B1281">
        <v>2904</v>
      </c>
      <c r="C1281">
        <v>11599</v>
      </c>
      <c r="D1281" s="19">
        <v>46091</v>
      </c>
      <c r="E1281" t="s">
        <v>946</v>
      </c>
      <c r="F1281" t="s">
        <v>27</v>
      </c>
      <c r="G1281" t="e">
        <f>VLOOKUP($A1281,'CA-US List'!$A:$C,3,0)</f>
        <v>#N/A</v>
      </c>
      <c r="H1281" t="s">
        <v>9</v>
      </c>
    </row>
    <row r="1282" spans="1:8" x14ac:dyDescent="0.25">
      <c r="A1282">
        <v>68852625</v>
      </c>
      <c r="B1282">
        <v>2904</v>
      </c>
      <c r="C1282">
        <v>16487</v>
      </c>
      <c r="D1282" s="19">
        <v>46091</v>
      </c>
      <c r="E1282" t="s">
        <v>946</v>
      </c>
      <c r="F1282" t="s">
        <v>27</v>
      </c>
      <c r="G1282" t="e">
        <f>VLOOKUP($A1282,'CA-US List'!$A:$C,3,0)</f>
        <v>#N/A</v>
      </c>
      <c r="H1282" t="s">
        <v>9</v>
      </c>
    </row>
    <row r="1283" spans="1:8" x14ac:dyDescent="0.25">
      <c r="A1283">
        <v>68852625</v>
      </c>
      <c r="B1283">
        <v>2904</v>
      </c>
      <c r="C1283">
        <v>13711</v>
      </c>
      <c r="D1283" s="19">
        <v>46092</v>
      </c>
      <c r="E1283" t="s">
        <v>946</v>
      </c>
      <c r="F1283" t="s">
        <v>27</v>
      </c>
      <c r="G1283" t="e">
        <f>VLOOKUP($A1283,'CA-US List'!$A:$C,3,0)</f>
        <v>#N/A</v>
      </c>
      <c r="H1283" t="s">
        <v>9</v>
      </c>
    </row>
    <row r="1284" spans="1:8" x14ac:dyDescent="0.25">
      <c r="A1284">
        <v>68852625</v>
      </c>
      <c r="B1284">
        <v>2904</v>
      </c>
      <c r="C1284">
        <v>17814</v>
      </c>
      <c r="D1284" s="19">
        <v>46092</v>
      </c>
      <c r="E1284" t="s">
        <v>946</v>
      </c>
      <c r="F1284" t="s">
        <v>27</v>
      </c>
      <c r="G1284" t="e">
        <f>VLOOKUP($A1284,'CA-US List'!$A:$C,3,0)</f>
        <v>#N/A</v>
      </c>
      <c r="H1284" t="s">
        <v>9</v>
      </c>
    </row>
    <row r="1285" spans="1:8" x14ac:dyDescent="0.25">
      <c r="A1285">
        <v>68852625</v>
      </c>
      <c r="B1285">
        <v>2904</v>
      </c>
      <c r="C1285">
        <v>1569</v>
      </c>
      <c r="D1285" s="19">
        <v>46093</v>
      </c>
      <c r="E1285" t="s">
        <v>946</v>
      </c>
      <c r="F1285" t="s">
        <v>27</v>
      </c>
      <c r="G1285" t="e">
        <f>VLOOKUP($A1285,'CA-US List'!$A:$C,3,0)</f>
        <v>#N/A</v>
      </c>
      <c r="H1285" t="s">
        <v>9</v>
      </c>
    </row>
    <row r="1286" spans="1:8" x14ac:dyDescent="0.25">
      <c r="A1286">
        <v>68860059</v>
      </c>
      <c r="B1286">
        <v>2904</v>
      </c>
      <c r="C1286">
        <v>15045</v>
      </c>
      <c r="D1286" s="19">
        <v>46085</v>
      </c>
      <c r="E1286" t="s">
        <v>99</v>
      </c>
      <c r="F1286" t="s">
        <v>27</v>
      </c>
      <c r="G1286" t="e">
        <f>VLOOKUP($A1286,'CA-US List'!$A:$C,3,0)</f>
        <v>#N/A</v>
      </c>
      <c r="H1286" t="s">
        <v>9</v>
      </c>
    </row>
    <row r="1287" spans="1:8" x14ac:dyDescent="0.25">
      <c r="A1287">
        <v>68860059</v>
      </c>
      <c r="B1287">
        <v>2904</v>
      </c>
      <c r="C1287">
        <v>10850</v>
      </c>
      <c r="D1287" s="19">
        <v>46086</v>
      </c>
      <c r="E1287" t="s">
        <v>99</v>
      </c>
      <c r="F1287" t="s">
        <v>27</v>
      </c>
      <c r="G1287" t="e">
        <f>VLOOKUP($A1287,'CA-US List'!$A:$C,3,0)</f>
        <v>#N/A</v>
      </c>
      <c r="H1287" t="s">
        <v>9</v>
      </c>
    </row>
    <row r="1288" spans="1:8" x14ac:dyDescent="0.25">
      <c r="A1288">
        <v>68860059</v>
      </c>
      <c r="B1288">
        <v>2904</v>
      </c>
      <c r="C1288">
        <v>20703</v>
      </c>
      <c r="D1288" s="19">
        <v>46086</v>
      </c>
      <c r="E1288" t="s">
        <v>99</v>
      </c>
      <c r="F1288" t="s">
        <v>27</v>
      </c>
      <c r="G1288" t="e">
        <f>VLOOKUP($A1288,'CA-US List'!$A:$C,3,0)</f>
        <v>#N/A</v>
      </c>
      <c r="H1288" t="s">
        <v>9</v>
      </c>
    </row>
    <row r="1289" spans="1:8" x14ac:dyDescent="0.25">
      <c r="A1289">
        <v>68860059</v>
      </c>
      <c r="B1289">
        <v>2904</v>
      </c>
      <c r="C1289">
        <v>17760</v>
      </c>
      <c r="D1289" s="19">
        <v>46087</v>
      </c>
      <c r="E1289" t="s">
        <v>99</v>
      </c>
      <c r="F1289" t="s">
        <v>27</v>
      </c>
      <c r="G1289" t="e">
        <f>VLOOKUP($A1289,'CA-US List'!$A:$C,3,0)</f>
        <v>#N/A</v>
      </c>
      <c r="H1289" t="s">
        <v>9</v>
      </c>
    </row>
    <row r="1290" spans="1:8" x14ac:dyDescent="0.25">
      <c r="A1290">
        <v>68860059</v>
      </c>
      <c r="B1290">
        <v>2904</v>
      </c>
      <c r="C1290">
        <v>15545</v>
      </c>
      <c r="D1290" s="19">
        <v>46087</v>
      </c>
      <c r="E1290" t="s">
        <v>99</v>
      </c>
      <c r="F1290" t="s">
        <v>27</v>
      </c>
      <c r="G1290" t="e">
        <f>VLOOKUP($A1290,'CA-US List'!$A:$C,3,0)</f>
        <v>#N/A</v>
      </c>
      <c r="H1290" t="s">
        <v>9</v>
      </c>
    </row>
    <row r="1291" spans="1:8" x14ac:dyDescent="0.25">
      <c r="A1291">
        <v>68860059</v>
      </c>
      <c r="B1291">
        <v>2904</v>
      </c>
      <c r="C1291">
        <v>6353</v>
      </c>
      <c r="D1291" s="19">
        <v>46088</v>
      </c>
      <c r="E1291" t="s">
        <v>99</v>
      </c>
      <c r="F1291" t="s">
        <v>27</v>
      </c>
      <c r="G1291" t="e">
        <f>VLOOKUP($A1291,'CA-US List'!$A:$C,3,0)</f>
        <v>#N/A</v>
      </c>
      <c r="H1291" t="s">
        <v>9</v>
      </c>
    </row>
    <row r="1292" spans="1:8" x14ac:dyDescent="0.25">
      <c r="A1292">
        <v>68860059</v>
      </c>
      <c r="B1292">
        <v>2904</v>
      </c>
      <c r="C1292">
        <v>255</v>
      </c>
      <c r="D1292" s="19">
        <v>46090</v>
      </c>
      <c r="E1292" t="s">
        <v>99</v>
      </c>
      <c r="F1292" t="s">
        <v>27</v>
      </c>
      <c r="G1292" t="e">
        <f>VLOOKUP($A1292,'CA-US List'!$A:$C,3,0)</f>
        <v>#N/A</v>
      </c>
      <c r="H1292" t="s">
        <v>9</v>
      </c>
    </row>
    <row r="1293" spans="1:8" x14ac:dyDescent="0.25">
      <c r="A1293">
        <v>68860059</v>
      </c>
      <c r="B1293">
        <v>2904</v>
      </c>
      <c r="C1293">
        <v>2535</v>
      </c>
      <c r="D1293" s="19">
        <v>46085</v>
      </c>
      <c r="E1293" t="s">
        <v>99</v>
      </c>
      <c r="F1293" t="s">
        <v>27</v>
      </c>
      <c r="G1293" t="e">
        <f>VLOOKUP($A1293,'CA-US List'!$A:$C,3,0)</f>
        <v>#N/A</v>
      </c>
      <c r="H1293" t="s">
        <v>9</v>
      </c>
    </row>
    <row r="1294" spans="1:8" x14ac:dyDescent="0.25">
      <c r="A1294">
        <v>68860061</v>
      </c>
      <c r="B1294">
        <v>2904</v>
      </c>
      <c r="C1294">
        <v>193</v>
      </c>
      <c r="D1294" s="19">
        <v>46076</v>
      </c>
      <c r="E1294" t="s">
        <v>707</v>
      </c>
      <c r="F1294" t="s">
        <v>29</v>
      </c>
      <c r="G1294" t="e">
        <f>VLOOKUP($A1294,'CA-US List'!$A:$C,3,0)</f>
        <v>#N/A</v>
      </c>
      <c r="H1294" t="s">
        <v>9</v>
      </c>
    </row>
    <row r="1295" spans="1:8" x14ac:dyDescent="0.25">
      <c r="A1295">
        <v>68860061</v>
      </c>
      <c r="B1295">
        <v>2904</v>
      </c>
      <c r="C1295">
        <v>4741</v>
      </c>
      <c r="D1295" s="19">
        <v>46076</v>
      </c>
      <c r="E1295" t="s">
        <v>707</v>
      </c>
      <c r="F1295" t="s">
        <v>29</v>
      </c>
      <c r="G1295" t="e">
        <f>VLOOKUP($A1295,'CA-US List'!$A:$C,3,0)</f>
        <v>#N/A</v>
      </c>
      <c r="H1295" t="s">
        <v>9</v>
      </c>
    </row>
    <row r="1296" spans="1:8" x14ac:dyDescent="0.25">
      <c r="A1296">
        <v>68860061</v>
      </c>
      <c r="B1296">
        <v>2904</v>
      </c>
      <c r="C1296">
        <v>6724</v>
      </c>
      <c r="D1296" s="19">
        <v>46092</v>
      </c>
      <c r="E1296" t="s">
        <v>707</v>
      </c>
      <c r="F1296" t="s">
        <v>29</v>
      </c>
      <c r="G1296" t="e">
        <f>VLOOKUP($A1296,'CA-US List'!$A:$C,3,0)</f>
        <v>#N/A</v>
      </c>
      <c r="H1296" t="s">
        <v>9</v>
      </c>
    </row>
    <row r="1297" spans="1:8" x14ac:dyDescent="0.25">
      <c r="A1297">
        <v>68860061</v>
      </c>
      <c r="B1297">
        <v>2904</v>
      </c>
      <c r="C1297">
        <v>7349</v>
      </c>
      <c r="D1297" s="19">
        <v>46093</v>
      </c>
      <c r="E1297" t="s">
        <v>707</v>
      </c>
      <c r="F1297" t="s">
        <v>29</v>
      </c>
      <c r="G1297" t="e">
        <f>VLOOKUP($A1297,'CA-US List'!$A:$C,3,0)</f>
        <v>#N/A</v>
      </c>
      <c r="H1297" t="s">
        <v>9</v>
      </c>
    </row>
    <row r="1298" spans="1:8" x14ac:dyDescent="0.25">
      <c r="A1298">
        <v>68860061</v>
      </c>
      <c r="B1298">
        <v>2904</v>
      </c>
      <c r="C1298">
        <v>7559</v>
      </c>
      <c r="D1298" s="19">
        <v>46093</v>
      </c>
      <c r="E1298" t="s">
        <v>707</v>
      </c>
      <c r="F1298" t="s">
        <v>29</v>
      </c>
      <c r="G1298" t="e">
        <f>VLOOKUP($A1298,'CA-US List'!$A:$C,3,0)</f>
        <v>#N/A</v>
      </c>
      <c r="H1298" t="s">
        <v>9</v>
      </c>
    </row>
    <row r="1299" spans="1:8" x14ac:dyDescent="0.25">
      <c r="A1299">
        <v>68860061</v>
      </c>
      <c r="B1299">
        <v>2904</v>
      </c>
      <c r="C1299">
        <v>7234</v>
      </c>
      <c r="D1299" s="19">
        <v>46094</v>
      </c>
      <c r="E1299" t="s">
        <v>707</v>
      </c>
      <c r="F1299" t="s">
        <v>29</v>
      </c>
      <c r="G1299" t="e">
        <f>VLOOKUP($A1299,'CA-US List'!$A:$C,3,0)</f>
        <v>#N/A</v>
      </c>
      <c r="H1299" t="s">
        <v>9</v>
      </c>
    </row>
    <row r="1300" spans="1:8" x14ac:dyDescent="0.25">
      <c r="A1300">
        <v>68860061</v>
      </c>
      <c r="B1300">
        <v>2904</v>
      </c>
      <c r="C1300">
        <v>871</v>
      </c>
      <c r="D1300" s="19">
        <v>46094</v>
      </c>
      <c r="E1300" t="s">
        <v>707</v>
      </c>
      <c r="F1300" t="s">
        <v>29</v>
      </c>
      <c r="G1300" t="e">
        <f>VLOOKUP($A1300,'CA-US List'!$A:$C,3,0)</f>
        <v>#N/A</v>
      </c>
      <c r="H1300" t="s">
        <v>9</v>
      </c>
    </row>
    <row r="1301" spans="1:8" x14ac:dyDescent="0.25">
      <c r="A1301">
        <v>68860061</v>
      </c>
      <c r="B1301">
        <v>2904</v>
      </c>
      <c r="C1301">
        <v>510</v>
      </c>
      <c r="D1301" s="19">
        <v>46095</v>
      </c>
      <c r="E1301" t="s">
        <v>707</v>
      </c>
      <c r="F1301" t="s">
        <v>29</v>
      </c>
      <c r="G1301" t="e">
        <f>VLOOKUP($A1301,'CA-US List'!$A:$C,3,0)</f>
        <v>#N/A</v>
      </c>
      <c r="H1301" t="s">
        <v>9</v>
      </c>
    </row>
    <row r="1302" spans="1:8" x14ac:dyDescent="0.25">
      <c r="A1302">
        <v>68860061</v>
      </c>
      <c r="B1302">
        <v>2904</v>
      </c>
      <c r="C1302">
        <v>10424</v>
      </c>
      <c r="D1302" s="19">
        <v>46101</v>
      </c>
      <c r="E1302" t="s">
        <v>707</v>
      </c>
      <c r="F1302" t="s">
        <v>29</v>
      </c>
      <c r="G1302" t="e">
        <f>VLOOKUP($A1302,'CA-US List'!$A:$C,3,0)</f>
        <v>#N/A</v>
      </c>
      <c r="H1302" t="s">
        <v>9</v>
      </c>
    </row>
    <row r="1303" spans="1:8" x14ac:dyDescent="0.25">
      <c r="A1303">
        <v>68860061</v>
      </c>
      <c r="B1303">
        <v>2904</v>
      </c>
      <c r="C1303">
        <v>7611</v>
      </c>
      <c r="D1303" s="19">
        <v>46102</v>
      </c>
      <c r="E1303" t="s">
        <v>707</v>
      </c>
      <c r="F1303" t="s">
        <v>29</v>
      </c>
      <c r="G1303" t="e">
        <f>VLOOKUP($A1303,'CA-US List'!$A:$C,3,0)</f>
        <v>#N/A</v>
      </c>
      <c r="H1303" t="s">
        <v>9</v>
      </c>
    </row>
    <row r="1304" spans="1:8" x14ac:dyDescent="0.25">
      <c r="A1304">
        <v>68860061</v>
      </c>
      <c r="B1304">
        <v>2904</v>
      </c>
      <c r="C1304">
        <v>5929</v>
      </c>
      <c r="D1304" s="19">
        <v>46102</v>
      </c>
      <c r="E1304" t="s">
        <v>707</v>
      </c>
      <c r="F1304" t="s">
        <v>29</v>
      </c>
      <c r="G1304" t="e">
        <f>VLOOKUP($A1304,'CA-US List'!$A:$C,3,0)</f>
        <v>#N/A</v>
      </c>
      <c r="H1304" t="s">
        <v>9</v>
      </c>
    </row>
    <row r="1305" spans="1:8" x14ac:dyDescent="0.25">
      <c r="A1305">
        <v>68860061</v>
      </c>
      <c r="B1305">
        <v>2904</v>
      </c>
      <c r="C1305">
        <v>255</v>
      </c>
      <c r="D1305" s="19">
        <v>46103</v>
      </c>
      <c r="E1305" t="s">
        <v>707</v>
      </c>
      <c r="F1305" t="s">
        <v>29</v>
      </c>
      <c r="G1305" t="e">
        <f>VLOOKUP($A1305,'CA-US List'!$A:$C,3,0)</f>
        <v>#N/A</v>
      </c>
      <c r="H1305" t="s">
        <v>9</v>
      </c>
    </row>
    <row r="1306" spans="1:8" x14ac:dyDescent="0.25">
      <c r="A1306">
        <v>68860061</v>
      </c>
      <c r="B1306">
        <v>2904</v>
      </c>
      <c r="C1306">
        <v>3766</v>
      </c>
      <c r="D1306" s="19">
        <v>46076</v>
      </c>
      <c r="E1306" t="s">
        <v>707</v>
      </c>
      <c r="F1306" t="s">
        <v>29</v>
      </c>
      <c r="G1306" t="e">
        <f>VLOOKUP($A1306,'CA-US List'!$A:$C,3,0)</f>
        <v>#N/A</v>
      </c>
      <c r="H1306" t="s">
        <v>9</v>
      </c>
    </row>
    <row r="1307" spans="1:8" x14ac:dyDescent="0.25">
      <c r="A1307">
        <v>68860061</v>
      </c>
      <c r="B1307">
        <v>2904</v>
      </c>
      <c r="C1307">
        <v>4422</v>
      </c>
      <c r="D1307" s="19">
        <v>46077</v>
      </c>
      <c r="E1307" t="s">
        <v>707</v>
      </c>
      <c r="F1307" t="s">
        <v>29</v>
      </c>
      <c r="G1307" t="e">
        <f>VLOOKUP($A1307,'CA-US List'!$A:$C,3,0)</f>
        <v>#N/A</v>
      </c>
      <c r="H1307" t="s">
        <v>9</v>
      </c>
    </row>
    <row r="1308" spans="1:8" x14ac:dyDescent="0.25">
      <c r="A1308">
        <v>68860061</v>
      </c>
      <c r="B1308">
        <v>2904</v>
      </c>
      <c r="C1308">
        <v>1020</v>
      </c>
      <c r="D1308" s="19">
        <v>46092</v>
      </c>
      <c r="E1308" t="s">
        <v>707</v>
      </c>
      <c r="F1308" t="s">
        <v>29</v>
      </c>
      <c r="G1308" t="e">
        <f>VLOOKUP($A1308,'CA-US List'!$A:$C,3,0)</f>
        <v>#N/A</v>
      </c>
      <c r="H1308" t="s">
        <v>9</v>
      </c>
    </row>
    <row r="1309" spans="1:8" x14ac:dyDescent="0.25">
      <c r="A1309">
        <v>68860061</v>
      </c>
      <c r="B1309">
        <v>2904</v>
      </c>
      <c r="C1309">
        <v>3039</v>
      </c>
      <c r="D1309" s="19">
        <v>46100</v>
      </c>
      <c r="E1309" t="s">
        <v>707</v>
      </c>
      <c r="F1309" t="s">
        <v>29</v>
      </c>
      <c r="G1309" t="e">
        <f>VLOOKUP($A1309,'CA-US List'!$A:$C,3,0)</f>
        <v>#N/A</v>
      </c>
      <c r="H1309" t="s">
        <v>9</v>
      </c>
    </row>
    <row r="1310" spans="1:8" x14ac:dyDescent="0.25">
      <c r="A1310">
        <v>68860061</v>
      </c>
      <c r="B1310">
        <v>2904</v>
      </c>
      <c r="C1310">
        <v>6375</v>
      </c>
      <c r="D1310" s="19">
        <v>46101</v>
      </c>
      <c r="E1310" t="s">
        <v>707</v>
      </c>
      <c r="F1310" t="s">
        <v>29</v>
      </c>
      <c r="G1310" t="e">
        <f>VLOOKUP($A1310,'CA-US List'!$A:$C,3,0)</f>
        <v>#N/A</v>
      </c>
      <c r="H1310" t="s">
        <v>9</v>
      </c>
    </row>
    <row r="1311" spans="1:8" x14ac:dyDescent="0.25">
      <c r="A1311">
        <v>68860129</v>
      </c>
      <c r="B1311">
        <v>2904</v>
      </c>
      <c r="C1311">
        <v>9511</v>
      </c>
      <c r="D1311" s="19">
        <v>46083</v>
      </c>
      <c r="E1311" t="s">
        <v>949</v>
      </c>
      <c r="F1311" t="s">
        <v>27</v>
      </c>
      <c r="G1311" t="e">
        <f>VLOOKUP($A1311,'CA-US List'!$A:$C,3,0)</f>
        <v>#N/A</v>
      </c>
      <c r="H1311" t="s">
        <v>9</v>
      </c>
    </row>
    <row r="1312" spans="1:8" x14ac:dyDescent="0.25">
      <c r="A1312">
        <v>68860129</v>
      </c>
      <c r="B1312">
        <v>2904</v>
      </c>
      <c r="C1312">
        <v>12384</v>
      </c>
      <c r="D1312" s="19">
        <v>46084</v>
      </c>
      <c r="E1312" t="s">
        <v>949</v>
      </c>
      <c r="F1312" t="s">
        <v>27</v>
      </c>
      <c r="G1312" t="e">
        <f>VLOOKUP($A1312,'CA-US List'!$A:$C,3,0)</f>
        <v>#N/A</v>
      </c>
      <c r="H1312" t="s">
        <v>9</v>
      </c>
    </row>
    <row r="1313" spans="1:8" x14ac:dyDescent="0.25">
      <c r="A1313">
        <v>68860129</v>
      </c>
      <c r="B1313">
        <v>2904</v>
      </c>
      <c r="C1313">
        <v>6552</v>
      </c>
      <c r="D1313" s="19">
        <v>46084</v>
      </c>
      <c r="E1313" t="s">
        <v>949</v>
      </c>
      <c r="F1313" t="s">
        <v>27</v>
      </c>
      <c r="G1313" t="e">
        <f>VLOOKUP($A1313,'CA-US List'!$A:$C,3,0)</f>
        <v>#N/A</v>
      </c>
      <c r="H1313" t="s">
        <v>9</v>
      </c>
    </row>
    <row r="1314" spans="1:8" x14ac:dyDescent="0.25">
      <c r="A1314">
        <v>68860136</v>
      </c>
      <c r="B1314">
        <v>2904</v>
      </c>
      <c r="C1314">
        <v>15371</v>
      </c>
      <c r="D1314" s="19">
        <v>46077</v>
      </c>
      <c r="E1314" t="s">
        <v>951</v>
      </c>
      <c r="F1314" t="s">
        <v>27</v>
      </c>
      <c r="G1314" t="e">
        <f>VLOOKUP($A1314,'CA-US List'!$A:$C,3,0)</f>
        <v>#N/A</v>
      </c>
      <c r="H1314" t="s">
        <v>9</v>
      </c>
    </row>
    <row r="1315" spans="1:8" x14ac:dyDescent="0.25">
      <c r="A1315">
        <v>68860136</v>
      </c>
      <c r="B1315">
        <v>2904</v>
      </c>
      <c r="C1315">
        <v>12384</v>
      </c>
      <c r="D1315" s="19">
        <v>46078</v>
      </c>
      <c r="E1315" t="s">
        <v>951</v>
      </c>
      <c r="F1315" t="s">
        <v>27</v>
      </c>
      <c r="G1315" t="e">
        <f>VLOOKUP($A1315,'CA-US List'!$A:$C,3,0)</f>
        <v>#N/A</v>
      </c>
      <c r="H1315" t="s">
        <v>9</v>
      </c>
    </row>
    <row r="1316" spans="1:8" x14ac:dyDescent="0.25">
      <c r="A1316">
        <v>68860136</v>
      </c>
      <c r="B1316">
        <v>2904</v>
      </c>
      <c r="C1316">
        <v>12408</v>
      </c>
      <c r="D1316" s="19">
        <v>46078</v>
      </c>
      <c r="E1316" t="s">
        <v>951</v>
      </c>
      <c r="F1316" t="s">
        <v>27</v>
      </c>
      <c r="G1316" t="e">
        <f>VLOOKUP($A1316,'CA-US List'!$A:$C,3,0)</f>
        <v>#N/A</v>
      </c>
      <c r="H1316" t="s">
        <v>9</v>
      </c>
    </row>
    <row r="1317" spans="1:8" x14ac:dyDescent="0.25">
      <c r="A1317">
        <v>68860136</v>
      </c>
      <c r="B1317">
        <v>2904</v>
      </c>
      <c r="C1317">
        <v>2263</v>
      </c>
      <c r="D1317" s="19">
        <v>46079</v>
      </c>
      <c r="E1317" t="s">
        <v>951</v>
      </c>
      <c r="F1317" t="s">
        <v>27</v>
      </c>
      <c r="G1317" t="e">
        <f>VLOOKUP($A1317,'CA-US List'!$A:$C,3,0)</f>
        <v>#N/A</v>
      </c>
      <c r="H1317" t="s">
        <v>9</v>
      </c>
    </row>
    <row r="1318" spans="1:8" x14ac:dyDescent="0.25">
      <c r="A1318">
        <v>68860136</v>
      </c>
      <c r="B1318">
        <v>2904</v>
      </c>
      <c r="C1318">
        <v>6254</v>
      </c>
      <c r="D1318" s="19">
        <v>46077</v>
      </c>
      <c r="E1318" t="s">
        <v>951</v>
      </c>
      <c r="F1318" t="s">
        <v>27</v>
      </c>
      <c r="G1318" t="e">
        <f>VLOOKUP($A1318,'CA-US List'!$A:$C,3,0)</f>
        <v>#N/A</v>
      </c>
      <c r="H1318" t="s">
        <v>9</v>
      </c>
    </row>
    <row r="1319" spans="1:8" x14ac:dyDescent="0.25">
      <c r="A1319">
        <v>68860659</v>
      </c>
      <c r="B1319">
        <v>2904</v>
      </c>
      <c r="C1319">
        <v>6035</v>
      </c>
      <c r="D1319" s="19">
        <v>46094</v>
      </c>
      <c r="E1319" t="s">
        <v>158</v>
      </c>
      <c r="F1319" t="s">
        <v>27</v>
      </c>
      <c r="G1319" t="e">
        <f>VLOOKUP($A1319,'CA-US List'!$A:$C,3,0)</f>
        <v>#N/A</v>
      </c>
      <c r="H1319" t="s">
        <v>9</v>
      </c>
    </row>
    <row r="1320" spans="1:8" x14ac:dyDescent="0.25">
      <c r="A1320">
        <v>68860659</v>
      </c>
      <c r="B1320">
        <v>2904</v>
      </c>
      <c r="C1320">
        <v>17741</v>
      </c>
      <c r="D1320" s="19">
        <v>46094</v>
      </c>
      <c r="E1320" t="s">
        <v>158</v>
      </c>
      <c r="F1320" t="s">
        <v>27</v>
      </c>
      <c r="G1320" t="e">
        <f>VLOOKUP($A1320,'CA-US List'!$A:$C,3,0)</f>
        <v>#N/A</v>
      </c>
      <c r="H1320" t="s">
        <v>9</v>
      </c>
    </row>
    <row r="1321" spans="1:8" x14ac:dyDescent="0.25">
      <c r="A1321">
        <v>68860659</v>
      </c>
      <c r="B1321">
        <v>2904</v>
      </c>
      <c r="C1321">
        <v>15300</v>
      </c>
      <c r="D1321" s="19">
        <v>46095</v>
      </c>
      <c r="E1321" t="s">
        <v>158</v>
      </c>
      <c r="F1321" t="s">
        <v>27</v>
      </c>
      <c r="G1321" t="e">
        <f>VLOOKUP($A1321,'CA-US List'!$A:$C,3,0)</f>
        <v>#N/A</v>
      </c>
      <c r="H1321" t="s">
        <v>9</v>
      </c>
    </row>
    <row r="1322" spans="1:8" x14ac:dyDescent="0.25">
      <c r="A1322">
        <v>68860659</v>
      </c>
      <c r="B1322">
        <v>2904</v>
      </c>
      <c r="C1322">
        <v>510</v>
      </c>
      <c r="D1322" s="19">
        <v>46097</v>
      </c>
      <c r="E1322" t="s">
        <v>158</v>
      </c>
      <c r="F1322" t="s">
        <v>27</v>
      </c>
      <c r="G1322" t="e">
        <f>VLOOKUP($A1322,'CA-US List'!$A:$C,3,0)</f>
        <v>#N/A</v>
      </c>
      <c r="H1322" t="s">
        <v>9</v>
      </c>
    </row>
    <row r="1323" spans="1:8" x14ac:dyDescent="0.25">
      <c r="A1323">
        <v>68860659</v>
      </c>
      <c r="B1323">
        <v>2904</v>
      </c>
      <c r="C1323">
        <v>39015</v>
      </c>
      <c r="D1323" s="19">
        <v>46097</v>
      </c>
      <c r="E1323" t="s">
        <v>158</v>
      </c>
      <c r="F1323" t="s">
        <v>27</v>
      </c>
      <c r="G1323" t="e">
        <f>VLOOKUP($A1323,'CA-US List'!$A:$C,3,0)</f>
        <v>#N/A</v>
      </c>
      <c r="H1323" t="s">
        <v>9</v>
      </c>
    </row>
    <row r="1324" spans="1:8" x14ac:dyDescent="0.25">
      <c r="A1324">
        <v>68860659</v>
      </c>
      <c r="B1324">
        <v>2904</v>
      </c>
      <c r="C1324">
        <v>26265</v>
      </c>
      <c r="D1324" s="19">
        <v>46097</v>
      </c>
      <c r="E1324" t="s">
        <v>158</v>
      </c>
      <c r="F1324" t="s">
        <v>27</v>
      </c>
      <c r="G1324" t="e">
        <f>VLOOKUP($A1324,'CA-US List'!$A:$C,3,0)</f>
        <v>#N/A</v>
      </c>
      <c r="H1324" t="s">
        <v>9</v>
      </c>
    </row>
    <row r="1325" spans="1:8" x14ac:dyDescent="0.25">
      <c r="A1325">
        <v>68860659</v>
      </c>
      <c r="B1325">
        <v>2904</v>
      </c>
      <c r="C1325">
        <v>3608</v>
      </c>
      <c r="D1325" s="19">
        <v>46100</v>
      </c>
      <c r="E1325" t="s">
        <v>158</v>
      </c>
      <c r="F1325" t="s">
        <v>27</v>
      </c>
      <c r="G1325" t="e">
        <f>VLOOKUP($A1325,'CA-US List'!$A:$C,3,0)</f>
        <v>#N/A</v>
      </c>
      <c r="H1325" t="s">
        <v>9</v>
      </c>
    </row>
    <row r="1326" spans="1:8" x14ac:dyDescent="0.25">
      <c r="A1326">
        <v>68860659</v>
      </c>
      <c r="B1326">
        <v>2904</v>
      </c>
      <c r="C1326">
        <v>17265</v>
      </c>
      <c r="D1326" s="19">
        <v>46098</v>
      </c>
      <c r="E1326" t="s">
        <v>158</v>
      </c>
      <c r="F1326" t="s">
        <v>27</v>
      </c>
      <c r="G1326" t="e">
        <f>VLOOKUP($A1326,'CA-US List'!$A:$C,3,0)</f>
        <v>#N/A</v>
      </c>
      <c r="H1326" t="s">
        <v>9</v>
      </c>
    </row>
    <row r="1327" spans="1:8" x14ac:dyDescent="0.25">
      <c r="A1327">
        <v>68860659</v>
      </c>
      <c r="B1327">
        <v>2904</v>
      </c>
      <c r="C1327">
        <v>10704</v>
      </c>
      <c r="D1327" s="19">
        <v>46097</v>
      </c>
      <c r="E1327" t="s">
        <v>158</v>
      </c>
      <c r="F1327" t="s">
        <v>27</v>
      </c>
      <c r="G1327" t="e">
        <f>VLOOKUP($A1327,'CA-US List'!$A:$C,3,0)</f>
        <v>#N/A</v>
      </c>
      <c r="H1327" t="s">
        <v>9</v>
      </c>
    </row>
    <row r="1328" spans="1:8" x14ac:dyDescent="0.25">
      <c r="A1328">
        <v>68860659</v>
      </c>
      <c r="B1328">
        <v>2904</v>
      </c>
      <c r="C1328">
        <v>-10704</v>
      </c>
      <c r="D1328" s="19">
        <v>46101</v>
      </c>
      <c r="E1328" t="s">
        <v>158</v>
      </c>
      <c r="F1328" t="s">
        <v>27</v>
      </c>
      <c r="G1328" t="e">
        <f>VLOOKUP($A1328,'CA-US List'!$A:$C,3,0)</f>
        <v>#N/A</v>
      </c>
      <c r="H1328" t="s">
        <v>9</v>
      </c>
    </row>
    <row r="1329" spans="1:8" x14ac:dyDescent="0.25">
      <c r="A1329">
        <v>68860662</v>
      </c>
      <c r="B1329">
        <v>2904</v>
      </c>
      <c r="C1329">
        <v>18071</v>
      </c>
      <c r="D1329" s="19">
        <v>46076</v>
      </c>
      <c r="E1329" t="s">
        <v>153</v>
      </c>
      <c r="F1329" t="s">
        <v>27</v>
      </c>
      <c r="G1329" t="e">
        <f>VLOOKUP($A1329,'CA-US List'!$A:$C,3,0)</f>
        <v>#N/A</v>
      </c>
      <c r="H1329" t="s">
        <v>9</v>
      </c>
    </row>
    <row r="1330" spans="1:8" x14ac:dyDescent="0.25">
      <c r="A1330">
        <v>68860662</v>
      </c>
      <c r="B1330">
        <v>2904</v>
      </c>
      <c r="C1330">
        <v>16143</v>
      </c>
      <c r="D1330" s="19">
        <v>46076</v>
      </c>
      <c r="E1330" t="s">
        <v>153</v>
      </c>
      <c r="F1330" t="s">
        <v>27</v>
      </c>
      <c r="G1330" t="e">
        <f>VLOOKUP($A1330,'CA-US List'!$A:$C,3,0)</f>
        <v>#N/A</v>
      </c>
      <c r="H1330" t="s">
        <v>9</v>
      </c>
    </row>
    <row r="1331" spans="1:8" x14ac:dyDescent="0.25">
      <c r="A1331">
        <v>68860662</v>
      </c>
      <c r="B1331">
        <v>2904</v>
      </c>
      <c r="C1331">
        <v>1089</v>
      </c>
      <c r="D1331" s="19">
        <v>46077</v>
      </c>
      <c r="E1331" t="s">
        <v>153</v>
      </c>
      <c r="F1331" t="s">
        <v>27</v>
      </c>
      <c r="G1331" t="e">
        <f>VLOOKUP($A1331,'CA-US List'!$A:$C,3,0)</f>
        <v>#N/A</v>
      </c>
      <c r="H1331" t="s">
        <v>9</v>
      </c>
    </row>
    <row r="1332" spans="1:8" x14ac:dyDescent="0.25">
      <c r="A1332">
        <v>68860662</v>
      </c>
      <c r="B1332">
        <v>2904</v>
      </c>
      <c r="C1332">
        <v>3654</v>
      </c>
      <c r="D1332" s="19">
        <v>46088</v>
      </c>
      <c r="E1332" t="s">
        <v>153</v>
      </c>
      <c r="F1332" t="s">
        <v>27</v>
      </c>
      <c r="G1332" t="e">
        <f>VLOOKUP($A1332,'CA-US List'!$A:$C,3,0)</f>
        <v>#N/A</v>
      </c>
      <c r="H1332" t="s">
        <v>9</v>
      </c>
    </row>
    <row r="1333" spans="1:8" x14ac:dyDescent="0.25">
      <c r="A1333">
        <v>68860662</v>
      </c>
      <c r="B1333">
        <v>2904</v>
      </c>
      <c r="C1333">
        <v>11533</v>
      </c>
      <c r="D1333" s="19">
        <v>46089</v>
      </c>
      <c r="E1333" t="s">
        <v>153</v>
      </c>
      <c r="F1333" t="s">
        <v>27</v>
      </c>
      <c r="G1333" t="e">
        <f>VLOOKUP($A1333,'CA-US List'!$A:$C,3,0)</f>
        <v>#N/A</v>
      </c>
      <c r="H1333" t="s">
        <v>9</v>
      </c>
    </row>
    <row r="1334" spans="1:8" x14ac:dyDescent="0.25">
      <c r="A1334">
        <v>68860663</v>
      </c>
      <c r="B1334">
        <v>2904</v>
      </c>
      <c r="C1334">
        <v>4972</v>
      </c>
      <c r="D1334" s="19">
        <v>46085</v>
      </c>
      <c r="E1334" t="s">
        <v>715</v>
      </c>
      <c r="F1334" t="s">
        <v>29</v>
      </c>
      <c r="G1334" t="e">
        <f>VLOOKUP($A1334,'CA-US List'!$A:$C,3,0)</f>
        <v>#N/A</v>
      </c>
      <c r="H1334" t="s">
        <v>9</v>
      </c>
    </row>
    <row r="1335" spans="1:8" x14ac:dyDescent="0.25">
      <c r="A1335">
        <v>68860663</v>
      </c>
      <c r="B1335">
        <v>2904</v>
      </c>
      <c r="C1335">
        <v>4200</v>
      </c>
      <c r="D1335" s="19">
        <v>46086</v>
      </c>
      <c r="E1335" t="s">
        <v>715</v>
      </c>
      <c r="F1335" t="s">
        <v>29</v>
      </c>
      <c r="G1335" t="e">
        <f>VLOOKUP($A1335,'CA-US List'!$A:$C,3,0)</f>
        <v>#N/A</v>
      </c>
      <c r="H1335" t="s">
        <v>9</v>
      </c>
    </row>
    <row r="1336" spans="1:8" x14ac:dyDescent="0.25">
      <c r="A1336">
        <v>68860663</v>
      </c>
      <c r="B1336">
        <v>2904</v>
      </c>
      <c r="C1336">
        <v>2347</v>
      </c>
      <c r="D1336" s="19">
        <v>46086</v>
      </c>
      <c r="E1336" t="s">
        <v>715</v>
      </c>
      <c r="F1336" t="s">
        <v>29</v>
      </c>
      <c r="G1336" t="e">
        <f>VLOOKUP($A1336,'CA-US List'!$A:$C,3,0)</f>
        <v>#N/A</v>
      </c>
      <c r="H1336" t="s">
        <v>9</v>
      </c>
    </row>
    <row r="1337" spans="1:8" x14ac:dyDescent="0.25">
      <c r="A1337">
        <v>68860663</v>
      </c>
      <c r="B1337">
        <v>2904</v>
      </c>
      <c r="C1337">
        <v>9435</v>
      </c>
      <c r="D1337" s="19">
        <v>46087</v>
      </c>
      <c r="E1337" t="s">
        <v>715</v>
      </c>
      <c r="F1337" t="s">
        <v>29</v>
      </c>
      <c r="G1337" t="e">
        <f>VLOOKUP($A1337,'CA-US List'!$A:$C,3,0)</f>
        <v>#N/A</v>
      </c>
      <c r="H1337" t="s">
        <v>9</v>
      </c>
    </row>
    <row r="1338" spans="1:8" x14ac:dyDescent="0.25">
      <c r="A1338">
        <v>68860663</v>
      </c>
      <c r="B1338">
        <v>2904</v>
      </c>
      <c r="C1338">
        <v>8925</v>
      </c>
      <c r="D1338" s="19">
        <v>46087</v>
      </c>
      <c r="E1338" t="s">
        <v>715</v>
      </c>
      <c r="F1338" t="s">
        <v>29</v>
      </c>
      <c r="G1338" t="e">
        <f>VLOOKUP($A1338,'CA-US List'!$A:$C,3,0)</f>
        <v>#N/A</v>
      </c>
      <c r="H1338" t="s">
        <v>9</v>
      </c>
    </row>
    <row r="1339" spans="1:8" x14ac:dyDescent="0.25">
      <c r="A1339">
        <v>68860663</v>
      </c>
      <c r="B1339">
        <v>2904</v>
      </c>
      <c r="C1339">
        <v>9135</v>
      </c>
      <c r="D1339" s="19">
        <v>46088</v>
      </c>
      <c r="E1339" t="s">
        <v>715</v>
      </c>
      <c r="F1339" t="s">
        <v>29</v>
      </c>
      <c r="G1339" t="e">
        <f>VLOOKUP($A1339,'CA-US List'!$A:$C,3,0)</f>
        <v>#N/A</v>
      </c>
      <c r="H1339" t="s">
        <v>9</v>
      </c>
    </row>
    <row r="1340" spans="1:8" x14ac:dyDescent="0.25">
      <c r="A1340">
        <v>68860663</v>
      </c>
      <c r="B1340">
        <v>2904</v>
      </c>
      <c r="C1340">
        <v>255</v>
      </c>
      <c r="D1340" s="19">
        <v>46090</v>
      </c>
      <c r="E1340" t="s">
        <v>715</v>
      </c>
      <c r="F1340" t="s">
        <v>29</v>
      </c>
      <c r="G1340" t="e">
        <f>VLOOKUP($A1340,'CA-US List'!$A:$C,3,0)</f>
        <v>#N/A</v>
      </c>
      <c r="H1340" t="s">
        <v>9</v>
      </c>
    </row>
    <row r="1341" spans="1:8" x14ac:dyDescent="0.25">
      <c r="A1341">
        <v>68860663</v>
      </c>
      <c r="B1341">
        <v>2904</v>
      </c>
      <c r="C1341">
        <v>9120</v>
      </c>
      <c r="D1341" s="19">
        <v>46088</v>
      </c>
      <c r="E1341" t="s">
        <v>715</v>
      </c>
      <c r="F1341" t="s">
        <v>29</v>
      </c>
      <c r="G1341" t="e">
        <f>VLOOKUP($A1341,'CA-US List'!$A:$C,3,0)</f>
        <v>#N/A</v>
      </c>
      <c r="H1341" t="s">
        <v>9</v>
      </c>
    </row>
    <row r="1342" spans="1:8" x14ac:dyDescent="0.25">
      <c r="A1342">
        <v>68860663</v>
      </c>
      <c r="B1342">
        <v>2904</v>
      </c>
      <c r="C1342">
        <v>1275</v>
      </c>
      <c r="D1342" s="19">
        <v>46089</v>
      </c>
      <c r="E1342" t="s">
        <v>715</v>
      </c>
      <c r="F1342" t="s">
        <v>29</v>
      </c>
      <c r="G1342" t="e">
        <f>VLOOKUP($A1342,'CA-US List'!$A:$C,3,0)</f>
        <v>#N/A</v>
      </c>
      <c r="H1342" t="s">
        <v>9</v>
      </c>
    </row>
    <row r="1343" spans="1:8" x14ac:dyDescent="0.25">
      <c r="A1343">
        <v>68860673</v>
      </c>
      <c r="B1343">
        <v>2904</v>
      </c>
      <c r="C1343">
        <v>14756</v>
      </c>
      <c r="D1343" s="19">
        <v>46102</v>
      </c>
      <c r="E1343" t="s">
        <v>953</v>
      </c>
      <c r="F1343" t="s">
        <v>27</v>
      </c>
      <c r="G1343" t="e">
        <f>VLOOKUP($A1343,'CA-US List'!$A:$C,3,0)</f>
        <v>#N/A</v>
      </c>
      <c r="H1343" t="s">
        <v>9</v>
      </c>
    </row>
    <row r="1344" spans="1:8" x14ac:dyDescent="0.25">
      <c r="A1344">
        <v>68860673</v>
      </c>
      <c r="B1344">
        <v>2904</v>
      </c>
      <c r="C1344">
        <v>14729</v>
      </c>
      <c r="D1344" s="19">
        <v>46103</v>
      </c>
      <c r="E1344" t="s">
        <v>953</v>
      </c>
      <c r="F1344" t="s">
        <v>27</v>
      </c>
      <c r="G1344" t="e">
        <f>VLOOKUP($A1344,'CA-US List'!$A:$C,3,0)</f>
        <v>#N/A</v>
      </c>
      <c r="H1344" t="s">
        <v>9</v>
      </c>
    </row>
    <row r="1345" spans="1:8" x14ac:dyDescent="0.25">
      <c r="A1345">
        <v>68860673</v>
      </c>
      <c r="B1345">
        <v>2904</v>
      </c>
      <c r="C1345">
        <v>13038</v>
      </c>
      <c r="D1345" s="19">
        <v>46103</v>
      </c>
      <c r="E1345" t="s">
        <v>953</v>
      </c>
      <c r="F1345" t="s">
        <v>27</v>
      </c>
      <c r="G1345" t="e">
        <f>VLOOKUP($A1345,'CA-US List'!$A:$C,3,0)</f>
        <v>#N/A</v>
      </c>
      <c r="H1345" t="s">
        <v>9</v>
      </c>
    </row>
    <row r="1346" spans="1:8" x14ac:dyDescent="0.25">
      <c r="A1346">
        <v>68860673</v>
      </c>
      <c r="B1346">
        <v>2904</v>
      </c>
      <c r="C1346">
        <v>175</v>
      </c>
      <c r="D1346" s="19">
        <v>46104</v>
      </c>
      <c r="E1346" t="s">
        <v>953</v>
      </c>
      <c r="F1346" t="s">
        <v>27</v>
      </c>
      <c r="G1346" t="e">
        <f>VLOOKUP($A1346,'CA-US List'!$A:$C,3,0)</f>
        <v>#N/A</v>
      </c>
      <c r="H1346" t="s">
        <v>9</v>
      </c>
    </row>
    <row r="1347" spans="1:8" x14ac:dyDescent="0.25">
      <c r="A1347">
        <v>68860673</v>
      </c>
      <c r="B1347">
        <v>2904</v>
      </c>
      <c r="C1347">
        <v>1905</v>
      </c>
      <c r="D1347" s="19">
        <v>46102</v>
      </c>
      <c r="E1347" t="s">
        <v>953</v>
      </c>
      <c r="F1347" t="s">
        <v>27</v>
      </c>
      <c r="G1347" t="e">
        <f>VLOOKUP($A1347,'CA-US List'!$A:$C,3,0)</f>
        <v>#N/A</v>
      </c>
      <c r="H1347" t="s">
        <v>9</v>
      </c>
    </row>
    <row r="1348" spans="1:8" x14ac:dyDescent="0.25">
      <c r="A1348">
        <v>68862496</v>
      </c>
      <c r="B1348">
        <v>2904</v>
      </c>
      <c r="C1348">
        <v>14276</v>
      </c>
      <c r="D1348" s="19">
        <v>46105</v>
      </c>
      <c r="E1348" t="s">
        <v>127</v>
      </c>
      <c r="F1348" t="s">
        <v>27</v>
      </c>
      <c r="G1348" t="e">
        <f>VLOOKUP($A1348,'CA-US List'!$A:$C,3,0)</f>
        <v>#N/A</v>
      </c>
      <c r="H1348" t="s">
        <v>9</v>
      </c>
    </row>
    <row r="1349" spans="1:8" x14ac:dyDescent="0.25">
      <c r="A1349">
        <v>68862496</v>
      </c>
      <c r="B1349">
        <v>2904</v>
      </c>
      <c r="C1349">
        <v>6100</v>
      </c>
      <c r="D1349" s="19">
        <v>46103</v>
      </c>
      <c r="E1349" t="s">
        <v>127</v>
      </c>
      <c r="F1349" t="s">
        <v>29</v>
      </c>
      <c r="G1349" t="e">
        <f>VLOOKUP($A1349,'CA-US List'!$A:$C,3,0)</f>
        <v>#N/A</v>
      </c>
      <c r="H1349" t="s">
        <v>9</v>
      </c>
    </row>
    <row r="1350" spans="1:8" x14ac:dyDescent="0.25">
      <c r="A1350">
        <v>68862496</v>
      </c>
      <c r="B1350">
        <v>2904</v>
      </c>
      <c r="C1350">
        <v>2663</v>
      </c>
      <c r="D1350" s="19">
        <v>46104</v>
      </c>
      <c r="E1350" t="s">
        <v>127</v>
      </c>
      <c r="F1350" t="s">
        <v>29</v>
      </c>
      <c r="G1350" t="e">
        <f>VLOOKUP($A1350,'CA-US List'!$A:$C,3,0)</f>
        <v>#N/A</v>
      </c>
      <c r="H1350" t="s">
        <v>9</v>
      </c>
    </row>
    <row r="1351" spans="1:8" x14ac:dyDescent="0.25">
      <c r="A1351">
        <v>68862496</v>
      </c>
      <c r="B1351">
        <v>2904</v>
      </c>
      <c r="C1351">
        <v>1404</v>
      </c>
      <c r="D1351" s="19">
        <v>46103</v>
      </c>
      <c r="E1351" t="s">
        <v>127</v>
      </c>
      <c r="F1351" t="s">
        <v>29</v>
      </c>
      <c r="G1351" t="e">
        <f>VLOOKUP($A1351,'CA-US List'!$A:$C,3,0)</f>
        <v>#N/A</v>
      </c>
      <c r="H1351" t="s">
        <v>9</v>
      </c>
    </row>
    <row r="1352" spans="1:8" x14ac:dyDescent="0.25">
      <c r="A1352">
        <v>68862496</v>
      </c>
      <c r="B1352">
        <v>2904</v>
      </c>
      <c r="C1352">
        <v>10194</v>
      </c>
      <c r="D1352" s="19">
        <v>46105</v>
      </c>
      <c r="E1352" t="s">
        <v>127</v>
      </c>
      <c r="F1352" t="s">
        <v>27</v>
      </c>
      <c r="G1352" t="e">
        <f>VLOOKUP($A1352,'CA-US List'!$A:$C,3,0)</f>
        <v>#N/A</v>
      </c>
      <c r="H1352" t="s">
        <v>9</v>
      </c>
    </row>
    <row r="1353" spans="1:8" x14ac:dyDescent="0.25">
      <c r="A1353">
        <v>68862496</v>
      </c>
      <c r="B1353">
        <v>2904</v>
      </c>
      <c r="C1353">
        <v>1439</v>
      </c>
      <c r="D1353" s="19">
        <v>46104</v>
      </c>
      <c r="E1353" t="s">
        <v>127</v>
      </c>
      <c r="F1353" t="s">
        <v>29</v>
      </c>
      <c r="G1353" t="e">
        <f>VLOOKUP($A1353,'CA-US List'!$A:$C,3,0)</f>
        <v>#N/A</v>
      </c>
      <c r="H1353" t="s">
        <v>9</v>
      </c>
    </row>
    <row r="1354" spans="1:8" x14ac:dyDescent="0.25">
      <c r="A1354">
        <v>68867744</v>
      </c>
      <c r="B1354">
        <v>2904</v>
      </c>
      <c r="C1354">
        <v>6630</v>
      </c>
      <c r="D1354" s="19">
        <v>46082</v>
      </c>
      <c r="E1354" t="s">
        <v>80</v>
      </c>
      <c r="F1354" t="s">
        <v>29</v>
      </c>
      <c r="G1354" t="e">
        <f>VLOOKUP($A1354,'CA-US List'!$A:$C,3,0)</f>
        <v>#N/A</v>
      </c>
      <c r="H1354" t="s">
        <v>9</v>
      </c>
    </row>
    <row r="1355" spans="1:8" x14ac:dyDescent="0.25">
      <c r="A1355">
        <v>68867744</v>
      </c>
      <c r="B1355">
        <v>2904</v>
      </c>
      <c r="C1355">
        <v>5763</v>
      </c>
      <c r="D1355" s="19">
        <v>46083</v>
      </c>
      <c r="E1355" t="s">
        <v>80</v>
      </c>
      <c r="F1355" t="s">
        <v>29</v>
      </c>
      <c r="G1355" t="e">
        <f>VLOOKUP($A1355,'CA-US List'!$A:$C,3,0)</f>
        <v>#N/A</v>
      </c>
      <c r="H1355" t="s">
        <v>9</v>
      </c>
    </row>
    <row r="1356" spans="1:8" x14ac:dyDescent="0.25">
      <c r="A1356">
        <v>68867744</v>
      </c>
      <c r="B1356">
        <v>2904</v>
      </c>
      <c r="C1356">
        <v>6754</v>
      </c>
      <c r="D1356" s="19">
        <v>46083</v>
      </c>
      <c r="E1356" t="s">
        <v>80</v>
      </c>
      <c r="F1356" t="s">
        <v>29</v>
      </c>
      <c r="G1356" t="e">
        <f>VLOOKUP($A1356,'CA-US List'!$A:$C,3,0)</f>
        <v>#N/A</v>
      </c>
      <c r="H1356" t="s">
        <v>9</v>
      </c>
    </row>
    <row r="1357" spans="1:8" x14ac:dyDescent="0.25">
      <c r="A1357">
        <v>68867744</v>
      </c>
      <c r="B1357">
        <v>2904</v>
      </c>
      <c r="C1357">
        <v>7905</v>
      </c>
      <c r="D1357" s="19">
        <v>46084</v>
      </c>
      <c r="E1357" t="s">
        <v>80</v>
      </c>
      <c r="F1357" t="s">
        <v>29</v>
      </c>
      <c r="G1357" t="e">
        <f>VLOOKUP($A1357,'CA-US List'!$A:$C,3,0)</f>
        <v>#N/A</v>
      </c>
      <c r="H1357" t="s">
        <v>9</v>
      </c>
    </row>
    <row r="1358" spans="1:8" x14ac:dyDescent="0.25">
      <c r="A1358">
        <v>68867744</v>
      </c>
      <c r="B1358">
        <v>2904</v>
      </c>
      <c r="C1358">
        <v>14651</v>
      </c>
      <c r="D1358" s="19">
        <v>46097</v>
      </c>
      <c r="E1358" t="s">
        <v>80</v>
      </c>
      <c r="F1358" t="s">
        <v>29</v>
      </c>
      <c r="G1358" t="e">
        <f>VLOOKUP($A1358,'CA-US List'!$A:$C,3,0)</f>
        <v>#N/A</v>
      </c>
      <c r="H1358" t="s">
        <v>9</v>
      </c>
    </row>
    <row r="1359" spans="1:8" x14ac:dyDescent="0.25">
      <c r="A1359">
        <v>68867744</v>
      </c>
      <c r="B1359">
        <v>2904</v>
      </c>
      <c r="C1359">
        <v>10137</v>
      </c>
      <c r="D1359" s="19">
        <v>46098</v>
      </c>
      <c r="E1359" t="s">
        <v>80</v>
      </c>
      <c r="F1359" t="s">
        <v>29</v>
      </c>
      <c r="G1359" t="e">
        <f>VLOOKUP($A1359,'CA-US List'!$A:$C,3,0)</f>
        <v>#N/A</v>
      </c>
      <c r="H1359" t="s">
        <v>9</v>
      </c>
    </row>
    <row r="1360" spans="1:8" x14ac:dyDescent="0.25">
      <c r="A1360">
        <v>68867744</v>
      </c>
      <c r="B1360">
        <v>2904</v>
      </c>
      <c r="C1360">
        <v>-10137</v>
      </c>
      <c r="D1360" s="19">
        <v>46100</v>
      </c>
      <c r="E1360" t="s">
        <v>80</v>
      </c>
      <c r="F1360" t="s">
        <v>29</v>
      </c>
      <c r="G1360" t="e">
        <f>VLOOKUP($A1360,'CA-US List'!$A:$C,3,0)</f>
        <v>#N/A</v>
      </c>
      <c r="H1360" t="s">
        <v>9</v>
      </c>
    </row>
    <row r="1361" spans="1:8" x14ac:dyDescent="0.25">
      <c r="A1361">
        <v>68867744</v>
      </c>
      <c r="B1361">
        <v>2904</v>
      </c>
      <c r="C1361">
        <v>232</v>
      </c>
      <c r="D1361" s="19">
        <v>46097</v>
      </c>
      <c r="E1361" t="s">
        <v>80</v>
      </c>
      <c r="F1361" t="s">
        <v>29</v>
      </c>
      <c r="G1361" t="e">
        <f>VLOOKUP($A1361,'CA-US List'!$A:$C,3,0)</f>
        <v>#N/A</v>
      </c>
      <c r="H1361" t="s">
        <v>9</v>
      </c>
    </row>
    <row r="1362" spans="1:8" x14ac:dyDescent="0.25">
      <c r="A1362">
        <v>68867744</v>
      </c>
      <c r="B1362">
        <v>2904</v>
      </c>
      <c r="C1362">
        <v>6120</v>
      </c>
      <c r="D1362" s="19">
        <v>46081</v>
      </c>
      <c r="E1362" t="s">
        <v>80</v>
      </c>
      <c r="F1362" t="s">
        <v>29</v>
      </c>
      <c r="G1362" t="e">
        <f>VLOOKUP($A1362,'CA-US List'!$A:$C,3,0)</f>
        <v>#N/A</v>
      </c>
      <c r="H1362" t="s">
        <v>9</v>
      </c>
    </row>
    <row r="1363" spans="1:8" x14ac:dyDescent="0.25">
      <c r="A1363">
        <v>68867744</v>
      </c>
      <c r="B1363">
        <v>2904</v>
      </c>
      <c r="C1363">
        <v>4589</v>
      </c>
      <c r="D1363" s="19">
        <v>46082</v>
      </c>
      <c r="E1363" t="s">
        <v>80</v>
      </c>
      <c r="F1363" t="s">
        <v>29</v>
      </c>
      <c r="G1363" t="e">
        <f>VLOOKUP($A1363,'CA-US List'!$A:$C,3,0)</f>
        <v>#N/A</v>
      </c>
      <c r="H1363" t="s">
        <v>9</v>
      </c>
    </row>
    <row r="1364" spans="1:8" x14ac:dyDescent="0.25">
      <c r="A1364">
        <v>68867744</v>
      </c>
      <c r="B1364">
        <v>2904</v>
      </c>
      <c r="C1364">
        <v>1013</v>
      </c>
      <c r="D1364" s="19">
        <v>46084</v>
      </c>
      <c r="E1364" t="s">
        <v>80</v>
      </c>
      <c r="F1364" t="s">
        <v>29</v>
      </c>
      <c r="G1364" t="e">
        <f>VLOOKUP($A1364,'CA-US List'!$A:$C,3,0)</f>
        <v>#N/A</v>
      </c>
      <c r="H1364" t="s">
        <v>9</v>
      </c>
    </row>
    <row r="1365" spans="1:8" x14ac:dyDescent="0.25">
      <c r="A1365">
        <v>68867744</v>
      </c>
      <c r="B1365">
        <v>2904</v>
      </c>
      <c r="C1365">
        <v>3735</v>
      </c>
      <c r="D1365" s="19">
        <v>46095</v>
      </c>
      <c r="E1365" t="s">
        <v>80</v>
      </c>
      <c r="F1365" t="s">
        <v>29</v>
      </c>
      <c r="G1365" t="e">
        <f>VLOOKUP($A1365,'CA-US List'!$A:$C,3,0)</f>
        <v>#N/A</v>
      </c>
      <c r="H1365" t="s">
        <v>9</v>
      </c>
    </row>
    <row r="1366" spans="1:8" x14ac:dyDescent="0.25">
      <c r="A1366">
        <v>68867744</v>
      </c>
      <c r="B1366">
        <v>2904</v>
      </c>
      <c r="C1366">
        <v>150</v>
      </c>
      <c r="D1366" s="19">
        <v>46097</v>
      </c>
      <c r="E1366" t="s">
        <v>80</v>
      </c>
      <c r="F1366" t="s">
        <v>29</v>
      </c>
      <c r="G1366" t="e">
        <f>VLOOKUP($A1366,'CA-US List'!$A:$C,3,0)</f>
        <v>#N/A</v>
      </c>
      <c r="H1366" t="s">
        <v>9</v>
      </c>
    </row>
    <row r="1367" spans="1:8" x14ac:dyDescent="0.25">
      <c r="A1367">
        <v>68867744</v>
      </c>
      <c r="B1367">
        <v>2904</v>
      </c>
      <c r="C1367">
        <v>10137</v>
      </c>
      <c r="D1367" s="19">
        <v>46097</v>
      </c>
      <c r="E1367" t="s">
        <v>80</v>
      </c>
      <c r="F1367" t="s">
        <v>29</v>
      </c>
      <c r="G1367" t="e">
        <f>VLOOKUP($A1367,'CA-US List'!$A:$C,3,0)</f>
        <v>#N/A</v>
      </c>
      <c r="H1367" t="s">
        <v>9</v>
      </c>
    </row>
    <row r="1368" spans="1:8" x14ac:dyDescent="0.25">
      <c r="A1368">
        <v>68867744</v>
      </c>
      <c r="B1368">
        <v>2904</v>
      </c>
      <c r="C1368">
        <v>-10137</v>
      </c>
      <c r="D1368" s="19">
        <v>46098</v>
      </c>
      <c r="E1368" t="s">
        <v>80</v>
      </c>
      <c r="F1368" t="s">
        <v>29</v>
      </c>
      <c r="G1368" t="e">
        <f>VLOOKUP($A1368,'CA-US List'!$A:$C,3,0)</f>
        <v>#N/A</v>
      </c>
      <c r="H1368" t="s">
        <v>9</v>
      </c>
    </row>
    <row r="1369" spans="1:8" x14ac:dyDescent="0.25">
      <c r="A1369">
        <v>68867744</v>
      </c>
      <c r="B1369">
        <v>2904</v>
      </c>
      <c r="C1369">
        <v>10137</v>
      </c>
      <c r="D1369" s="19">
        <v>46100</v>
      </c>
      <c r="E1369" t="s">
        <v>80</v>
      </c>
      <c r="F1369" t="s">
        <v>29</v>
      </c>
      <c r="G1369" t="e">
        <f>VLOOKUP($A1369,'CA-US List'!$A:$C,3,0)</f>
        <v>#N/A</v>
      </c>
      <c r="H1369" t="s">
        <v>9</v>
      </c>
    </row>
    <row r="1370" spans="1:8" x14ac:dyDescent="0.25">
      <c r="A1370">
        <v>68867744</v>
      </c>
      <c r="B1370">
        <v>2904</v>
      </c>
      <c r="C1370">
        <v>-255</v>
      </c>
      <c r="D1370" s="19">
        <v>46101</v>
      </c>
      <c r="E1370" t="s">
        <v>80</v>
      </c>
      <c r="F1370" t="s">
        <v>29</v>
      </c>
      <c r="G1370" t="e">
        <f>VLOOKUP($A1370,'CA-US List'!$A:$C,3,0)</f>
        <v>#N/A</v>
      </c>
      <c r="H1370" t="s">
        <v>9</v>
      </c>
    </row>
    <row r="1371" spans="1:8" x14ac:dyDescent="0.25">
      <c r="A1371">
        <v>68867755</v>
      </c>
      <c r="B1371">
        <v>2904</v>
      </c>
      <c r="C1371">
        <v>2550</v>
      </c>
      <c r="D1371" s="19">
        <v>46077</v>
      </c>
      <c r="E1371" t="s">
        <v>28</v>
      </c>
      <c r="F1371" t="s">
        <v>29</v>
      </c>
      <c r="G1371" t="e">
        <f>VLOOKUP($A1371,'CA-US List'!$A:$C,3,0)</f>
        <v>#N/A</v>
      </c>
      <c r="H1371" t="s">
        <v>9</v>
      </c>
    </row>
    <row r="1372" spans="1:8" x14ac:dyDescent="0.25">
      <c r="A1372">
        <v>68867755</v>
      </c>
      <c r="B1372">
        <v>2904</v>
      </c>
      <c r="C1372">
        <v>6375</v>
      </c>
      <c r="D1372" s="19">
        <v>46078</v>
      </c>
      <c r="E1372" t="s">
        <v>28</v>
      </c>
      <c r="F1372" t="s">
        <v>29</v>
      </c>
      <c r="G1372" t="e">
        <f>VLOOKUP($A1372,'CA-US List'!$A:$C,3,0)</f>
        <v>#N/A</v>
      </c>
      <c r="H1372" t="s">
        <v>9</v>
      </c>
    </row>
    <row r="1373" spans="1:8" x14ac:dyDescent="0.25">
      <c r="A1373">
        <v>68867755</v>
      </c>
      <c r="B1373">
        <v>2904</v>
      </c>
      <c r="C1373">
        <v>6285</v>
      </c>
      <c r="D1373" s="19">
        <v>46078</v>
      </c>
      <c r="E1373" t="s">
        <v>28</v>
      </c>
      <c r="F1373" t="s">
        <v>29</v>
      </c>
      <c r="G1373" t="e">
        <f>VLOOKUP($A1373,'CA-US List'!$A:$C,3,0)</f>
        <v>#N/A</v>
      </c>
      <c r="H1373" t="s">
        <v>9</v>
      </c>
    </row>
    <row r="1374" spans="1:8" x14ac:dyDescent="0.25">
      <c r="A1374">
        <v>68867755</v>
      </c>
      <c r="B1374">
        <v>2904</v>
      </c>
      <c r="C1374">
        <v>6931</v>
      </c>
      <c r="D1374" s="19">
        <v>46079</v>
      </c>
      <c r="E1374" t="s">
        <v>28</v>
      </c>
      <c r="F1374" t="s">
        <v>29</v>
      </c>
      <c r="G1374" t="e">
        <f>VLOOKUP($A1374,'CA-US List'!$A:$C,3,0)</f>
        <v>#N/A</v>
      </c>
      <c r="H1374" t="s">
        <v>9</v>
      </c>
    </row>
    <row r="1375" spans="1:8" x14ac:dyDescent="0.25">
      <c r="A1375">
        <v>68867755</v>
      </c>
      <c r="B1375">
        <v>2904</v>
      </c>
      <c r="C1375">
        <v>5941</v>
      </c>
      <c r="D1375" s="19">
        <v>46079</v>
      </c>
      <c r="E1375" t="s">
        <v>28</v>
      </c>
      <c r="F1375" t="s">
        <v>29</v>
      </c>
      <c r="G1375" t="e">
        <f>VLOOKUP($A1375,'CA-US List'!$A:$C,3,0)</f>
        <v>#N/A</v>
      </c>
      <c r="H1375" t="s">
        <v>9</v>
      </c>
    </row>
    <row r="1376" spans="1:8" x14ac:dyDescent="0.25">
      <c r="A1376">
        <v>68867755</v>
      </c>
      <c r="B1376">
        <v>2904</v>
      </c>
      <c r="C1376">
        <v>7030</v>
      </c>
      <c r="D1376" s="19">
        <v>46080</v>
      </c>
      <c r="E1376" t="s">
        <v>28</v>
      </c>
      <c r="F1376" t="s">
        <v>29</v>
      </c>
      <c r="G1376" t="e">
        <f>VLOOKUP($A1376,'CA-US List'!$A:$C,3,0)</f>
        <v>#N/A</v>
      </c>
      <c r="H1376" t="s">
        <v>9</v>
      </c>
    </row>
    <row r="1377" spans="1:8" x14ac:dyDescent="0.25">
      <c r="A1377">
        <v>68867755</v>
      </c>
      <c r="B1377">
        <v>2904</v>
      </c>
      <c r="C1377">
        <v>8286</v>
      </c>
      <c r="D1377" s="19">
        <v>46089</v>
      </c>
      <c r="E1377" t="s">
        <v>28</v>
      </c>
      <c r="F1377" t="s">
        <v>29</v>
      </c>
      <c r="G1377" t="e">
        <f>VLOOKUP($A1377,'CA-US List'!$A:$C,3,0)</f>
        <v>#N/A</v>
      </c>
      <c r="H1377" t="s">
        <v>9</v>
      </c>
    </row>
    <row r="1378" spans="1:8" x14ac:dyDescent="0.25">
      <c r="A1378">
        <v>68867755</v>
      </c>
      <c r="B1378">
        <v>2904</v>
      </c>
      <c r="C1378">
        <v>6015</v>
      </c>
      <c r="D1378" s="19">
        <v>46090</v>
      </c>
      <c r="E1378" t="s">
        <v>28</v>
      </c>
      <c r="F1378" t="s">
        <v>29</v>
      </c>
      <c r="G1378" t="e">
        <f>VLOOKUP($A1378,'CA-US List'!$A:$C,3,0)</f>
        <v>#N/A</v>
      </c>
      <c r="H1378" t="s">
        <v>9</v>
      </c>
    </row>
    <row r="1379" spans="1:8" x14ac:dyDescent="0.25">
      <c r="A1379">
        <v>68867755</v>
      </c>
      <c r="B1379">
        <v>2904</v>
      </c>
      <c r="C1379">
        <v>7812</v>
      </c>
      <c r="D1379" s="19">
        <v>46090</v>
      </c>
      <c r="E1379" t="s">
        <v>28</v>
      </c>
      <c r="F1379" t="s">
        <v>29</v>
      </c>
      <c r="G1379" t="e">
        <f>VLOOKUP($A1379,'CA-US List'!$A:$C,3,0)</f>
        <v>#N/A</v>
      </c>
      <c r="H1379" t="s">
        <v>9</v>
      </c>
    </row>
    <row r="1380" spans="1:8" x14ac:dyDescent="0.25">
      <c r="A1380">
        <v>68867755</v>
      </c>
      <c r="B1380">
        <v>2904</v>
      </c>
      <c r="C1380">
        <v>4065</v>
      </c>
      <c r="D1380" s="19">
        <v>46091</v>
      </c>
      <c r="E1380" t="s">
        <v>28</v>
      </c>
      <c r="F1380" t="s">
        <v>29</v>
      </c>
      <c r="G1380" t="e">
        <f>VLOOKUP($A1380,'CA-US List'!$A:$C,3,0)</f>
        <v>#N/A</v>
      </c>
      <c r="H1380" t="s">
        <v>9</v>
      </c>
    </row>
    <row r="1381" spans="1:8" x14ac:dyDescent="0.25">
      <c r="A1381">
        <v>68867755</v>
      </c>
      <c r="B1381">
        <v>2904</v>
      </c>
      <c r="C1381">
        <v>1533</v>
      </c>
      <c r="D1381" s="19">
        <v>46091</v>
      </c>
      <c r="E1381" t="s">
        <v>28</v>
      </c>
      <c r="F1381" t="s">
        <v>29</v>
      </c>
      <c r="G1381" t="e">
        <f>VLOOKUP($A1381,'CA-US List'!$A:$C,3,0)</f>
        <v>#N/A</v>
      </c>
      <c r="H1381" t="s">
        <v>9</v>
      </c>
    </row>
    <row r="1382" spans="1:8" x14ac:dyDescent="0.25">
      <c r="A1382">
        <v>68867755</v>
      </c>
      <c r="B1382">
        <v>2904</v>
      </c>
      <c r="C1382">
        <v>7519</v>
      </c>
      <c r="D1382" s="19">
        <v>46098</v>
      </c>
      <c r="E1382" t="s">
        <v>28</v>
      </c>
      <c r="F1382" t="s">
        <v>29</v>
      </c>
      <c r="G1382" t="e">
        <f>VLOOKUP($A1382,'CA-US List'!$A:$C,3,0)</f>
        <v>#N/A</v>
      </c>
      <c r="H1382" t="s">
        <v>9</v>
      </c>
    </row>
    <row r="1383" spans="1:8" x14ac:dyDescent="0.25">
      <c r="A1383">
        <v>68867755</v>
      </c>
      <c r="B1383">
        <v>2904</v>
      </c>
      <c r="C1383">
        <v>6975</v>
      </c>
      <c r="D1383" s="19">
        <v>46099</v>
      </c>
      <c r="E1383" t="s">
        <v>28</v>
      </c>
      <c r="F1383" t="s">
        <v>29</v>
      </c>
      <c r="G1383" t="e">
        <f>VLOOKUP($A1383,'CA-US List'!$A:$C,3,0)</f>
        <v>#N/A</v>
      </c>
      <c r="H1383" t="s">
        <v>9</v>
      </c>
    </row>
    <row r="1384" spans="1:8" x14ac:dyDescent="0.25">
      <c r="A1384">
        <v>68867755</v>
      </c>
      <c r="B1384">
        <v>2904</v>
      </c>
      <c r="C1384">
        <v>8325</v>
      </c>
      <c r="D1384" s="19">
        <v>46099</v>
      </c>
      <c r="E1384" t="s">
        <v>28</v>
      </c>
      <c r="F1384" t="s">
        <v>29</v>
      </c>
      <c r="G1384" t="e">
        <f>VLOOKUP($A1384,'CA-US List'!$A:$C,3,0)</f>
        <v>#N/A</v>
      </c>
      <c r="H1384" t="s">
        <v>9</v>
      </c>
    </row>
    <row r="1385" spans="1:8" x14ac:dyDescent="0.25">
      <c r="A1385">
        <v>68867755</v>
      </c>
      <c r="B1385">
        <v>2904</v>
      </c>
      <c r="C1385">
        <v>3948</v>
      </c>
      <c r="D1385" s="19">
        <v>46100</v>
      </c>
      <c r="E1385" t="s">
        <v>28</v>
      </c>
      <c r="F1385" t="s">
        <v>29</v>
      </c>
      <c r="G1385" t="e">
        <f>VLOOKUP($A1385,'CA-US List'!$A:$C,3,0)</f>
        <v>#N/A</v>
      </c>
      <c r="H1385" t="s">
        <v>9</v>
      </c>
    </row>
    <row r="1386" spans="1:8" x14ac:dyDescent="0.25">
      <c r="A1386">
        <v>68867755</v>
      </c>
      <c r="B1386">
        <v>2904</v>
      </c>
      <c r="C1386">
        <v>8531</v>
      </c>
      <c r="D1386" s="19">
        <v>46080</v>
      </c>
      <c r="E1386" t="s">
        <v>28</v>
      </c>
      <c r="F1386" t="s">
        <v>29</v>
      </c>
      <c r="G1386" t="e">
        <f>VLOOKUP($A1386,'CA-US List'!$A:$C,3,0)</f>
        <v>#N/A</v>
      </c>
      <c r="H1386" t="s">
        <v>9</v>
      </c>
    </row>
    <row r="1387" spans="1:8" x14ac:dyDescent="0.25">
      <c r="A1387">
        <v>68867755</v>
      </c>
      <c r="B1387">
        <v>2904</v>
      </c>
      <c r="C1387">
        <v>3980</v>
      </c>
      <c r="D1387" s="19">
        <v>46081</v>
      </c>
      <c r="E1387" t="s">
        <v>28</v>
      </c>
      <c r="F1387" t="s">
        <v>29</v>
      </c>
      <c r="G1387" t="e">
        <f>VLOOKUP($A1387,'CA-US List'!$A:$C,3,0)</f>
        <v>#N/A</v>
      </c>
      <c r="H1387" t="s">
        <v>9</v>
      </c>
    </row>
    <row r="1388" spans="1:8" x14ac:dyDescent="0.25">
      <c r="A1388">
        <v>68867755</v>
      </c>
      <c r="B1388">
        <v>2904</v>
      </c>
      <c r="C1388">
        <v>2670</v>
      </c>
      <c r="D1388" s="19">
        <v>46089</v>
      </c>
      <c r="E1388" t="s">
        <v>28</v>
      </c>
      <c r="F1388" t="s">
        <v>29</v>
      </c>
      <c r="G1388" t="e">
        <f>VLOOKUP($A1388,'CA-US List'!$A:$C,3,0)</f>
        <v>#N/A</v>
      </c>
      <c r="H1388" t="s">
        <v>9</v>
      </c>
    </row>
    <row r="1389" spans="1:8" x14ac:dyDescent="0.25">
      <c r="A1389">
        <v>68867755</v>
      </c>
      <c r="B1389">
        <v>2904</v>
      </c>
      <c r="C1389">
        <v>1005</v>
      </c>
      <c r="D1389" s="19">
        <v>46097</v>
      </c>
      <c r="E1389" t="s">
        <v>28</v>
      </c>
      <c r="F1389" t="s">
        <v>29</v>
      </c>
      <c r="G1389" t="e">
        <f>VLOOKUP($A1389,'CA-US List'!$A:$C,3,0)</f>
        <v>#N/A</v>
      </c>
      <c r="H1389" t="s">
        <v>9</v>
      </c>
    </row>
    <row r="1390" spans="1:8" x14ac:dyDescent="0.25">
      <c r="A1390">
        <v>68867755</v>
      </c>
      <c r="B1390">
        <v>2904</v>
      </c>
      <c r="C1390">
        <v>6120</v>
      </c>
      <c r="D1390" s="19">
        <v>46098</v>
      </c>
      <c r="E1390" t="s">
        <v>28</v>
      </c>
      <c r="F1390" t="s">
        <v>29</v>
      </c>
      <c r="G1390" t="e">
        <f>VLOOKUP($A1390,'CA-US List'!$A:$C,3,0)</f>
        <v>#N/A</v>
      </c>
      <c r="H1390" t="s">
        <v>9</v>
      </c>
    </row>
    <row r="1391" spans="1:8" x14ac:dyDescent="0.25">
      <c r="A1391">
        <v>68867756</v>
      </c>
      <c r="B1391">
        <v>2904</v>
      </c>
      <c r="C1391">
        <v>14932</v>
      </c>
      <c r="D1391" s="19">
        <v>46079</v>
      </c>
      <c r="E1391" t="s">
        <v>956</v>
      </c>
      <c r="F1391" t="s">
        <v>27</v>
      </c>
      <c r="G1391" t="e">
        <f>VLOOKUP($A1391,'CA-US List'!$A:$C,3,0)</f>
        <v>#N/A</v>
      </c>
      <c r="H1391" t="s">
        <v>9</v>
      </c>
    </row>
    <row r="1392" spans="1:8" x14ac:dyDescent="0.25">
      <c r="A1392">
        <v>68867756</v>
      </c>
      <c r="B1392">
        <v>2904</v>
      </c>
      <c r="C1392">
        <v>15228</v>
      </c>
      <c r="D1392" s="19">
        <v>46080</v>
      </c>
      <c r="E1392" t="s">
        <v>956</v>
      </c>
      <c r="F1392" t="s">
        <v>27</v>
      </c>
      <c r="G1392" t="e">
        <f>VLOOKUP($A1392,'CA-US List'!$A:$C,3,0)</f>
        <v>#N/A</v>
      </c>
      <c r="H1392" t="s">
        <v>9</v>
      </c>
    </row>
    <row r="1393" spans="1:8" x14ac:dyDescent="0.25">
      <c r="A1393">
        <v>68867756</v>
      </c>
      <c r="B1393">
        <v>2904</v>
      </c>
      <c r="C1393">
        <v>15555</v>
      </c>
      <c r="D1393" s="19">
        <v>46080</v>
      </c>
      <c r="E1393" t="s">
        <v>956</v>
      </c>
      <c r="F1393" t="s">
        <v>27</v>
      </c>
      <c r="G1393" t="e">
        <f>VLOOKUP($A1393,'CA-US List'!$A:$C,3,0)</f>
        <v>#N/A</v>
      </c>
      <c r="H1393" t="s">
        <v>9</v>
      </c>
    </row>
    <row r="1394" spans="1:8" x14ac:dyDescent="0.25">
      <c r="A1394">
        <v>68867756</v>
      </c>
      <c r="B1394">
        <v>2904</v>
      </c>
      <c r="C1394">
        <v>10215</v>
      </c>
      <c r="D1394" s="19">
        <v>46081</v>
      </c>
      <c r="E1394" t="s">
        <v>956</v>
      </c>
      <c r="F1394" t="s">
        <v>27</v>
      </c>
      <c r="G1394" t="e">
        <f>VLOOKUP($A1394,'CA-US List'!$A:$C,3,0)</f>
        <v>#N/A</v>
      </c>
      <c r="H1394" t="s">
        <v>9</v>
      </c>
    </row>
    <row r="1395" spans="1:8" x14ac:dyDescent="0.25">
      <c r="A1395">
        <v>68867756</v>
      </c>
      <c r="B1395">
        <v>2904</v>
      </c>
      <c r="C1395">
        <v>17775</v>
      </c>
      <c r="D1395" s="19">
        <v>46081</v>
      </c>
      <c r="E1395" t="s">
        <v>956</v>
      </c>
      <c r="F1395" t="s">
        <v>27</v>
      </c>
      <c r="G1395" t="e">
        <f>VLOOKUP($A1395,'CA-US List'!$A:$C,3,0)</f>
        <v>#N/A</v>
      </c>
      <c r="H1395" t="s">
        <v>9</v>
      </c>
    </row>
    <row r="1396" spans="1:8" x14ac:dyDescent="0.25">
      <c r="A1396">
        <v>68867756</v>
      </c>
      <c r="B1396">
        <v>2904</v>
      </c>
      <c r="C1396">
        <v>8052</v>
      </c>
      <c r="D1396" s="19">
        <v>46082</v>
      </c>
      <c r="E1396" t="s">
        <v>956</v>
      </c>
      <c r="F1396" t="s">
        <v>27</v>
      </c>
      <c r="G1396" t="e">
        <f>VLOOKUP($A1396,'CA-US List'!$A:$C,3,0)</f>
        <v>#N/A</v>
      </c>
      <c r="H1396" t="s">
        <v>9</v>
      </c>
    </row>
    <row r="1397" spans="1:8" x14ac:dyDescent="0.25">
      <c r="A1397">
        <v>68867756</v>
      </c>
      <c r="B1397">
        <v>2904</v>
      </c>
      <c r="C1397">
        <v>13842</v>
      </c>
      <c r="D1397" s="19">
        <v>46082</v>
      </c>
      <c r="E1397" t="s">
        <v>956</v>
      </c>
      <c r="F1397" t="s">
        <v>27</v>
      </c>
      <c r="G1397" t="e">
        <f>VLOOKUP($A1397,'CA-US List'!$A:$C,3,0)</f>
        <v>#N/A</v>
      </c>
      <c r="H1397" t="s">
        <v>9</v>
      </c>
    </row>
    <row r="1398" spans="1:8" x14ac:dyDescent="0.25">
      <c r="A1398">
        <v>68867756</v>
      </c>
      <c r="B1398">
        <v>2904</v>
      </c>
      <c r="C1398">
        <v>9216</v>
      </c>
      <c r="D1398" s="19">
        <v>46083</v>
      </c>
      <c r="E1398" t="s">
        <v>956</v>
      </c>
      <c r="F1398" t="s">
        <v>27</v>
      </c>
      <c r="G1398" t="e">
        <f>VLOOKUP($A1398,'CA-US List'!$A:$C,3,0)</f>
        <v>#N/A</v>
      </c>
      <c r="H1398" t="s">
        <v>9</v>
      </c>
    </row>
    <row r="1399" spans="1:8" x14ac:dyDescent="0.25">
      <c r="A1399">
        <v>68867756</v>
      </c>
      <c r="B1399">
        <v>2904</v>
      </c>
      <c r="C1399">
        <v>1418</v>
      </c>
      <c r="D1399" s="19">
        <v>46079</v>
      </c>
      <c r="E1399" t="s">
        <v>956</v>
      </c>
      <c r="F1399" t="s">
        <v>27</v>
      </c>
      <c r="G1399" t="e">
        <f>VLOOKUP($A1399,'CA-US List'!$A:$C,3,0)</f>
        <v>#N/A</v>
      </c>
      <c r="H1399" t="s">
        <v>9</v>
      </c>
    </row>
    <row r="1400" spans="1:8" x14ac:dyDescent="0.25">
      <c r="A1400">
        <v>68896054</v>
      </c>
      <c r="B1400">
        <v>2904</v>
      </c>
      <c r="C1400">
        <v>3571</v>
      </c>
      <c r="D1400" s="19">
        <v>46082</v>
      </c>
      <c r="E1400" t="s">
        <v>24</v>
      </c>
      <c r="F1400" t="s">
        <v>17</v>
      </c>
      <c r="G1400" t="e">
        <f>VLOOKUP($A1400,'CA-US List'!$A:$C,3,0)</f>
        <v>#N/A</v>
      </c>
      <c r="H1400" t="s">
        <v>9</v>
      </c>
    </row>
    <row r="1401" spans="1:8" x14ac:dyDescent="0.25">
      <c r="A1401">
        <v>68896054</v>
      </c>
      <c r="B1401">
        <v>2904</v>
      </c>
      <c r="C1401">
        <v>176</v>
      </c>
      <c r="D1401" s="19">
        <v>46083</v>
      </c>
      <c r="E1401" t="s">
        <v>24</v>
      </c>
      <c r="F1401" t="s">
        <v>17</v>
      </c>
      <c r="G1401" t="e">
        <f>VLOOKUP($A1401,'CA-US List'!$A:$C,3,0)</f>
        <v>#N/A</v>
      </c>
      <c r="H1401" t="s">
        <v>9</v>
      </c>
    </row>
    <row r="1402" spans="1:8" x14ac:dyDescent="0.25">
      <c r="A1402">
        <v>68896054</v>
      </c>
      <c r="B1402">
        <v>2904</v>
      </c>
      <c r="C1402">
        <v>4928</v>
      </c>
      <c r="D1402" s="19">
        <v>46082</v>
      </c>
      <c r="E1402" t="s">
        <v>24</v>
      </c>
      <c r="F1402" t="s">
        <v>17</v>
      </c>
      <c r="G1402" t="e">
        <f>VLOOKUP($A1402,'CA-US List'!$A:$C,3,0)</f>
        <v>#N/A</v>
      </c>
      <c r="H1402" t="s">
        <v>9</v>
      </c>
    </row>
    <row r="1403" spans="1:8" x14ac:dyDescent="0.25">
      <c r="A1403">
        <v>68896054</v>
      </c>
      <c r="B1403">
        <v>2904</v>
      </c>
      <c r="C1403">
        <v>4442</v>
      </c>
      <c r="D1403" s="19">
        <v>46083</v>
      </c>
      <c r="E1403" t="s">
        <v>24</v>
      </c>
      <c r="F1403" t="s">
        <v>17</v>
      </c>
      <c r="G1403" t="e">
        <f>VLOOKUP($A1403,'CA-US List'!$A:$C,3,0)</f>
        <v>#N/A</v>
      </c>
      <c r="H1403" t="s">
        <v>9</v>
      </c>
    </row>
    <row r="1404" spans="1:8" x14ac:dyDescent="0.25">
      <c r="A1404">
        <v>68896054</v>
      </c>
      <c r="B1404">
        <v>2904</v>
      </c>
      <c r="C1404">
        <v>603</v>
      </c>
      <c r="D1404" s="19">
        <v>46083</v>
      </c>
      <c r="E1404" t="s">
        <v>24</v>
      </c>
      <c r="F1404" t="s">
        <v>17</v>
      </c>
      <c r="G1404" t="e">
        <f>VLOOKUP($A1404,'CA-US List'!$A:$C,3,0)</f>
        <v>#N/A</v>
      </c>
      <c r="H1404" t="s">
        <v>9</v>
      </c>
    </row>
    <row r="1405" spans="1:8" x14ac:dyDescent="0.25">
      <c r="A1405">
        <v>68896054</v>
      </c>
      <c r="B1405">
        <v>2904</v>
      </c>
      <c r="C1405">
        <v>3872</v>
      </c>
      <c r="D1405" s="19">
        <v>46084</v>
      </c>
      <c r="E1405" t="s">
        <v>24</v>
      </c>
      <c r="F1405" t="s">
        <v>17</v>
      </c>
      <c r="G1405" t="e">
        <f>VLOOKUP($A1405,'CA-US List'!$A:$C,3,0)</f>
        <v>#N/A</v>
      </c>
      <c r="H1405" t="s">
        <v>9</v>
      </c>
    </row>
    <row r="1406" spans="1:8" x14ac:dyDescent="0.25">
      <c r="A1406">
        <v>68896054</v>
      </c>
      <c r="B1406">
        <v>2904</v>
      </c>
      <c r="C1406">
        <v>6144</v>
      </c>
      <c r="D1406" s="19">
        <v>46084</v>
      </c>
      <c r="E1406" t="s">
        <v>24</v>
      </c>
      <c r="F1406" t="s">
        <v>17</v>
      </c>
      <c r="G1406" t="e">
        <f>VLOOKUP($A1406,'CA-US List'!$A:$C,3,0)</f>
        <v>#N/A</v>
      </c>
      <c r="H1406" t="s">
        <v>9</v>
      </c>
    </row>
    <row r="1407" spans="1:8" x14ac:dyDescent="0.25">
      <c r="A1407">
        <v>68896054</v>
      </c>
      <c r="B1407">
        <v>2904</v>
      </c>
      <c r="C1407">
        <v>3615</v>
      </c>
      <c r="D1407" s="19">
        <v>46085</v>
      </c>
      <c r="E1407" t="s">
        <v>24</v>
      </c>
      <c r="F1407" t="s">
        <v>17</v>
      </c>
      <c r="G1407" t="e">
        <f>VLOOKUP($A1407,'CA-US List'!$A:$C,3,0)</f>
        <v>#N/A</v>
      </c>
      <c r="H1407" t="s">
        <v>9</v>
      </c>
    </row>
    <row r="1408" spans="1:8" x14ac:dyDescent="0.25">
      <c r="A1408">
        <v>68922108</v>
      </c>
      <c r="B1408">
        <v>2904</v>
      </c>
      <c r="C1408">
        <v>11730</v>
      </c>
      <c r="D1408" s="19">
        <v>46098</v>
      </c>
      <c r="E1408" t="s">
        <v>26</v>
      </c>
      <c r="F1408" t="s">
        <v>27</v>
      </c>
      <c r="G1408" t="e">
        <f>VLOOKUP($A1408,'CA-US List'!$A:$C,3,0)</f>
        <v>#N/A</v>
      </c>
      <c r="H1408" t="s">
        <v>9</v>
      </c>
    </row>
    <row r="1409" spans="1:8" x14ac:dyDescent="0.25">
      <c r="A1409">
        <v>68922108</v>
      </c>
      <c r="B1409">
        <v>2904</v>
      </c>
      <c r="C1409">
        <v>15669</v>
      </c>
      <c r="D1409" s="19">
        <v>46099</v>
      </c>
      <c r="E1409" t="s">
        <v>26</v>
      </c>
      <c r="F1409" t="s">
        <v>27</v>
      </c>
      <c r="G1409" t="e">
        <f>VLOOKUP($A1409,'CA-US List'!$A:$C,3,0)</f>
        <v>#N/A</v>
      </c>
      <c r="H1409" t="s">
        <v>9</v>
      </c>
    </row>
    <row r="1410" spans="1:8" x14ac:dyDescent="0.25">
      <c r="A1410">
        <v>68922108</v>
      </c>
      <c r="B1410">
        <v>2904</v>
      </c>
      <c r="C1410">
        <v>16550</v>
      </c>
      <c r="D1410" s="19">
        <v>46099</v>
      </c>
      <c r="E1410" t="s">
        <v>26</v>
      </c>
      <c r="F1410" t="s">
        <v>27</v>
      </c>
      <c r="G1410" t="e">
        <f>VLOOKUP($A1410,'CA-US List'!$A:$C,3,0)</f>
        <v>#N/A</v>
      </c>
      <c r="H1410" t="s">
        <v>9</v>
      </c>
    </row>
    <row r="1411" spans="1:8" x14ac:dyDescent="0.25">
      <c r="A1411">
        <v>68922108</v>
      </c>
      <c r="B1411">
        <v>2904</v>
      </c>
      <c r="C1411">
        <v>16815</v>
      </c>
      <c r="D1411" s="19">
        <v>46100</v>
      </c>
      <c r="E1411" t="s">
        <v>26</v>
      </c>
      <c r="F1411" t="s">
        <v>27</v>
      </c>
      <c r="G1411" t="e">
        <f>VLOOKUP($A1411,'CA-US List'!$A:$C,3,0)</f>
        <v>#N/A</v>
      </c>
      <c r="H1411" t="s">
        <v>9</v>
      </c>
    </row>
    <row r="1412" spans="1:8" x14ac:dyDescent="0.25">
      <c r="A1412">
        <v>68922108</v>
      </c>
      <c r="B1412">
        <v>2904</v>
      </c>
      <c r="C1412">
        <v>16608</v>
      </c>
      <c r="D1412" s="19">
        <v>46100</v>
      </c>
      <c r="E1412" t="s">
        <v>26</v>
      </c>
      <c r="F1412" t="s">
        <v>27</v>
      </c>
      <c r="G1412" t="e">
        <f>VLOOKUP($A1412,'CA-US List'!$A:$C,3,0)</f>
        <v>#N/A</v>
      </c>
      <c r="H1412" t="s">
        <v>9</v>
      </c>
    </row>
    <row r="1413" spans="1:8" x14ac:dyDescent="0.25">
      <c r="A1413">
        <v>68922108</v>
      </c>
      <c r="B1413">
        <v>2904</v>
      </c>
      <c r="C1413">
        <v>14685</v>
      </c>
      <c r="D1413" s="19">
        <v>46101</v>
      </c>
      <c r="E1413" t="s">
        <v>26</v>
      </c>
      <c r="F1413" t="s">
        <v>27</v>
      </c>
      <c r="G1413" t="e">
        <f>VLOOKUP($A1413,'CA-US List'!$A:$C,3,0)</f>
        <v>#N/A</v>
      </c>
      <c r="H1413" t="s">
        <v>9</v>
      </c>
    </row>
    <row r="1414" spans="1:8" x14ac:dyDescent="0.25">
      <c r="A1414">
        <v>68922108</v>
      </c>
      <c r="B1414">
        <v>2904</v>
      </c>
      <c r="C1414">
        <v>254</v>
      </c>
      <c r="D1414" s="19">
        <v>46102</v>
      </c>
      <c r="E1414" t="s">
        <v>26</v>
      </c>
      <c r="F1414" t="s">
        <v>27</v>
      </c>
      <c r="G1414" t="e">
        <f>VLOOKUP($A1414,'CA-US List'!$A:$C,3,0)</f>
        <v>#N/A</v>
      </c>
      <c r="H1414" t="s">
        <v>9</v>
      </c>
    </row>
    <row r="1415" spans="1:8" x14ac:dyDescent="0.25">
      <c r="A1415">
        <v>68922108</v>
      </c>
      <c r="B1415">
        <v>2904</v>
      </c>
      <c r="C1415">
        <v>16410</v>
      </c>
      <c r="D1415" s="19">
        <v>46101</v>
      </c>
      <c r="E1415" t="s">
        <v>26</v>
      </c>
      <c r="F1415" t="s">
        <v>27</v>
      </c>
      <c r="G1415" t="e">
        <f>VLOOKUP($A1415,'CA-US List'!$A:$C,3,0)</f>
        <v>#N/A</v>
      </c>
      <c r="H1415" t="s">
        <v>9</v>
      </c>
    </row>
    <row r="1416" spans="1:8" x14ac:dyDescent="0.25">
      <c r="A1416">
        <v>68922108</v>
      </c>
      <c r="B1416">
        <v>2904</v>
      </c>
      <c r="C1416">
        <v>287</v>
      </c>
      <c r="D1416" s="19">
        <v>46102</v>
      </c>
      <c r="E1416" t="s">
        <v>26</v>
      </c>
      <c r="F1416" t="s">
        <v>27</v>
      </c>
      <c r="G1416" t="e">
        <f>VLOOKUP($A1416,'CA-US List'!$A:$C,3,0)</f>
        <v>#N/A</v>
      </c>
      <c r="H1416" t="s">
        <v>9</v>
      </c>
    </row>
    <row r="1417" spans="1:8" x14ac:dyDescent="0.25">
      <c r="A1417">
        <v>68938272</v>
      </c>
      <c r="B1417">
        <v>2904</v>
      </c>
      <c r="C1417">
        <v>6244</v>
      </c>
      <c r="D1417" s="19">
        <v>46087</v>
      </c>
      <c r="E1417" t="s">
        <v>965</v>
      </c>
      <c r="F1417" t="s">
        <v>46</v>
      </c>
      <c r="G1417" t="e">
        <f>VLOOKUP($A1417,'CA-US List'!$A:$C,3,0)</f>
        <v>#N/A</v>
      </c>
      <c r="H1417" t="s">
        <v>9</v>
      </c>
    </row>
    <row r="1418" spans="1:8" x14ac:dyDescent="0.25">
      <c r="A1418">
        <v>68938272</v>
      </c>
      <c r="B1418">
        <v>2904</v>
      </c>
      <c r="C1418">
        <v>3720</v>
      </c>
      <c r="D1418" s="19">
        <v>46088</v>
      </c>
      <c r="E1418" t="s">
        <v>965</v>
      </c>
      <c r="F1418" t="s">
        <v>46</v>
      </c>
      <c r="G1418" t="e">
        <f>VLOOKUP($A1418,'CA-US List'!$A:$C,3,0)</f>
        <v>#N/A</v>
      </c>
      <c r="H1418" t="s">
        <v>9</v>
      </c>
    </row>
    <row r="1419" spans="1:8" x14ac:dyDescent="0.25">
      <c r="A1419">
        <v>68938272</v>
      </c>
      <c r="B1419">
        <v>2904</v>
      </c>
      <c r="C1419">
        <v>912</v>
      </c>
      <c r="D1419" s="19">
        <v>46086</v>
      </c>
      <c r="E1419" t="s">
        <v>965</v>
      </c>
      <c r="F1419" t="s">
        <v>46</v>
      </c>
      <c r="G1419" t="e">
        <f>VLOOKUP($A1419,'CA-US List'!$A:$C,3,0)</f>
        <v>#N/A</v>
      </c>
      <c r="H1419" t="s">
        <v>9</v>
      </c>
    </row>
    <row r="1420" spans="1:8" x14ac:dyDescent="0.25">
      <c r="A1420">
        <v>68938272</v>
      </c>
      <c r="B1420">
        <v>2904</v>
      </c>
      <c r="C1420">
        <v>6238</v>
      </c>
      <c r="D1420" s="19">
        <v>46087</v>
      </c>
      <c r="E1420" t="s">
        <v>965</v>
      </c>
      <c r="F1420" t="s">
        <v>46</v>
      </c>
      <c r="G1420" t="e">
        <f>VLOOKUP($A1420,'CA-US List'!$A:$C,3,0)</f>
        <v>#N/A</v>
      </c>
      <c r="H1420" t="s">
        <v>9</v>
      </c>
    </row>
    <row r="1421" spans="1:8" x14ac:dyDescent="0.25">
      <c r="A1421">
        <v>69554197</v>
      </c>
      <c r="B1421">
        <v>2904</v>
      </c>
      <c r="C1421">
        <v>4890</v>
      </c>
      <c r="D1421" s="19">
        <v>46104</v>
      </c>
      <c r="E1421" t="s">
        <v>65</v>
      </c>
      <c r="F1421" t="s">
        <v>46</v>
      </c>
      <c r="G1421" t="e">
        <f>VLOOKUP($A1421,'CA-US List'!$A:$C,3,0)</f>
        <v>#N/A</v>
      </c>
      <c r="H1421" t="s">
        <v>9</v>
      </c>
    </row>
    <row r="1422" spans="1:8" x14ac:dyDescent="0.25">
      <c r="A1422">
        <v>69554197</v>
      </c>
      <c r="B1422">
        <v>2904</v>
      </c>
      <c r="C1422">
        <v>1218</v>
      </c>
      <c r="D1422" s="19">
        <v>46105</v>
      </c>
      <c r="E1422" t="s">
        <v>65</v>
      </c>
      <c r="F1422" t="s">
        <v>46</v>
      </c>
      <c r="G1422" t="e">
        <f>VLOOKUP($A1422,'CA-US List'!$A:$C,3,0)</f>
        <v>#N/A</v>
      </c>
      <c r="H1422" t="s">
        <v>9</v>
      </c>
    </row>
    <row r="1423" spans="1:8" x14ac:dyDescent="0.25">
      <c r="A1423">
        <v>69554197</v>
      </c>
      <c r="B1423">
        <v>2904</v>
      </c>
      <c r="C1423">
        <v>3224</v>
      </c>
      <c r="D1423" s="19">
        <v>46105</v>
      </c>
      <c r="E1423" t="s">
        <v>65</v>
      </c>
      <c r="F1423" t="s">
        <v>46</v>
      </c>
      <c r="G1423" t="e">
        <f>VLOOKUP($A1423,'CA-US List'!$A:$C,3,0)</f>
        <v>#N/A</v>
      </c>
      <c r="H1423" t="s">
        <v>9</v>
      </c>
    </row>
    <row r="1424" spans="1:8" x14ac:dyDescent="0.25">
      <c r="A1424">
        <v>69564623</v>
      </c>
      <c r="B1424">
        <v>2904</v>
      </c>
      <c r="C1424">
        <v>4576</v>
      </c>
      <c r="D1424" s="19">
        <v>46085</v>
      </c>
      <c r="E1424" t="s">
        <v>150</v>
      </c>
      <c r="F1424" t="s">
        <v>17</v>
      </c>
      <c r="G1424" t="e">
        <f>VLOOKUP($A1424,'CA-US List'!$A:$C,3,0)</f>
        <v>#N/A</v>
      </c>
      <c r="H1424" t="s">
        <v>9</v>
      </c>
    </row>
    <row r="1425" spans="1:8" x14ac:dyDescent="0.25">
      <c r="A1425">
        <v>69564623</v>
      </c>
      <c r="B1425">
        <v>2904</v>
      </c>
      <c r="C1425">
        <v>7689</v>
      </c>
      <c r="D1425" s="19">
        <v>46086</v>
      </c>
      <c r="E1425" t="s">
        <v>150</v>
      </c>
      <c r="F1425" t="s">
        <v>17</v>
      </c>
      <c r="G1425" t="e">
        <f>VLOOKUP($A1425,'CA-US List'!$A:$C,3,0)</f>
        <v>#N/A</v>
      </c>
      <c r="H1425" t="s">
        <v>9</v>
      </c>
    </row>
    <row r="1426" spans="1:8" x14ac:dyDescent="0.25">
      <c r="A1426">
        <v>69564623</v>
      </c>
      <c r="B1426">
        <v>2904</v>
      </c>
      <c r="C1426">
        <v>6160</v>
      </c>
      <c r="D1426" s="19">
        <v>46086</v>
      </c>
      <c r="E1426" t="s">
        <v>150</v>
      </c>
      <c r="F1426" t="s">
        <v>17</v>
      </c>
      <c r="G1426" t="e">
        <f>VLOOKUP($A1426,'CA-US List'!$A:$C,3,0)</f>
        <v>#N/A</v>
      </c>
      <c r="H1426" t="s">
        <v>9</v>
      </c>
    </row>
    <row r="1427" spans="1:8" x14ac:dyDescent="0.25">
      <c r="A1427">
        <v>69564623</v>
      </c>
      <c r="B1427">
        <v>2904</v>
      </c>
      <c r="C1427">
        <v>6160</v>
      </c>
      <c r="D1427" s="19">
        <v>46087</v>
      </c>
      <c r="E1427" t="s">
        <v>150</v>
      </c>
      <c r="F1427" t="s">
        <v>17</v>
      </c>
      <c r="G1427" t="e">
        <f>VLOOKUP($A1427,'CA-US List'!$A:$C,3,0)</f>
        <v>#N/A</v>
      </c>
      <c r="H1427" t="s">
        <v>9</v>
      </c>
    </row>
    <row r="1428" spans="1:8" x14ac:dyDescent="0.25">
      <c r="A1428">
        <v>69564623</v>
      </c>
      <c r="B1428">
        <v>2904</v>
      </c>
      <c r="C1428">
        <v>7318</v>
      </c>
      <c r="D1428" s="19">
        <v>46087</v>
      </c>
      <c r="E1428" t="s">
        <v>150</v>
      </c>
      <c r="F1428" t="s">
        <v>17</v>
      </c>
      <c r="G1428" t="e">
        <f>VLOOKUP($A1428,'CA-US List'!$A:$C,3,0)</f>
        <v>#N/A</v>
      </c>
      <c r="H1428" t="s">
        <v>9</v>
      </c>
    </row>
    <row r="1429" spans="1:8" x14ac:dyDescent="0.25">
      <c r="A1429">
        <v>69564623</v>
      </c>
      <c r="B1429">
        <v>2904</v>
      </c>
      <c r="C1429">
        <v>2612</v>
      </c>
      <c r="D1429" s="19">
        <v>46088</v>
      </c>
      <c r="E1429" t="s">
        <v>150</v>
      </c>
      <c r="F1429" t="s">
        <v>17</v>
      </c>
      <c r="G1429" t="e">
        <f>VLOOKUP($A1429,'CA-US List'!$A:$C,3,0)</f>
        <v>#N/A</v>
      </c>
      <c r="H1429" t="s">
        <v>9</v>
      </c>
    </row>
    <row r="1430" spans="1:8" x14ac:dyDescent="0.25">
      <c r="A1430">
        <v>69568828</v>
      </c>
      <c r="B1430">
        <v>2904</v>
      </c>
      <c r="C1430">
        <v>704</v>
      </c>
      <c r="D1430" s="19">
        <v>46077</v>
      </c>
      <c r="E1430" t="s">
        <v>98</v>
      </c>
      <c r="F1430" t="s">
        <v>17</v>
      </c>
      <c r="G1430" t="e">
        <f>VLOOKUP($A1430,'CA-US List'!$A:$C,3,0)</f>
        <v>#N/A</v>
      </c>
      <c r="H1430" t="s">
        <v>9</v>
      </c>
    </row>
    <row r="1431" spans="1:8" x14ac:dyDescent="0.25">
      <c r="A1431">
        <v>69568828</v>
      </c>
      <c r="B1431">
        <v>2904</v>
      </c>
      <c r="C1431">
        <v>-704</v>
      </c>
      <c r="D1431" s="19">
        <v>46078</v>
      </c>
      <c r="E1431" t="s">
        <v>98</v>
      </c>
      <c r="F1431" t="s">
        <v>17</v>
      </c>
      <c r="G1431" t="e">
        <f>VLOOKUP($A1431,'CA-US List'!$A:$C,3,0)</f>
        <v>#N/A</v>
      </c>
      <c r="H1431" t="s">
        <v>9</v>
      </c>
    </row>
    <row r="1432" spans="1:8" x14ac:dyDescent="0.25">
      <c r="A1432">
        <v>69568828</v>
      </c>
      <c r="B1432">
        <v>2904</v>
      </c>
      <c r="C1432">
        <v>1232</v>
      </c>
      <c r="D1432" s="19">
        <v>46077</v>
      </c>
      <c r="E1432" t="s">
        <v>98</v>
      </c>
      <c r="F1432" t="s">
        <v>17</v>
      </c>
      <c r="G1432" t="e">
        <f>VLOOKUP($A1432,'CA-US List'!$A:$C,3,0)</f>
        <v>#N/A</v>
      </c>
      <c r="H1432" t="s">
        <v>9</v>
      </c>
    </row>
    <row r="1433" spans="1:8" x14ac:dyDescent="0.25">
      <c r="A1433">
        <v>69568828</v>
      </c>
      <c r="B1433">
        <v>2904</v>
      </c>
      <c r="C1433">
        <v>3401</v>
      </c>
      <c r="D1433" s="19">
        <v>46078</v>
      </c>
      <c r="E1433" t="s">
        <v>98</v>
      </c>
      <c r="F1433" t="s">
        <v>17</v>
      </c>
      <c r="G1433" t="e">
        <f>VLOOKUP($A1433,'CA-US List'!$A:$C,3,0)</f>
        <v>#N/A</v>
      </c>
      <c r="H1433" t="s">
        <v>9</v>
      </c>
    </row>
    <row r="1434" spans="1:8" x14ac:dyDescent="0.25">
      <c r="A1434">
        <v>69568828</v>
      </c>
      <c r="B1434">
        <v>2904</v>
      </c>
      <c r="C1434">
        <v>5609</v>
      </c>
      <c r="D1434" s="19">
        <v>46078</v>
      </c>
      <c r="E1434" t="s">
        <v>98</v>
      </c>
      <c r="F1434" t="s">
        <v>17</v>
      </c>
      <c r="G1434" t="e">
        <f>VLOOKUP($A1434,'CA-US List'!$A:$C,3,0)</f>
        <v>#N/A</v>
      </c>
      <c r="H1434" t="s">
        <v>9</v>
      </c>
    </row>
    <row r="1435" spans="1:8" x14ac:dyDescent="0.25">
      <c r="A1435">
        <v>69568828</v>
      </c>
      <c r="B1435">
        <v>2904</v>
      </c>
      <c r="C1435">
        <v>6821</v>
      </c>
      <c r="D1435" s="19">
        <v>46079</v>
      </c>
      <c r="E1435" t="s">
        <v>98</v>
      </c>
      <c r="F1435" t="s">
        <v>17</v>
      </c>
      <c r="G1435" t="e">
        <f>VLOOKUP($A1435,'CA-US List'!$A:$C,3,0)</f>
        <v>#N/A</v>
      </c>
      <c r="H1435" t="s">
        <v>9</v>
      </c>
    </row>
    <row r="1436" spans="1:8" x14ac:dyDescent="0.25">
      <c r="A1436">
        <v>69568828</v>
      </c>
      <c r="B1436">
        <v>2904</v>
      </c>
      <c r="C1436">
        <v>7127</v>
      </c>
      <c r="D1436" s="19">
        <v>46079</v>
      </c>
      <c r="E1436" t="s">
        <v>98</v>
      </c>
      <c r="F1436" t="s">
        <v>17</v>
      </c>
      <c r="G1436" t="e">
        <f>VLOOKUP($A1436,'CA-US List'!$A:$C,3,0)</f>
        <v>#N/A</v>
      </c>
      <c r="H1436" t="s">
        <v>9</v>
      </c>
    </row>
    <row r="1437" spans="1:8" x14ac:dyDescent="0.25">
      <c r="A1437">
        <v>69568828</v>
      </c>
      <c r="B1437">
        <v>2904</v>
      </c>
      <c r="C1437">
        <v>5088</v>
      </c>
      <c r="D1437" s="19">
        <v>46080</v>
      </c>
      <c r="E1437" t="s">
        <v>98</v>
      </c>
      <c r="F1437" t="s">
        <v>17</v>
      </c>
      <c r="G1437" t="e">
        <f>VLOOKUP($A1437,'CA-US List'!$A:$C,3,0)</f>
        <v>#N/A</v>
      </c>
      <c r="H1437" t="s">
        <v>9</v>
      </c>
    </row>
    <row r="1438" spans="1:8" x14ac:dyDescent="0.25">
      <c r="A1438">
        <v>69568828</v>
      </c>
      <c r="B1438">
        <v>2904</v>
      </c>
      <c r="C1438">
        <v>3630</v>
      </c>
      <c r="D1438" s="19">
        <v>46098</v>
      </c>
      <c r="E1438" t="s">
        <v>98</v>
      </c>
      <c r="F1438" t="s">
        <v>17</v>
      </c>
      <c r="G1438" t="e">
        <f>VLOOKUP($A1438,'CA-US List'!$A:$C,3,0)</f>
        <v>#N/A</v>
      </c>
      <c r="H1438" t="s">
        <v>9</v>
      </c>
    </row>
    <row r="1439" spans="1:8" x14ac:dyDescent="0.25">
      <c r="A1439">
        <v>69568828</v>
      </c>
      <c r="B1439">
        <v>2904</v>
      </c>
      <c r="C1439">
        <v>6688</v>
      </c>
      <c r="D1439" s="19">
        <v>46098</v>
      </c>
      <c r="E1439" t="s">
        <v>98</v>
      </c>
      <c r="F1439" t="s">
        <v>17</v>
      </c>
      <c r="G1439" t="e">
        <f>VLOOKUP($A1439,'CA-US List'!$A:$C,3,0)</f>
        <v>#N/A</v>
      </c>
      <c r="H1439" t="s">
        <v>9</v>
      </c>
    </row>
    <row r="1440" spans="1:8" x14ac:dyDescent="0.25">
      <c r="A1440">
        <v>69568828</v>
      </c>
      <c r="B1440">
        <v>2904</v>
      </c>
      <c r="C1440">
        <v>4677</v>
      </c>
      <c r="D1440" s="19">
        <v>46099</v>
      </c>
      <c r="E1440" t="s">
        <v>98</v>
      </c>
      <c r="F1440" t="s">
        <v>17</v>
      </c>
      <c r="G1440" t="e">
        <f>VLOOKUP($A1440,'CA-US List'!$A:$C,3,0)</f>
        <v>#N/A</v>
      </c>
      <c r="H1440" t="s">
        <v>9</v>
      </c>
    </row>
    <row r="1441" spans="1:8" x14ac:dyDescent="0.25">
      <c r="A1441">
        <v>69568828</v>
      </c>
      <c r="B1441">
        <v>2904</v>
      </c>
      <c r="C1441">
        <v>513</v>
      </c>
      <c r="D1441" s="19">
        <v>46099</v>
      </c>
      <c r="E1441" t="s">
        <v>98</v>
      </c>
      <c r="F1441" t="s">
        <v>17</v>
      </c>
      <c r="G1441" t="e">
        <f>VLOOKUP($A1441,'CA-US List'!$A:$C,3,0)</f>
        <v>#N/A</v>
      </c>
      <c r="H1441" t="s">
        <v>9</v>
      </c>
    </row>
    <row r="1442" spans="1:8" x14ac:dyDescent="0.25">
      <c r="A1442">
        <v>69568828</v>
      </c>
      <c r="B1442">
        <v>2904</v>
      </c>
      <c r="C1442">
        <v>1605</v>
      </c>
      <c r="D1442" s="19">
        <v>46100</v>
      </c>
      <c r="E1442" t="s">
        <v>98</v>
      </c>
      <c r="F1442" t="s">
        <v>17</v>
      </c>
      <c r="G1442" t="e">
        <f>VLOOKUP($A1442,'CA-US List'!$A:$C,3,0)</f>
        <v>#N/A</v>
      </c>
      <c r="H1442" t="s">
        <v>9</v>
      </c>
    </row>
    <row r="1443" spans="1:8" x14ac:dyDescent="0.25">
      <c r="A1443">
        <v>69568828</v>
      </c>
      <c r="B1443">
        <v>2904</v>
      </c>
      <c r="C1443">
        <v>7040</v>
      </c>
      <c r="D1443" s="19">
        <v>46100</v>
      </c>
      <c r="E1443" t="s">
        <v>98</v>
      </c>
      <c r="F1443" t="s">
        <v>17</v>
      </c>
      <c r="G1443" t="e">
        <f>VLOOKUP($A1443,'CA-US List'!$A:$C,3,0)</f>
        <v>#N/A</v>
      </c>
      <c r="H1443" t="s">
        <v>9</v>
      </c>
    </row>
    <row r="1444" spans="1:8" x14ac:dyDescent="0.25">
      <c r="A1444">
        <v>69568828</v>
      </c>
      <c r="B1444">
        <v>2904</v>
      </c>
      <c r="C1444">
        <v>6050</v>
      </c>
      <c r="D1444" s="19">
        <v>46101</v>
      </c>
      <c r="E1444" t="s">
        <v>98</v>
      </c>
      <c r="F1444" t="s">
        <v>17</v>
      </c>
      <c r="G1444" t="e">
        <f>VLOOKUP($A1444,'CA-US List'!$A:$C,3,0)</f>
        <v>#N/A</v>
      </c>
      <c r="H1444" t="s">
        <v>9</v>
      </c>
    </row>
    <row r="1445" spans="1:8" x14ac:dyDescent="0.25">
      <c r="A1445">
        <v>69568828</v>
      </c>
      <c r="B1445">
        <v>2904</v>
      </c>
      <c r="C1445">
        <v>5632</v>
      </c>
      <c r="D1445" s="19">
        <v>46080</v>
      </c>
      <c r="E1445" t="s">
        <v>98</v>
      </c>
      <c r="F1445" t="s">
        <v>17</v>
      </c>
      <c r="G1445" t="e">
        <f>VLOOKUP($A1445,'CA-US List'!$A:$C,3,0)</f>
        <v>#N/A</v>
      </c>
      <c r="H1445" t="s">
        <v>9</v>
      </c>
    </row>
    <row r="1446" spans="1:8" x14ac:dyDescent="0.25">
      <c r="A1446">
        <v>69568828</v>
      </c>
      <c r="B1446">
        <v>2904</v>
      </c>
      <c r="C1446">
        <v>6227</v>
      </c>
      <c r="D1446" s="19">
        <v>46081</v>
      </c>
      <c r="E1446" t="s">
        <v>98</v>
      </c>
      <c r="F1446" t="s">
        <v>17</v>
      </c>
      <c r="G1446" t="e">
        <f>VLOOKUP($A1446,'CA-US List'!$A:$C,3,0)</f>
        <v>#N/A</v>
      </c>
      <c r="H1446" t="s">
        <v>9</v>
      </c>
    </row>
    <row r="1447" spans="1:8" x14ac:dyDescent="0.25">
      <c r="A1447">
        <v>69568828</v>
      </c>
      <c r="B1447">
        <v>2904</v>
      </c>
      <c r="C1447">
        <v>-176</v>
      </c>
      <c r="D1447" s="19">
        <v>46091</v>
      </c>
      <c r="E1447" t="s">
        <v>98</v>
      </c>
      <c r="F1447" t="s">
        <v>17</v>
      </c>
      <c r="G1447" t="e">
        <f>VLOOKUP($A1447,'CA-US List'!$A:$C,3,0)</f>
        <v>#N/A</v>
      </c>
      <c r="H1447" t="s">
        <v>9</v>
      </c>
    </row>
    <row r="1448" spans="1:8" x14ac:dyDescent="0.25">
      <c r="A1448">
        <v>69568828</v>
      </c>
      <c r="B1448">
        <v>2904</v>
      </c>
      <c r="C1448">
        <v>3652</v>
      </c>
      <c r="D1448" s="19">
        <v>46081</v>
      </c>
      <c r="E1448" t="s">
        <v>98</v>
      </c>
      <c r="F1448" t="s">
        <v>17</v>
      </c>
      <c r="G1448" t="e">
        <f>VLOOKUP($A1448,'CA-US List'!$A:$C,3,0)</f>
        <v>#N/A</v>
      </c>
      <c r="H1448" t="s">
        <v>9</v>
      </c>
    </row>
    <row r="1449" spans="1:8" x14ac:dyDescent="0.25">
      <c r="A1449">
        <v>69568828</v>
      </c>
      <c r="B1449">
        <v>2904</v>
      </c>
      <c r="C1449">
        <v>26</v>
      </c>
      <c r="D1449" s="19">
        <v>46082</v>
      </c>
      <c r="E1449" t="s">
        <v>98</v>
      </c>
      <c r="F1449" t="s">
        <v>17</v>
      </c>
      <c r="G1449" t="e">
        <f>VLOOKUP($A1449,'CA-US List'!$A:$C,3,0)</f>
        <v>#N/A</v>
      </c>
      <c r="H1449" t="s">
        <v>9</v>
      </c>
    </row>
    <row r="1450" spans="1:8" x14ac:dyDescent="0.25">
      <c r="A1450">
        <v>69568828</v>
      </c>
      <c r="B1450">
        <v>2904</v>
      </c>
      <c r="C1450">
        <v>7392</v>
      </c>
      <c r="D1450" s="19">
        <v>46101</v>
      </c>
      <c r="E1450" t="s">
        <v>98</v>
      </c>
      <c r="F1450" t="s">
        <v>17</v>
      </c>
      <c r="G1450" t="e">
        <f>VLOOKUP($A1450,'CA-US List'!$A:$C,3,0)</f>
        <v>#N/A</v>
      </c>
      <c r="H1450" t="s">
        <v>9</v>
      </c>
    </row>
    <row r="1451" spans="1:8" x14ac:dyDescent="0.25">
      <c r="A1451">
        <v>69568828</v>
      </c>
      <c r="B1451">
        <v>2904</v>
      </c>
      <c r="C1451">
        <v>6688</v>
      </c>
      <c r="D1451" s="19">
        <v>46102</v>
      </c>
      <c r="E1451" t="s">
        <v>98</v>
      </c>
      <c r="F1451" t="s">
        <v>17</v>
      </c>
      <c r="G1451" t="e">
        <f>VLOOKUP($A1451,'CA-US List'!$A:$C,3,0)</f>
        <v>#N/A</v>
      </c>
      <c r="H1451" t="s">
        <v>9</v>
      </c>
    </row>
    <row r="1452" spans="1:8" x14ac:dyDescent="0.25">
      <c r="A1452">
        <v>69568828</v>
      </c>
      <c r="B1452">
        <v>2904</v>
      </c>
      <c r="C1452">
        <v>2464</v>
      </c>
      <c r="D1452" s="19">
        <v>46102</v>
      </c>
      <c r="E1452" t="s">
        <v>98</v>
      </c>
      <c r="F1452" t="s">
        <v>17</v>
      </c>
      <c r="G1452" t="e">
        <f>VLOOKUP($A1452,'CA-US List'!$A:$C,3,0)</f>
        <v>#N/A</v>
      </c>
      <c r="H1452" t="s">
        <v>9</v>
      </c>
    </row>
    <row r="1453" spans="1:8" x14ac:dyDescent="0.25">
      <c r="A1453">
        <v>69568829</v>
      </c>
      <c r="B1453">
        <v>2904</v>
      </c>
      <c r="C1453">
        <v>5632</v>
      </c>
      <c r="D1453" s="19">
        <v>46079</v>
      </c>
      <c r="E1453" t="s">
        <v>970</v>
      </c>
      <c r="F1453" t="s">
        <v>21</v>
      </c>
      <c r="G1453" t="e">
        <f>VLOOKUP($A1453,'CA-US List'!$A:$C,3,0)</f>
        <v>#N/A</v>
      </c>
      <c r="H1453" t="s">
        <v>9</v>
      </c>
    </row>
    <row r="1454" spans="1:8" x14ac:dyDescent="0.25">
      <c r="A1454">
        <v>69568829</v>
      </c>
      <c r="B1454">
        <v>2904</v>
      </c>
      <c r="C1454">
        <v>7649</v>
      </c>
      <c r="D1454" s="19">
        <v>46080</v>
      </c>
      <c r="E1454" t="s">
        <v>970</v>
      </c>
      <c r="F1454" t="s">
        <v>21</v>
      </c>
      <c r="G1454" t="e">
        <f>VLOOKUP($A1454,'CA-US List'!$A:$C,3,0)</f>
        <v>#N/A</v>
      </c>
      <c r="H1454" t="s">
        <v>9</v>
      </c>
    </row>
    <row r="1455" spans="1:8" x14ac:dyDescent="0.25">
      <c r="A1455">
        <v>69568829</v>
      </c>
      <c r="B1455">
        <v>2904</v>
      </c>
      <c r="C1455">
        <v>5984</v>
      </c>
      <c r="D1455" s="19">
        <v>46080</v>
      </c>
      <c r="E1455" t="s">
        <v>970</v>
      </c>
      <c r="F1455" t="s">
        <v>21</v>
      </c>
      <c r="G1455" t="e">
        <f>VLOOKUP($A1455,'CA-US List'!$A:$C,3,0)</f>
        <v>#N/A</v>
      </c>
      <c r="H1455" t="s">
        <v>9</v>
      </c>
    </row>
    <row r="1456" spans="1:8" x14ac:dyDescent="0.25">
      <c r="A1456">
        <v>69568829</v>
      </c>
      <c r="B1456">
        <v>2904</v>
      </c>
      <c r="C1456">
        <v>5566</v>
      </c>
      <c r="D1456" s="19">
        <v>46081</v>
      </c>
      <c r="E1456" t="s">
        <v>970</v>
      </c>
      <c r="F1456" t="s">
        <v>21</v>
      </c>
      <c r="G1456" t="e">
        <f>VLOOKUP($A1456,'CA-US List'!$A:$C,3,0)</f>
        <v>#N/A</v>
      </c>
      <c r="H1456" t="s">
        <v>9</v>
      </c>
    </row>
    <row r="1457" spans="1:8" x14ac:dyDescent="0.25">
      <c r="A1457">
        <v>69568829</v>
      </c>
      <c r="B1457">
        <v>2904</v>
      </c>
      <c r="C1457">
        <v>5760</v>
      </c>
      <c r="D1457" s="19">
        <v>46081</v>
      </c>
      <c r="E1457" t="s">
        <v>970</v>
      </c>
      <c r="F1457" t="s">
        <v>21</v>
      </c>
      <c r="G1457" t="e">
        <f>VLOOKUP($A1457,'CA-US List'!$A:$C,3,0)</f>
        <v>#N/A</v>
      </c>
      <c r="H1457" t="s">
        <v>9</v>
      </c>
    </row>
    <row r="1458" spans="1:8" x14ac:dyDescent="0.25">
      <c r="A1458">
        <v>69568829</v>
      </c>
      <c r="B1458">
        <v>2904</v>
      </c>
      <c r="C1458">
        <v>5808</v>
      </c>
      <c r="D1458" s="19">
        <v>46082</v>
      </c>
      <c r="E1458" t="s">
        <v>970</v>
      </c>
      <c r="F1458" t="s">
        <v>21</v>
      </c>
      <c r="G1458" t="e">
        <f>VLOOKUP($A1458,'CA-US List'!$A:$C,3,0)</f>
        <v>#N/A</v>
      </c>
      <c r="H1458" t="s">
        <v>9</v>
      </c>
    </row>
    <row r="1459" spans="1:8" x14ac:dyDescent="0.25">
      <c r="A1459">
        <v>69568829</v>
      </c>
      <c r="B1459">
        <v>2904</v>
      </c>
      <c r="C1459">
        <v>2145</v>
      </c>
      <c r="D1459" s="19">
        <v>46082</v>
      </c>
      <c r="E1459" t="s">
        <v>970</v>
      </c>
      <c r="F1459" t="s">
        <v>21</v>
      </c>
      <c r="G1459" t="e">
        <f>VLOOKUP($A1459,'CA-US List'!$A:$C,3,0)</f>
        <v>#N/A</v>
      </c>
      <c r="H1459" t="s">
        <v>9</v>
      </c>
    </row>
    <row r="1460" spans="1:8" x14ac:dyDescent="0.25">
      <c r="A1460">
        <v>69568829</v>
      </c>
      <c r="B1460">
        <v>2904</v>
      </c>
      <c r="C1460">
        <v>2603</v>
      </c>
      <c r="D1460" s="19">
        <v>46079</v>
      </c>
      <c r="E1460" t="s">
        <v>970</v>
      </c>
      <c r="F1460" t="s">
        <v>21</v>
      </c>
      <c r="G1460" t="e">
        <f>VLOOKUP($A1460,'CA-US List'!$A:$C,3,0)</f>
        <v>#N/A</v>
      </c>
      <c r="H1460" t="s">
        <v>9</v>
      </c>
    </row>
    <row r="1461" spans="1:8" x14ac:dyDescent="0.25">
      <c r="A1461">
        <v>69568964</v>
      </c>
      <c r="B1461">
        <v>2904</v>
      </c>
      <c r="C1461">
        <v>0</v>
      </c>
      <c r="D1461" s="19">
        <v>46078</v>
      </c>
      <c r="E1461" t="s">
        <v>738</v>
      </c>
      <c r="F1461" t="s">
        <v>17</v>
      </c>
      <c r="G1461" t="e">
        <f>VLOOKUP($A1461,'CA-US List'!$A:$C,3,0)</f>
        <v>#N/A</v>
      </c>
      <c r="H1461" t="s">
        <v>9</v>
      </c>
    </row>
    <row r="1462" spans="1:8" x14ac:dyDescent="0.25">
      <c r="A1462">
        <v>69568964</v>
      </c>
      <c r="B1462">
        <v>2904</v>
      </c>
      <c r="C1462">
        <v>2464</v>
      </c>
      <c r="D1462" s="19">
        <v>46105</v>
      </c>
      <c r="E1462" t="s">
        <v>738</v>
      </c>
      <c r="F1462" t="s">
        <v>17</v>
      </c>
      <c r="G1462" t="e">
        <f>VLOOKUP($A1462,'CA-US List'!$A:$C,3,0)</f>
        <v>#N/A</v>
      </c>
      <c r="H1462" t="s">
        <v>9</v>
      </c>
    </row>
    <row r="1463" spans="1:8" x14ac:dyDescent="0.25">
      <c r="A1463">
        <v>69568964</v>
      </c>
      <c r="B1463">
        <v>2904</v>
      </c>
      <c r="C1463">
        <v>7744</v>
      </c>
      <c r="D1463" s="19">
        <v>46105</v>
      </c>
      <c r="E1463" t="s">
        <v>738</v>
      </c>
      <c r="F1463" t="s">
        <v>17</v>
      </c>
      <c r="G1463" t="e">
        <f>VLOOKUP($A1463,'CA-US List'!$A:$C,3,0)</f>
        <v>#N/A</v>
      </c>
      <c r="H1463" t="s">
        <v>9</v>
      </c>
    </row>
    <row r="1464" spans="1:8" x14ac:dyDescent="0.25">
      <c r="A1464">
        <v>69629468</v>
      </c>
      <c r="B1464">
        <v>2904</v>
      </c>
      <c r="C1464">
        <v>39</v>
      </c>
      <c r="D1464" s="19">
        <v>46077</v>
      </c>
      <c r="E1464" t="s">
        <v>38</v>
      </c>
      <c r="F1464" t="s">
        <v>39</v>
      </c>
      <c r="G1464" t="e">
        <f>VLOOKUP($A1464,'CA-US List'!$A:$C,3,0)</f>
        <v>#N/A</v>
      </c>
      <c r="H1464" t="s">
        <v>9</v>
      </c>
    </row>
    <row r="1465" spans="1:8" x14ac:dyDescent="0.25">
      <c r="A1465">
        <v>69629468</v>
      </c>
      <c r="B1465">
        <v>2904</v>
      </c>
      <c r="C1465">
        <v>1820</v>
      </c>
      <c r="D1465" s="19">
        <v>46076</v>
      </c>
      <c r="E1465" t="s">
        <v>38</v>
      </c>
      <c r="F1465" t="s">
        <v>39</v>
      </c>
      <c r="G1465" t="e">
        <f>VLOOKUP($A1465,'CA-US List'!$A:$C,3,0)</f>
        <v>#N/A</v>
      </c>
      <c r="H1465" t="s">
        <v>9</v>
      </c>
    </row>
    <row r="1466" spans="1:8" x14ac:dyDescent="0.25">
      <c r="A1466">
        <v>69629468</v>
      </c>
      <c r="B1466">
        <v>2904</v>
      </c>
      <c r="C1466">
        <v>1625</v>
      </c>
      <c r="D1466" s="19">
        <v>46077</v>
      </c>
      <c r="E1466" t="s">
        <v>38</v>
      </c>
      <c r="F1466" t="s">
        <v>39</v>
      </c>
      <c r="G1466" t="e">
        <f>VLOOKUP($A1466,'CA-US List'!$A:$C,3,0)</f>
        <v>#N/A</v>
      </c>
      <c r="H1466" t="s">
        <v>9</v>
      </c>
    </row>
    <row r="1467" spans="1:8" x14ac:dyDescent="0.25">
      <c r="A1467">
        <v>69629468</v>
      </c>
      <c r="B1467">
        <v>2904</v>
      </c>
      <c r="C1467">
        <v>1950</v>
      </c>
      <c r="D1467" s="19">
        <v>46077</v>
      </c>
      <c r="E1467" t="s">
        <v>38</v>
      </c>
      <c r="F1467" t="s">
        <v>39</v>
      </c>
      <c r="G1467" t="e">
        <f>VLOOKUP($A1467,'CA-US List'!$A:$C,3,0)</f>
        <v>#N/A</v>
      </c>
      <c r="H1467" t="s">
        <v>9</v>
      </c>
    </row>
    <row r="1468" spans="1:8" x14ac:dyDescent="0.25">
      <c r="A1468">
        <v>69629468</v>
      </c>
      <c r="B1468">
        <v>2904</v>
      </c>
      <c r="C1468">
        <v>1300</v>
      </c>
      <c r="D1468" s="19">
        <v>46078</v>
      </c>
      <c r="E1468" t="s">
        <v>38</v>
      </c>
      <c r="F1468" t="s">
        <v>39</v>
      </c>
      <c r="G1468" t="e">
        <f>VLOOKUP($A1468,'CA-US List'!$A:$C,3,0)</f>
        <v>#N/A</v>
      </c>
      <c r="H1468" t="s">
        <v>9</v>
      </c>
    </row>
    <row r="1469" spans="1:8" x14ac:dyDescent="0.25">
      <c r="A1469">
        <v>69629468</v>
      </c>
      <c r="B1469">
        <v>2904</v>
      </c>
      <c r="C1469">
        <v>626</v>
      </c>
      <c r="D1469" s="19">
        <v>46078</v>
      </c>
      <c r="E1469" t="s">
        <v>38</v>
      </c>
      <c r="F1469" t="s">
        <v>39</v>
      </c>
      <c r="G1469" t="e">
        <f>VLOOKUP($A1469,'CA-US List'!$A:$C,3,0)</f>
        <v>#N/A</v>
      </c>
      <c r="H1469" t="s">
        <v>9</v>
      </c>
    </row>
    <row r="1470" spans="1:8" x14ac:dyDescent="0.25">
      <c r="A1470">
        <v>69629468</v>
      </c>
      <c r="B1470">
        <v>2904</v>
      </c>
      <c r="C1470">
        <v>1456</v>
      </c>
      <c r="D1470" s="19">
        <v>46079</v>
      </c>
      <c r="E1470" t="s">
        <v>38</v>
      </c>
      <c r="F1470" t="s">
        <v>39</v>
      </c>
      <c r="G1470" t="e">
        <f>VLOOKUP($A1470,'CA-US List'!$A:$C,3,0)</f>
        <v>#N/A</v>
      </c>
      <c r="H1470" t="s">
        <v>9</v>
      </c>
    </row>
    <row r="1471" spans="1:8" x14ac:dyDescent="0.25">
      <c r="A1471">
        <v>69629468</v>
      </c>
      <c r="B1471">
        <v>2904</v>
      </c>
      <c r="C1471">
        <v>1560</v>
      </c>
      <c r="D1471" s="19">
        <v>46080</v>
      </c>
      <c r="E1471" t="s">
        <v>38</v>
      </c>
      <c r="F1471" t="s">
        <v>39</v>
      </c>
      <c r="G1471" t="e">
        <f>VLOOKUP($A1471,'CA-US List'!$A:$C,3,0)</f>
        <v>#N/A</v>
      </c>
      <c r="H1471" t="s">
        <v>9</v>
      </c>
    </row>
    <row r="1472" spans="1:8" x14ac:dyDescent="0.25">
      <c r="A1472">
        <v>69629468</v>
      </c>
      <c r="B1472">
        <v>2904</v>
      </c>
      <c r="C1472">
        <v>2376</v>
      </c>
      <c r="D1472" s="19">
        <v>46080</v>
      </c>
      <c r="E1472" t="s">
        <v>38</v>
      </c>
      <c r="F1472" t="s">
        <v>39</v>
      </c>
      <c r="G1472" t="e">
        <f>VLOOKUP($A1472,'CA-US List'!$A:$C,3,0)</f>
        <v>#N/A</v>
      </c>
      <c r="H1472" t="s">
        <v>9</v>
      </c>
    </row>
    <row r="1473" spans="1:8" x14ac:dyDescent="0.25">
      <c r="A1473">
        <v>69629468</v>
      </c>
      <c r="B1473">
        <v>2904</v>
      </c>
      <c r="C1473">
        <v>840</v>
      </c>
      <c r="D1473" s="19">
        <v>46081</v>
      </c>
      <c r="E1473" t="s">
        <v>38</v>
      </c>
      <c r="F1473" t="s">
        <v>39</v>
      </c>
      <c r="G1473" t="e">
        <f>VLOOKUP($A1473,'CA-US List'!$A:$C,3,0)</f>
        <v>#N/A</v>
      </c>
      <c r="H1473" t="s">
        <v>9</v>
      </c>
    </row>
    <row r="1474" spans="1:8" x14ac:dyDescent="0.25">
      <c r="A1474">
        <v>69629468</v>
      </c>
      <c r="B1474">
        <v>2904</v>
      </c>
      <c r="C1474">
        <v>1646</v>
      </c>
      <c r="D1474" s="19">
        <v>46083</v>
      </c>
      <c r="E1474" t="s">
        <v>38</v>
      </c>
      <c r="F1474" t="s">
        <v>39</v>
      </c>
      <c r="G1474" t="e">
        <f>VLOOKUP($A1474,'CA-US List'!$A:$C,3,0)</f>
        <v>#N/A</v>
      </c>
      <c r="H1474" t="s">
        <v>9</v>
      </c>
    </row>
    <row r="1475" spans="1:8" x14ac:dyDescent="0.25">
      <c r="A1475">
        <v>69629468</v>
      </c>
      <c r="B1475">
        <v>2904</v>
      </c>
      <c r="C1475">
        <v>1404</v>
      </c>
      <c r="D1475" s="19">
        <v>46084</v>
      </c>
      <c r="E1475" t="s">
        <v>38</v>
      </c>
      <c r="F1475" t="s">
        <v>39</v>
      </c>
      <c r="G1475" t="e">
        <f>VLOOKUP($A1475,'CA-US List'!$A:$C,3,0)</f>
        <v>#N/A</v>
      </c>
      <c r="H1475" t="s">
        <v>9</v>
      </c>
    </row>
    <row r="1476" spans="1:8" x14ac:dyDescent="0.25">
      <c r="A1476">
        <v>69629468</v>
      </c>
      <c r="B1476">
        <v>2904</v>
      </c>
      <c r="C1476">
        <v>2552</v>
      </c>
      <c r="D1476" s="19">
        <v>46084</v>
      </c>
      <c r="E1476" t="s">
        <v>38</v>
      </c>
      <c r="F1476" t="s">
        <v>39</v>
      </c>
      <c r="G1476" t="e">
        <f>VLOOKUP($A1476,'CA-US List'!$A:$C,3,0)</f>
        <v>#N/A</v>
      </c>
      <c r="H1476" t="s">
        <v>9</v>
      </c>
    </row>
    <row r="1477" spans="1:8" x14ac:dyDescent="0.25">
      <c r="A1477">
        <v>69629468</v>
      </c>
      <c r="B1477">
        <v>2904</v>
      </c>
      <c r="C1477">
        <v>2140</v>
      </c>
      <c r="D1477" s="19">
        <v>46085</v>
      </c>
      <c r="E1477" t="s">
        <v>38</v>
      </c>
      <c r="F1477" t="s">
        <v>39</v>
      </c>
      <c r="G1477" t="e">
        <f>VLOOKUP($A1477,'CA-US List'!$A:$C,3,0)</f>
        <v>#N/A</v>
      </c>
      <c r="H1477" t="s">
        <v>9</v>
      </c>
    </row>
    <row r="1478" spans="1:8" x14ac:dyDescent="0.25">
      <c r="A1478">
        <v>69629468</v>
      </c>
      <c r="B1478">
        <v>2904</v>
      </c>
      <c r="C1478">
        <v>520</v>
      </c>
      <c r="D1478" s="19">
        <v>46085</v>
      </c>
      <c r="E1478" t="s">
        <v>38</v>
      </c>
      <c r="F1478" t="s">
        <v>39</v>
      </c>
      <c r="G1478" t="e">
        <f>VLOOKUP($A1478,'CA-US List'!$A:$C,3,0)</f>
        <v>#N/A</v>
      </c>
      <c r="H1478" t="s">
        <v>9</v>
      </c>
    </row>
    <row r="1479" spans="1:8" x14ac:dyDescent="0.25">
      <c r="A1479">
        <v>69629468</v>
      </c>
      <c r="B1479">
        <v>2904</v>
      </c>
      <c r="C1479">
        <v>1911</v>
      </c>
      <c r="D1479" s="19">
        <v>46086</v>
      </c>
      <c r="E1479" t="s">
        <v>38</v>
      </c>
      <c r="F1479" t="s">
        <v>39</v>
      </c>
      <c r="G1479" t="e">
        <f>VLOOKUP($A1479,'CA-US List'!$A:$C,3,0)</f>
        <v>#N/A</v>
      </c>
      <c r="H1479" t="s">
        <v>9</v>
      </c>
    </row>
    <row r="1480" spans="1:8" x14ac:dyDescent="0.25">
      <c r="A1480">
        <v>69629468</v>
      </c>
      <c r="B1480">
        <v>2904</v>
      </c>
      <c r="C1480">
        <v>2280</v>
      </c>
      <c r="D1480" s="19">
        <v>46086</v>
      </c>
      <c r="E1480" t="s">
        <v>38</v>
      </c>
      <c r="F1480" t="s">
        <v>39</v>
      </c>
      <c r="G1480" t="e">
        <f>VLOOKUP($A1480,'CA-US List'!$A:$C,3,0)</f>
        <v>#N/A</v>
      </c>
      <c r="H1480" t="s">
        <v>9</v>
      </c>
    </row>
    <row r="1481" spans="1:8" x14ac:dyDescent="0.25">
      <c r="A1481">
        <v>69629468</v>
      </c>
      <c r="B1481">
        <v>2904</v>
      </c>
      <c r="C1481">
        <v>2009</v>
      </c>
      <c r="D1481" s="19">
        <v>46087</v>
      </c>
      <c r="E1481" t="s">
        <v>38</v>
      </c>
      <c r="F1481" t="s">
        <v>39</v>
      </c>
      <c r="G1481" t="e">
        <f>VLOOKUP($A1481,'CA-US List'!$A:$C,3,0)</f>
        <v>#N/A</v>
      </c>
      <c r="H1481" t="s">
        <v>9</v>
      </c>
    </row>
    <row r="1482" spans="1:8" x14ac:dyDescent="0.25">
      <c r="A1482">
        <v>69629468</v>
      </c>
      <c r="B1482">
        <v>2904</v>
      </c>
      <c r="C1482">
        <v>2258</v>
      </c>
      <c r="D1482" s="19">
        <v>46087</v>
      </c>
      <c r="E1482" t="s">
        <v>38</v>
      </c>
      <c r="F1482" t="s">
        <v>39</v>
      </c>
      <c r="G1482" t="e">
        <f>VLOOKUP($A1482,'CA-US List'!$A:$C,3,0)</f>
        <v>#N/A</v>
      </c>
      <c r="H1482" t="s">
        <v>9</v>
      </c>
    </row>
    <row r="1483" spans="1:8" x14ac:dyDescent="0.25">
      <c r="A1483">
        <v>69629468</v>
      </c>
      <c r="B1483">
        <v>2904</v>
      </c>
      <c r="C1483">
        <v>1165</v>
      </c>
      <c r="D1483" s="19">
        <v>46088</v>
      </c>
      <c r="E1483" t="s">
        <v>38</v>
      </c>
      <c r="F1483" t="s">
        <v>39</v>
      </c>
      <c r="G1483" t="e">
        <f>VLOOKUP($A1483,'CA-US List'!$A:$C,3,0)</f>
        <v>#N/A</v>
      </c>
      <c r="H1483" t="s">
        <v>9</v>
      </c>
    </row>
    <row r="1484" spans="1:8" x14ac:dyDescent="0.25">
      <c r="A1484">
        <v>69629468</v>
      </c>
      <c r="B1484">
        <v>2904</v>
      </c>
      <c r="C1484">
        <v>1820</v>
      </c>
      <c r="D1484" s="19">
        <v>46090</v>
      </c>
      <c r="E1484" t="s">
        <v>38</v>
      </c>
      <c r="F1484" t="s">
        <v>39</v>
      </c>
      <c r="G1484" t="e">
        <f>VLOOKUP($A1484,'CA-US List'!$A:$C,3,0)</f>
        <v>#N/A</v>
      </c>
      <c r="H1484" t="s">
        <v>9</v>
      </c>
    </row>
    <row r="1485" spans="1:8" x14ac:dyDescent="0.25">
      <c r="A1485">
        <v>69629468</v>
      </c>
      <c r="B1485">
        <v>2904</v>
      </c>
      <c r="C1485">
        <v>238</v>
      </c>
      <c r="D1485" s="19">
        <v>46091</v>
      </c>
      <c r="E1485" t="s">
        <v>38</v>
      </c>
      <c r="F1485" t="s">
        <v>39</v>
      </c>
      <c r="G1485" t="e">
        <f>VLOOKUP($A1485,'CA-US List'!$A:$C,3,0)</f>
        <v>#N/A</v>
      </c>
      <c r="H1485" t="s">
        <v>9</v>
      </c>
    </row>
    <row r="1486" spans="1:8" x14ac:dyDescent="0.25">
      <c r="A1486">
        <v>69629468</v>
      </c>
      <c r="B1486">
        <v>2904</v>
      </c>
      <c r="C1486">
        <v>1518</v>
      </c>
      <c r="D1486" s="19">
        <v>46091</v>
      </c>
      <c r="E1486" t="s">
        <v>38</v>
      </c>
      <c r="F1486" t="s">
        <v>39</v>
      </c>
      <c r="G1486" t="e">
        <f>VLOOKUP($A1486,'CA-US List'!$A:$C,3,0)</f>
        <v>#N/A</v>
      </c>
      <c r="H1486" t="s">
        <v>9</v>
      </c>
    </row>
    <row r="1487" spans="1:8" x14ac:dyDescent="0.25">
      <c r="A1487">
        <v>69629468</v>
      </c>
      <c r="B1487">
        <v>2904</v>
      </c>
      <c r="C1487">
        <v>1585</v>
      </c>
      <c r="D1487" s="19">
        <v>46092</v>
      </c>
      <c r="E1487" t="s">
        <v>38</v>
      </c>
      <c r="F1487" t="s">
        <v>39</v>
      </c>
      <c r="G1487" t="e">
        <f>VLOOKUP($A1487,'CA-US List'!$A:$C,3,0)</f>
        <v>#N/A</v>
      </c>
      <c r="H1487" t="s">
        <v>9</v>
      </c>
    </row>
    <row r="1488" spans="1:8" x14ac:dyDescent="0.25">
      <c r="A1488">
        <v>69629468</v>
      </c>
      <c r="B1488">
        <v>2904</v>
      </c>
      <c r="C1488">
        <v>1703</v>
      </c>
      <c r="D1488" s="19">
        <v>46092</v>
      </c>
      <c r="E1488" t="s">
        <v>38</v>
      </c>
      <c r="F1488" t="s">
        <v>39</v>
      </c>
      <c r="G1488" t="e">
        <f>VLOOKUP($A1488,'CA-US List'!$A:$C,3,0)</f>
        <v>#N/A</v>
      </c>
      <c r="H1488" t="s">
        <v>9</v>
      </c>
    </row>
    <row r="1489" spans="1:8" x14ac:dyDescent="0.25">
      <c r="A1489">
        <v>69629468</v>
      </c>
      <c r="B1489">
        <v>2904</v>
      </c>
      <c r="C1489">
        <v>626</v>
      </c>
      <c r="D1489" s="19">
        <v>46093</v>
      </c>
      <c r="E1489" t="s">
        <v>38</v>
      </c>
      <c r="F1489" t="s">
        <v>39</v>
      </c>
      <c r="G1489" t="e">
        <f>VLOOKUP($A1489,'CA-US List'!$A:$C,3,0)</f>
        <v>#N/A</v>
      </c>
      <c r="H1489" t="s">
        <v>9</v>
      </c>
    </row>
    <row r="1490" spans="1:8" x14ac:dyDescent="0.25">
      <c r="A1490">
        <v>69629468</v>
      </c>
      <c r="B1490">
        <v>2904</v>
      </c>
      <c r="C1490">
        <v>791</v>
      </c>
      <c r="D1490" s="19">
        <v>46093</v>
      </c>
      <c r="E1490" t="s">
        <v>38</v>
      </c>
      <c r="F1490" t="s">
        <v>39</v>
      </c>
      <c r="G1490" t="e">
        <f>VLOOKUP($A1490,'CA-US List'!$A:$C,3,0)</f>
        <v>#N/A</v>
      </c>
      <c r="H1490" t="s">
        <v>9</v>
      </c>
    </row>
    <row r="1491" spans="1:8" x14ac:dyDescent="0.25">
      <c r="A1491">
        <v>69629468</v>
      </c>
      <c r="B1491">
        <v>2904</v>
      </c>
      <c r="C1491">
        <v>1505</v>
      </c>
      <c r="D1491" s="19">
        <v>46094</v>
      </c>
      <c r="E1491" t="s">
        <v>38</v>
      </c>
      <c r="F1491" t="s">
        <v>39</v>
      </c>
      <c r="G1491" t="e">
        <f>VLOOKUP($A1491,'CA-US List'!$A:$C,3,0)</f>
        <v>#N/A</v>
      </c>
      <c r="H1491" t="s">
        <v>9</v>
      </c>
    </row>
    <row r="1492" spans="1:8" x14ac:dyDescent="0.25">
      <c r="A1492">
        <v>69629468</v>
      </c>
      <c r="B1492">
        <v>2904</v>
      </c>
      <c r="C1492">
        <v>1546</v>
      </c>
      <c r="D1492" s="19">
        <v>46094</v>
      </c>
      <c r="E1492" t="s">
        <v>38</v>
      </c>
      <c r="F1492" t="s">
        <v>39</v>
      </c>
      <c r="G1492" t="e">
        <f>VLOOKUP($A1492,'CA-US List'!$A:$C,3,0)</f>
        <v>#N/A</v>
      </c>
      <c r="H1492" t="s">
        <v>9</v>
      </c>
    </row>
    <row r="1493" spans="1:8" x14ac:dyDescent="0.25">
      <c r="A1493">
        <v>69629468</v>
      </c>
      <c r="B1493">
        <v>2904</v>
      </c>
      <c r="C1493">
        <v>1226</v>
      </c>
      <c r="D1493" s="19">
        <v>46095</v>
      </c>
      <c r="E1493" t="s">
        <v>38</v>
      </c>
      <c r="F1493" t="s">
        <v>39</v>
      </c>
      <c r="G1493" t="e">
        <f>VLOOKUP($A1493,'CA-US List'!$A:$C,3,0)</f>
        <v>#N/A</v>
      </c>
      <c r="H1493" t="s">
        <v>9</v>
      </c>
    </row>
    <row r="1494" spans="1:8" x14ac:dyDescent="0.25">
      <c r="A1494">
        <v>69629468</v>
      </c>
      <c r="B1494">
        <v>2904</v>
      </c>
      <c r="C1494">
        <v>691</v>
      </c>
      <c r="D1494" s="19">
        <v>46097</v>
      </c>
      <c r="E1494" t="s">
        <v>38</v>
      </c>
      <c r="F1494" t="s">
        <v>39</v>
      </c>
      <c r="G1494" t="e">
        <f>VLOOKUP($A1494,'CA-US List'!$A:$C,3,0)</f>
        <v>#N/A</v>
      </c>
      <c r="H1494" t="s">
        <v>9</v>
      </c>
    </row>
    <row r="1495" spans="1:8" x14ac:dyDescent="0.25">
      <c r="A1495">
        <v>69629468</v>
      </c>
      <c r="B1495">
        <v>2904</v>
      </c>
      <c r="C1495">
        <v>858</v>
      </c>
      <c r="D1495" s="19">
        <v>46098</v>
      </c>
      <c r="E1495" t="s">
        <v>38</v>
      </c>
      <c r="F1495" t="s">
        <v>39</v>
      </c>
      <c r="G1495" t="e">
        <f>VLOOKUP($A1495,'CA-US List'!$A:$C,3,0)</f>
        <v>#N/A</v>
      </c>
      <c r="H1495" t="s">
        <v>9</v>
      </c>
    </row>
    <row r="1496" spans="1:8" x14ac:dyDescent="0.25">
      <c r="A1496">
        <v>69629468</v>
      </c>
      <c r="B1496">
        <v>2904</v>
      </c>
      <c r="C1496">
        <v>2050</v>
      </c>
      <c r="D1496" s="19">
        <v>46098</v>
      </c>
      <c r="E1496" t="s">
        <v>38</v>
      </c>
      <c r="F1496" t="s">
        <v>39</v>
      </c>
      <c r="G1496" t="e">
        <f>VLOOKUP($A1496,'CA-US List'!$A:$C,3,0)</f>
        <v>#N/A</v>
      </c>
      <c r="H1496" t="s">
        <v>9</v>
      </c>
    </row>
    <row r="1497" spans="1:8" x14ac:dyDescent="0.25">
      <c r="A1497">
        <v>69629468</v>
      </c>
      <c r="B1497">
        <v>2904</v>
      </c>
      <c r="C1497">
        <v>1539</v>
      </c>
      <c r="D1497" s="19">
        <v>46099</v>
      </c>
      <c r="E1497" t="s">
        <v>38</v>
      </c>
      <c r="F1497" t="s">
        <v>39</v>
      </c>
      <c r="G1497" t="e">
        <f>VLOOKUP($A1497,'CA-US List'!$A:$C,3,0)</f>
        <v>#N/A</v>
      </c>
      <c r="H1497" t="s">
        <v>9</v>
      </c>
    </row>
    <row r="1498" spans="1:8" x14ac:dyDescent="0.25">
      <c r="A1498">
        <v>69629468</v>
      </c>
      <c r="B1498">
        <v>2904</v>
      </c>
      <c r="C1498">
        <v>68</v>
      </c>
      <c r="D1498" s="19">
        <v>46099</v>
      </c>
      <c r="E1498" t="s">
        <v>38</v>
      </c>
      <c r="F1498" t="s">
        <v>39</v>
      </c>
      <c r="G1498" t="e">
        <f>VLOOKUP($A1498,'CA-US List'!$A:$C,3,0)</f>
        <v>#N/A</v>
      </c>
      <c r="H1498" t="s">
        <v>9</v>
      </c>
    </row>
    <row r="1499" spans="1:8" x14ac:dyDescent="0.25">
      <c r="A1499">
        <v>69629468</v>
      </c>
      <c r="B1499">
        <v>2904</v>
      </c>
      <c r="C1499">
        <v>2080</v>
      </c>
      <c r="D1499" s="19">
        <v>46100</v>
      </c>
      <c r="E1499" t="s">
        <v>38</v>
      </c>
      <c r="F1499" t="s">
        <v>39</v>
      </c>
      <c r="G1499" t="e">
        <f>VLOOKUP($A1499,'CA-US List'!$A:$C,3,0)</f>
        <v>#N/A</v>
      </c>
      <c r="H1499" t="s">
        <v>9</v>
      </c>
    </row>
    <row r="1500" spans="1:8" x14ac:dyDescent="0.25">
      <c r="A1500">
        <v>69629468</v>
      </c>
      <c r="B1500">
        <v>2904</v>
      </c>
      <c r="C1500">
        <v>2574</v>
      </c>
      <c r="D1500" s="19">
        <v>46100</v>
      </c>
      <c r="E1500" t="s">
        <v>38</v>
      </c>
      <c r="F1500" t="s">
        <v>39</v>
      </c>
      <c r="G1500" t="e">
        <f>VLOOKUP($A1500,'CA-US List'!$A:$C,3,0)</f>
        <v>#N/A</v>
      </c>
      <c r="H1500" t="s">
        <v>9</v>
      </c>
    </row>
    <row r="1501" spans="1:8" x14ac:dyDescent="0.25">
      <c r="A1501">
        <v>69629468</v>
      </c>
      <c r="B1501">
        <v>2904</v>
      </c>
      <c r="C1501">
        <v>1638</v>
      </c>
      <c r="D1501" s="19">
        <v>46101</v>
      </c>
      <c r="E1501" t="s">
        <v>38</v>
      </c>
      <c r="F1501" t="s">
        <v>39</v>
      </c>
      <c r="G1501" t="e">
        <f>VLOOKUP($A1501,'CA-US List'!$A:$C,3,0)</f>
        <v>#N/A</v>
      </c>
      <c r="H1501" t="s">
        <v>9</v>
      </c>
    </row>
    <row r="1502" spans="1:8" x14ac:dyDescent="0.25">
      <c r="A1502">
        <v>69629468</v>
      </c>
      <c r="B1502">
        <v>2904</v>
      </c>
      <c r="C1502">
        <v>1948</v>
      </c>
      <c r="D1502" s="19">
        <v>46101</v>
      </c>
      <c r="E1502" t="s">
        <v>38</v>
      </c>
      <c r="F1502" t="s">
        <v>39</v>
      </c>
      <c r="G1502" t="e">
        <f>VLOOKUP($A1502,'CA-US List'!$A:$C,3,0)</f>
        <v>#N/A</v>
      </c>
      <c r="H1502" t="s">
        <v>9</v>
      </c>
    </row>
    <row r="1503" spans="1:8" x14ac:dyDescent="0.25">
      <c r="A1503">
        <v>69629468</v>
      </c>
      <c r="B1503">
        <v>2904</v>
      </c>
      <c r="C1503">
        <v>998</v>
      </c>
      <c r="D1503" s="19">
        <v>46102</v>
      </c>
      <c r="E1503" t="s">
        <v>38</v>
      </c>
      <c r="F1503" t="s">
        <v>39</v>
      </c>
      <c r="G1503" t="e">
        <f>VLOOKUP($A1503,'CA-US List'!$A:$C,3,0)</f>
        <v>#N/A</v>
      </c>
      <c r="H1503" t="s">
        <v>9</v>
      </c>
    </row>
    <row r="1504" spans="1:8" x14ac:dyDescent="0.25">
      <c r="A1504">
        <v>69629468</v>
      </c>
      <c r="B1504">
        <v>2904</v>
      </c>
      <c r="C1504">
        <v>1601</v>
      </c>
      <c r="D1504" s="19">
        <v>46104</v>
      </c>
      <c r="E1504" t="s">
        <v>38</v>
      </c>
      <c r="F1504" t="s">
        <v>39</v>
      </c>
      <c r="G1504" t="e">
        <f>VLOOKUP($A1504,'CA-US List'!$A:$C,3,0)</f>
        <v>#N/A</v>
      </c>
      <c r="H1504" t="s">
        <v>9</v>
      </c>
    </row>
    <row r="1505" spans="1:8" x14ac:dyDescent="0.25">
      <c r="A1505">
        <v>69629468</v>
      </c>
      <c r="B1505">
        <v>2904</v>
      </c>
      <c r="C1505">
        <v>1560</v>
      </c>
      <c r="D1505" s="19">
        <v>46105</v>
      </c>
      <c r="E1505" t="s">
        <v>38</v>
      </c>
      <c r="F1505" t="s">
        <v>39</v>
      </c>
      <c r="G1505" t="e">
        <f>VLOOKUP($A1505,'CA-US List'!$A:$C,3,0)</f>
        <v>#N/A</v>
      </c>
      <c r="H1505" t="s">
        <v>9</v>
      </c>
    </row>
    <row r="1506" spans="1:8" x14ac:dyDescent="0.25">
      <c r="A1506">
        <v>69629468</v>
      </c>
      <c r="B1506">
        <v>2904</v>
      </c>
      <c r="C1506">
        <v>2210</v>
      </c>
      <c r="D1506" s="19">
        <v>46105</v>
      </c>
      <c r="E1506" t="s">
        <v>38</v>
      </c>
      <c r="F1506" t="s">
        <v>39</v>
      </c>
      <c r="G1506" t="e">
        <f>VLOOKUP($A1506,'CA-US List'!$A:$C,3,0)</f>
        <v>#N/A</v>
      </c>
      <c r="H1506" t="s">
        <v>9</v>
      </c>
    </row>
    <row r="1507" spans="1:8" x14ac:dyDescent="0.25">
      <c r="A1507">
        <v>69690941</v>
      </c>
      <c r="B1507">
        <v>2904</v>
      </c>
      <c r="C1507">
        <v>4426</v>
      </c>
      <c r="D1507" s="19">
        <v>46099</v>
      </c>
      <c r="E1507" t="s">
        <v>92</v>
      </c>
      <c r="F1507" t="s">
        <v>56</v>
      </c>
      <c r="G1507" t="e">
        <f>VLOOKUP($A1507,'CA-US List'!$A:$C,3,0)</f>
        <v>#N/A</v>
      </c>
      <c r="H1507" t="s">
        <v>9</v>
      </c>
    </row>
    <row r="1508" spans="1:8" x14ac:dyDescent="0.25">
      <c r="A1508">
        <v>69690941</v>
      </c>
      <c r="B1508">
        <v>2904</v>
      </c>
      <c r="C1508">
        <v>6864</v>
      </c>
      <c r="D1508" s="19">
        <v>46099</v>
      </c>
      <c r="E1508" t="s">
        <v>92</v>
      </c>
      <c r="F1508" t="s">
        <v>56</v>
      </c>
      <c r="G1508" t="e">
        <f>VLOOKUP($A1508,'CA-US List'!$A:$C,3,0)</f>
        <v>#N/A</v>
      </c>
      <c r="H1508" t="s">
        <v>9</v>
      </c>
    </row>
    <row r="1509" spans="1:8" x14ac:dyDescent="0.25">
      <c r="A1509">
        <v>69690941</v>
      </c>
      <c r="B1509">
        <v>2904</v>
      </c>
      <c r="C1509">
        <v>6613</v>
      </c>
      <c r="D1509" s="19">
        <v>46100</v>
      </c>
      <c r="E1509" t="s">
        <v>92</v>
      </c>
      <c r="F1509" t="s">
        <v>56</v>
      </c>
      <c r="G1509" t="e">
        <f>VLOOKUP($A1509,'CA-US List'!$A:$C,3,0)</f>
        <v>#N/A</v>
      </c>
      <c r="H1509" t="s">
        <v>9</v>
      </c>
    </row>
    <row r="1510" spans="1:8" x14ac:dyDescent="0.25">
      <c r="A1510">
        <v>69690941</v>
      </c>
      <c r="B1510">
        <v>2904</v>
      </c>
      <c r="C1510">
        <v>2591</v>
      </c>
      <c r="D1510" s="19">
        <v>46100</v>
      </c>
      <c r="E1510" t="s">
        <v>92</v>
      </c>
      <c r="F1510" t="s">
        <v>56</v>
      </c>
      <c r="G1510" t="e">
        <f>VLOOKUP($A1510,'CA-US List'!$A:$C,3,0)</f>
        <v>#N/A</v>
      </c>
      <c r="H1510" t="s">
        <v>9</v>
      </c>
    </row>
    <row r="1511" spans="1:8" x14ac:dyDescent="0.25">
      <c r="A1511">
        <v>69717801</v>
      </c>
      <c r="B1511">
        <v>2904</v>
      </c>
      <c r="C1511">
        <v>3479</v>
      </c>
      <c r="D1511" s="19">
        <v>46091</v>
      </c>
      <c r="E1511" t="s">
        <v>62</v>
      </c>
      <c r="F1511" t="s">
        <v>37</v>
      </c>
      <c r="G1511" t="e">
        <f>VLOOKUP($A1511,'CA-US List'!$A:$C,3,0)</f>
        <v>#N/A</v>
      </c>
      <c r="H1511" t="s">
        <v>9</v>
      </c>
    </row>
    <row r="1512" spans="1:8" x14ac:dyDescent="0.25">
      <c r="A1512">
        <v>69717801</v>
      </c>
      <c r="B1512">
        <v>2904</v>
      </c>
      <c r="C1512">
        <v>4719</v>
      </c>
      <c r="D1512" s="19">
        <v>46092</v>
      </c>
      <c r="E1512" t="s">
        <v>62</v>
      </c>
      <c r="F1512" t="s">
        <v>37</v>
      </c>
      <c r="G1512" t="e">
        <f>VLOOKUP($A1512,'CA-US List'!$A:$C,3,0)</f>
        <v>#N/A</v>
      </c>
      <c r="H1512" t="s">
        <v>9</v>
      </c>
    </row>
    <row r="1513" spans="1:8" x14ac:dyDescent="0.25">
      <c r="A1513">
        <v>69717801</v>
      </c>
      <c r="B1513">
        <v>2904</v>
      </c>
      <c r="C1513">
        <v>4432</v>
      </c>
      <c r="D1513" s="19">
        <v>46093</v>
      </c>
      <c r="E1513" t="s">
        <v>62</v>
      </c>
      <c r="F1513" t="s">
        <v>37</v>
      </c>
      <c r="G1513" t="e">
        <f>VLOOKUP($A1513,'CA-US List'!$A:$C,3,0)</f>
        <v>#N/A</v>
      </c>
      <c r="H1513" t="s">
        <v>9</v>
      </c>
    </row>
    <row r="1514" spans="1:8" x14ac:dyDescent="0.25">
      <c r="A1514">
        <v>69717801</v>
      </c>
      <c r="B1514">
        <v>2904</v>
      </c>
      <c r="C1514">
        <v>4330</v>
      </c>
      <c r="D1514" s="19">
        <v>46094</v>
      </c>
      <c r="E1514" t="s">
        <v>62</v>
      </c>
      <c r="F1514" t="s">
        <v>37</v>
      </c>
      <c r="G1514" t="e">
        <f>VLOOKUP($A1514,'CA-US List'!$A:$C,3,0)</f>
        <v>#N/A</v>
      </c>
      <c r="H1514" t="s">
        <v>9</v>
      </c>
    </row>
    <row r="1515" spans="1:8" x14ac:dyDescent="0.25">
      <c r="A1515">
        <v>69717801</v>
      </c>
      <c r="B1515">
        <v>2904</v>
      </c>
      <c r="C1515">
        <v>-143</v>
      </c>
      <c r="D1515" s="19">
        <v>46100</v>
      </c>
      <c r="E1515" t="s">
        <v>62</v>
      </c>
      <c r="F1515" t="s">
        <v>37</v>
      </c>
      <c r="G1515" t="e">
        <f>VLOOKUP($A1515,'CA-US List'!$A:$C,3,0)</f>
        <v>#N/A</v>
      </c>
      <c r="H1515" t="s">
        <v>9</v>
      </c>
    </row>
    <row r="1516" spans="1:8" x14ac:dyDescent="0.25">
      <c r="A1516">
        <v>69717801</v>
      </c>
      <c r="B1516">
        <v>2904</v>
      </c>
      <c r="C1516">
        <v>3957</v>
      </c>
      <c r="D1516" s="19">
        <v>46092</v>
      </c>
      <c r="E1516" t="s">
        <v>62</v>
      </c>
      <c r="F1516" t="s">
        <v>37</v>
      </c>
      <c r="G1516" t="e">
        <f>VLOOKUP($A1516,'CA-US List'!$A:$C,3,0)</f>
        <v>#N/A</v>
      </c>
      <c r="H1516" t="s">
        <v>9</v>
      </c>
    </row>
    <row r="1517" spans="1:8" x14ac:dyDescent="0.25">
      <c r="A1517">
        <v>69717801</v>
      </c>
      <c r="B1517">
        <v>2904</v>
      </c>
      <c r="C1517">
        <v>4495</v>
      </c>
      <c r="D1517" s="19">
        <v>46093</v>
      </c>
      <c r="E1517" t="s">
        <v>62</v>
      </c>
      <c r="F1517" t="s">
        <v>37</v>
      </c>
      <c r="G1517" t="e">
        <f>VLOOKUP($A1517,'CA-US List'!$A:$C,3,0)</f>
        <v>#N/A</v>
      </c>
      <c r="H1517" t="s">
        <v>9</v>
      </c>
    </row>
    <row r="1518" spans="1:8" x14ac:dyDescent="0.25">
      <c r="A1518">
        <v>69717801</v>
      </c>
      <c r="B1518">
        <v>2904</v>
      </c>
      <c r="C1518">
        <v>2389</v>
      </c>
      <c r="D1518" s="19">
        <v>46094</v>
      </c>
      <c r="E1518" t="s">
        <v>62</v>
      </c>
      <c r="F1518" t="s">
        <v>37</v>
      </c>
      <c r="G1518" t="e">
        <f>VLOOKUP($A1518,'CA-US List'!$A:$C,3,0)</f>
        <v>#N/A</v>
      </c>
      <c r="H1518" t="s">
        <v>9</v>
      </c>
    </row>
    <row r="1519" spans="1:8" x14ac:dyDescent="0.25">
      <c r="A1519">
        <v>69717801</v>
      </c>
      <c r="B1519">
        <v>2904</v>
      </c>
      <c r="C1519">
        <v>4719</v>
      </c>
      <c r="D1519" s="19">
        <v>46095</v>
      </c>
      <c r="E1519" t="s">
        <v>62</v>
      </c>
      <c r="F1519" t="s">
        <v>37</v>
      </c>
      <c r="G1519" t="e">
        <f>VLOOKUP($A1519,'CA-US List'!$A:$C,3,0)</f>
        <v>#N/A</v>
      </c>
      <c r="H1519" t="s">
        <v>9</v>
      </c>
    </row>
    <row r="1520" spans="1:8" x14ac:dyDescent="0.25">
      <c r="A1520">
        <v>69717801</v>
      </c>
      <c r="B1520">
        <v>2904</v>
      </c>
      <c r="C1520">
        <v>176</v>
      </c>
      <c r="D1520" s="19">
        <v>46097</v>
      </c>
      <c r="E1520" t="s">
        <v>62</v>
      </c>
      <c r="F1520" t="s">
        <v>37</v>
      </c>
      <c r="G1520" t="e">
        <f>VLOOKUP($A1520,'CA-US List'!$A:$C,3,0)</f>
        <v>#N/A</v>
      </c>
      <c r="H1520" t="s">
        <v>9</v>
      </c>
    </row>
    <row r="1521" spans="1:8" x14ac:dyDescent="0.25">
      <c r="A1521">
        <v>69717801</v>
      </c>
      <c r="B1521">
        <v>2904</v>
      </c>
      <c r="C1521">
        <v>12154</v>
      </c>
      <c r="D1521" s="19">
        <v>46097</v>
      </c>
      <c r="E1521" t="s">
        <v>62</v>
      </c>
      <c r="F1521" t="s">
        <v>37</v>
      </c>
      <c r="G1521" t="e">
        <f>VLOOKUP($A1521,'CA-US List'!$A:$C,3,0)</f>
        <v>#N/A</v>
      </c>
      <c r="H1521" t="s">
        <v>9</v>
      </c>
    </row>
    <row r="1522" spans="1:8" x14ac:dyDescent="0.25">
      <c r="A1522">
        <v>69717801</v>
      </c>
      <c r="B1522">
        <v>2904</v>
      </c>
      <c r="C1522">
        <v>1688</v>
      </c>
      <c r="D1522" s="19">
        <v>46098</v>
      </c>
      <c r="E1522" t="s">
        <v>62</v>
      </c>
      <c r="F1522" t="s">
        <v>37</v>
      </c>
      <c r="G1522" t="e">
        <f>VLOOKUP($A1522,'CA-US List'!$A:$C,3,0)</f>
        <v>#N/A</v>
      </c>
      <c r="H1522" t="s">
        <v>9</v>
      </c>
    </row>
    <row r="1523" spans="1:8" x14ac:dyDescent="0.25">
      <c r="A1523">
        <v>69717801</v>
      </c>
      <c r="B1523">
        <v>2904</v>
      </c>
      <c r="C1523">
        <v>906</v>
      </c>
      <c r="D1523" s="19">
        <v>46099</v>
      </c>
      <c r="E1523" t="s">
        <v>62</v>
      </c>
      <c r="F1523" t="s">
        <v>37</v>
      </c>
      <c r="G1523" t="e">
        <f>VLOOKUP($A1523,'CA-US List'!$A:$C,3,0)</f>
        <v>#N/A</v>
      </c>
      <c r="H1523" t="s">
        <v>9</v>
      </c>
    </row>
    <row r="1524" spans="1:8" x14ac:dyDescent="0.25">
      <c r="A1524">
        <v>69717801</v>
      </c>
      <c r="B1524">
        <v>2904</v>
      </c>
      <c r="C1524">
        <v>9009</v>
      </c>
      <c r="D1524" s="19">
        <v>46098</v>
      </c>
      <c r="E1524" t="s">
        <v>62</v>
      </c>
      <c r="F1524" t="s">
        <v>37</v>
      </c>
      <c r="G1524" t="e">
        <f>VLOOKUP($A1524,'CA-US List'!$A:$C,3,0)</f>
        <v>#N/A</v>
      </c>
      <c r="H1524" t="s">
        <v>9</v>
      </c>
    </row>
    <row r="1525" spans="1:8" x14ac:dyDescent="0.25">
      <c r="A1525">
        <v>69717801</v>
      </c>
      <c r="B1525">
        <v>2904</v>
      </c>
      <c r="C1525">
        <v>-143</v>
      </c>
      <c r="D1525" s="19">
        <v>46100</v>
      </c>
      <c r="E1525" t="s">
        <v>62</v>
      </c>
      <c r="F1525" t="s">
        <v>37</v>
      </c>
      <c r="G1525" t="e">
        <f>VLOOKUP($A1525,'CA-US List'!$A:$C,3,0)</f>
        <v>#N/A</v>
      </c>
      <c r="H1525" t="s">
        <v>9</v>
      </c>
    </row>
    <row r="1526" spans="1:8" x14ac:dyDescent="0.25">
      <c r="A1526">
        <v>69717801</v>
      </c>
      <c r="B1526">
        <v>2904</v>
      </c>
      <c r="C1526">
        <v>4949</v>
      </c>
      <c r="D1526" s="19">
        <v>46098</v>
      </c>
      <c r="E1526" t="s">
        <v>62</v>
      </c>
      <c r="F1526" t="s">
        <v>37</v>
      </c>
      <c r="G1526" t="e">
        <f>VLOOKUP($A1526,'CA-US List'!$A:$C,3,0)</f>
        <v>#N/A</v>
      </c>
      <c r="H1526" t="s">
        <v>9</v>
      </c>
    </row>
    <row r="1527" spans="1:8" x14ac:dyDescent="0.25">
      <c r="A1527">
        <v>69717801</v>
      </c>
      <c r="B1527">
        <v>2904</v>
      </c>
      <c r="C1527">
        <v>3080</v>
      </c>
      <c r="D1527" s="19">
        <v>46099</v>
      </c>
      <c r="E1527" t="s">
        <v>62</v>
      </c>
      <c r="F1527" t="s">
        <v>37</v>
      </c>
      <c r="G1527" t="e">
        <f>VLOOKUP($A1527,'CA-US List'!$A:$C,3,0)</f>
        <v>#N/A</v>
      </c>
      <c r="H1527" t="s">
        <v>9</v>
      </c>
    </row>
    <row r="1528" spans="1:8" x14ac:dyDescent="0.25">
      <c r="A1528">
        <v>69717801</v>
      </c>
      <c r="B1528">
        <v>2904</v>
      </c>
      <c r="C1528">
        <v>224</v>
      </c>
      <c r="D1528" s="19">
        <v>46099</v>
      </c>
      <c r="E1528" t="s">
        <v>62</v>
      </c>
      <c r="F1528" t="s">
        <v>37</v>
      </c>
      <c r="G1528" t="e">
        <f>VLOOKUP($A1528,'CA-US List'!$A:$C,3,0)</f>
        <v>#N/A</v>
      </c>
      <c r="H1528" t="s">
        <v>9</v>
      </c>
    </row>
    <row r="1529" spans="1:8" x14ac:dyDescent="0.25">
      <c r="A1529">
        <v>69717801</v>
      </c>
      <c r="B1529">
        <v>2904</v>
      </c>
      <c r="C1529">
        <v>6864</v>
      </c>
      <c r="D1529" s="19">
        <v>46100</v>
      </c>
      <c r="E1529" t="s">
        <v>62</v>
      </c>
      <c r="F1529" t="s">
        <v>37</v>
      </c>
      <c r="G1529" t="e">
        <f>VLOOKUP($A1529,'CA-US List'!$A:$C,3,0)</f>
        <v>#N/A</v>
      </c>
      <c r="H1529" t="s">
        <v>9</v>
      </c>
    </row>
    <row r="1530" spans="1:8" x14ac:dyDescent="0.25">
      <c r="A1530">
        <v>69717801</v>
      </c>
      <c r="B1530">
        <v>2904</v>
      </c>
      <c r="C1530">
        <v>3316</v>
      </c>
      <c r="D1530" s="19">
        <v>46100</v>
      </c>
      <c r="E1530" t="s">
        <v>62</v>
      </c>
      <c r="F1530" t="s">
        <v>37</v>
      </c>
      <c r="G1530" t="e">
        <f>VLOOKUP($A1530,'CA-US List'!$A:$C,3,0)</f>
        <v>#N/A</v>
      </c>
      <c r="H1530" t="s">
        <v>9</v>
      </c>
    </row>
    <row r="1531" spans="1:8" x14ac:dyDescent="0.25">
      <c r="A1531">
        <v>69717801</v>
      </c>
      <c r="B1531">
        <v>2904</v>
      </c>
      <c r="C1531">
        <v>4719</v>
      </c>
      <c r="D1531" s="19">
        <v>46101</v>
      </c>
      <c r="E1531" t="s">
        <v>62</v>
      </c>
      <c r="F1531" t="s">
        <v>37</v>
      </c>
      <c r="G1531" t="e">
        <f>VLOOKUP($A1531,'CA-US List'!$A:$C,3,0)</f>
        <v>#N/A</v>
      </c>
      <c r="H1531" t="s">
        <v>9</v>
      </c>
    </row>
    <row r="1532" spans="1:8" x14ac:dyDescent="0.25">
      <c r="A1532">
        <v>69717801</v>
      </c>
      <c r="B1532">
        <v>2904</v>
      </c>
      <c r="C1532">
        <v>5134</v>
      </c>
      <c r="D1532" s="19">
        <v>46101</v>
      </c>
      <c r="E1532" t="s">
        <v>62</v>
      </c>
      <c r="F1532" t="s">
        <v>37</v>
      </c>
      <c r="G1532" t="e">
        <f>VLOOKUP($A1532,'CA-US List'!$A:$C,3,0)</f>
        <v>#N/A</v>
      </c>
      <c r="H1532" t="s">
        <v>9</v>
      </c>
    </row>
    <row r="1533" spans="1:8" x14ac:dyDescent="0.25">
      <c r="A1533">
        <v>69717801</v>
      </c>
      <c r="B1533">
        <v>2904</v>
      </c>
      <c r="C1533">
        <v>4901</v>
      </c>
      <c r="D1533" s="19">
        <v>46102</v>
      </c>
      <c r="E1533" t="s">
        <v>62</v>
      </c>
      <c r="F1533" t="s">
        <v>37</v>
      </c>
      <c r="G1533" t="e">
        <f>VLOOKUP($A1533,'CA-US List'!$A:$C,3,0)</f>
        <v>#N/A</v>
      </c>
      <c r="H1533" t="s">
        <v>9</v>
      </c>
    </row>
    <row r="1534" spans="1:8" x14ac:dyDescent="0.25">
      <c r="A1534">
        <v>69717801</v>
      </c>
      <c r="B1534">
        <v>2904</v>
      </c>
      <c r="C1534">
        <v>4547</v>
      </c>
      <c r="D1534" s="19">
        <v>46102</v>
      </c>
      <c r="E1534" t="s">
        <v>62</v>
      </c>
      <c r="F1534" t="s">
        <v>37</v>
      </c>
      <c r="G1534" t="e">
        <f>VLOOKUP($A1534,'CA-US List'!$A:$C,3,0)</f>
        <v>#N/A</v>
      </c>
      <c r="H1534" t="s">
        <v>9</v>
      </c>
    </row>
    <row r="1535" spans="1:8" x14ac:dyDescent="0.25">
      <c r="A1535">
        <v>69717801</v>
      </c>
      <c r="B1535">
        <v>2904</v>
      </c>
      <c r="C1535">
        <v>4147</v>
      </c>
      <c r="D1535" s="19">
        <v>46103</v>
      </c>
      <c r="E1535" t="s">
        <v>62</v>
      </c>
      <c r="F1535" t="s">
        <v>37</v>
      </c>
      <c r="G1535" t="e">
        <f>VLOOKUP($A1535,'CA-US List'!$A:$C,3,0)</f>
        <v>#N/A</v>
      </c>
      <c r="H1535" t="s">
        <v>9</v>
      </c>
    </row>
    <row r="1536" spans="1:8" x14ac:dyDescent="0.25">
      <c r="A1536">
        <v>69717801</v>
      </c>
      <c r="B1536">
        <v>2904</v>
      </c>
      <c r="C1536">
        <v>230</v>
      </c>
      <c r="D1536" s="19">
        <v>46103</v>
      </c>
      <c r="E1536" t="s">
        <v>62</v>
      </c>
      <c r="F1536" t="s">
        <v>37</v>
      </c>
      <c r="G1536" t="e">
        <f>VLOOKUP($A1536,'CA-US List'!$A:$C,3,0)</f>
        <v>#N/A</v>
      </c>
      <c r="H1536" t="s">
        <v>9</v>
      </c>
    </row>
    <row r="1537" spans="1:8" x14ac:dyDescent="0.25">
      <c r="A1537">
        <v>69717802</v>
      </c>
      <c r="B1537">
        <v>2904</v>
      </c>
      <c r="C1537">
        <v>4940</v>
      </c>
      <c r="D1537" s="19">
        <v>46076</v>
      </c>
      <c r="E1537" t="s">
        <v>66</v>
      </c>
      <c r="F1537" t="s">
        <v>37</v>
      </c>
      <c r="G1537" t="e">
        <f>VLOOKUP($A1537,'CA-US List'!$A:$C,3,0)</f>
        <v>#N/A</v>
      </c>
      <c r="H1537" t="s">
        <v>9</v>
      </c>
    </row>
    <row r="1538" spans="1:8" x14ac:dyDescent="0.25">
      <c r="A1538">
        <v>69717802</v>
      </c>
      <c r="B1538">
        <v>2904</v>
      </c>
      <c r="C1538">
        <v>4862</v>
      </c>
      <c r="D1538" s="19">
        <v>46104</v>
      </c>
      <c r="E1538" t="s">
        <v>66</v>
      </c>
      <c r="F1538" t="s">
        <v>37</v>
      </c>
      <c r="G1538" t="e">
        <f>VLOOKUP($A1538,'CA-US List'!$A:$C,3,0)</f>
        <v>#N/A</v>
      </c>
      <c r="H1538" t="s">
        <v>9</v>
      </c>
    </row>
    <row r="1539" spans="1:8" x14ac:dyDescent="0.25">
      <c r="A1539">
        <v>69717802</v>
      </c>
      <c r="B1539">
        <v>2904</v>
      </c>
      <c r="C1539">
        <v>3289</v>
      </c>
      <c r="D1539" s="19">
        <v>46105</v>
      </c>
      <c r="E1539" t="s">
        <v>66</v>
      </c>
      <c r="F1539" t="s">
        <v>37</v>
      </c>
      <c r="G1539" t="e">
        <f>VLOOKUP($A1539,'CA-US List'!$A:$C,3,0)</f>
        <v>#N/A</v>
      </c>
      <c r="H1539" t="s">
        <v>9</v>
      </c>
    </row>
    <row r="1540" spans="1:8" x14ac:dyDescent="0.25">
      <c r="A1540">
        <v>69717802</v>
      </c>
      <c r="B1540">
        <v>2904</v>
      </c>
      <c r="C1540">
        <v>3270</v>
      </c>
      <c r="D1540" s="19">
        <v>46105</v>
      </c>
      <c r="E1540" t="s">
        <v>66</v>
      </c>
      <c r="F1540" t="s">
        <v>37</v>
      </c>
      <c r="G1540" t="e">
        <f>VLOOKUP($A1540,'CA-US List'!$A:$C,3,0)</f>
        <v>#N/A</v>
      </c>
      <c r="H1540" t="s">
        <v>9</v>
      </c>
    </row>
    <row r="1541" spans="1:8" x14ac:dyDescent="0.25">
      <c r="A1541">
        <v>69717802</v>
      </c>
      <c r="B1541">
        <v>2904</v>
      </c>
      <c r="C1541">
        <v>1827</v>
      </c>
      <c r="D1541" s="19">
        <v>46076</v>
      </c>
      <c r="E1541" t="s">
        <v>66</v>
      </c>
      <c r="F1541" t="s">
        <v>37</v>
      </c>
      <c r="G1541" t="e">
        <f>VLOOKUP($A1541,'CA-US List'!$A:$C,3,0)</f>
        <v>#N/A</v>
      </c>
      <c r="H1541" t="s">
        <v>9</v>
      </c>
    </row>
    <row r="1542" spans="1:8" x14ac:dyDescent="0.25">
      <c r="A1542">
        <v>69717802</v>
      </c>
      <c r="B1542">
        <v>2904</v>
      </c>
      <c r="C1542">
        <v>2678</v>
      </c>
      <c r="D1542" s="19">
        <v>46104</v>
      </c>
      <c r="E1542" t="s">
        <v>66</v>
      </c>
      <c r="F1542" t="s">
        <v>37</v>
      </c>
      <c r="G1542" t="e">
        <f>VLOOKUP($A1542,'CA-US List'!$A:$C,3,0)</f>
        <v>#N/A</v>
      </c>
      <c r="H1542" t="s">
        <v>9</v>
      </c>
    </row>
    <row r="1543" spans="1:8" x14ac:dyDescent="0.25">
      <c r="A1543">
        <v>69717803</v>
      </c>
      <c r="B1543">
        <v>2904</v>
      </c>
      <c r="C1543">
        <v>4147</v>
      </c>
      <c r="D1543" s="19">
        <v>46084</v>
      </c>
      <c r="E1543" t="s">
        <v>128</v>
      </c>
      <c r="F1543" t="s">
        <v>37</v>
      </c>
      <c r="G1543" t="e">
        <f>VLOOKUP($A1543,'CA-US List'!$A:$C,3,0)</f>
        <v>#N/A</v>
      </c>
      <c r="H1543" t="s">
        <v>9</v>
      </c>
    </row>
    <row r="1544" spans="1:8" x14ac:dyDescent="0.25">
      <c r="A1544">
        <v>69717803</v>
      </c>
      <c r="B1544">
        <v>2904</v>
      </c>
      <c r="C1544">
        <v>4095</v>
      </c>
      <c r="D1544" s="19">
        <v>46085</v>
      </c>
      <c r="E1544" t="s">
        <v>128</v>
      </c>
      <c r="F1544" t="s">
        <v>37</v>
      </c>
      <c r="G1544" t="e">
        <f>VLOOKUP($A1544,'CA-US List'!$A:$C,3,0)</f>
        <v>#N/A</v>
      </c>
      <c r="H1544" t="s">
        <v>9</v>
      </c>
    </row>
    <row r="1545" spans="1:8" x14ac:dyDescent="0.25">
      <c r="A1545">
        <v>69717803</v>
      </c>
      <c r="B1545">
        <v>2904</v>
      </c>
      <c r="C1545">
        <v>1349</v>
      </c>
      <c r="D1545" s="19">
        <v>46083</v>
      </c>
      <c r="E1545" t="s">
        <v>128</v>
      </c>
      <c r="F1545" t="s">
        <v>37</v>
      </c>
      <c r="G1545" t="e">
        <f>VLOOKUP($A1545,'CA-US List'!$A:$C,3,0)</f>
        <v>#N/A</v>
      </c>
      <c r="H1545" t="s">
        <v>9</v>
      </c>
    </row>
    <row r="1546" spans="1:8" x14ac:dyDescent="0.25">
      <c r="A1546">
        <v>69717803</v>
      </c>
      <c r="B1546">
        <v>2904</v>
      </c>
      <c r="C1546">
        <v>1833</v>
      </c>
      <c r="D1546" s="19">
        <v>46084</v>
      </c>
      <c r="E1546" t="s">
        <v>128</v>
      </c>
      <c r="F1546" t="s">
        <v>37</v>
      </c>
      <c r="G1546" t="e">
        <f>VLOOKUP($A1546,'CA-US List'!$A:$C,3,0)</f>
        <v>#N/A</v>
      </c>
      <c r="H1546" t="s">
        <v>9</v>
      </c>
    </row>
    <row r="1547" spans="1:8" x14ac:dyDescent="0.25">
      <c r="A1547">
        <v>69717803</v>
      </c>
      <c r="B1547">
        <v>2904</v>
      </c>
      <c r="C1547">
        <v>2352</v>
      </c>
      <c r="D1547" s="19">
        <v>46085</v>
      </c>
      <c r="E1547" t="s">
        <v>128</v>
      </c>
      <c r="F1547" t="s">
        <v>37</v>
      </c>
      <c r="G1547" t="e">
        <f>VLOOKUP($A1547,'CA-US List'!$A:$C,3,0)</f>
        <v>#N/A</v>
      </c>
      <c r="H1547" t="s">
        <v>9</v>
      </c>
    </row>
    <row r="1548" spans="1:8" x14ac:dyDescent="0.25">
      <c r="A1548">
        <v>69717803</v>
      </c>
      <c r="B1548">
        <v>2904</v>
      </c>
      <c r="C1548">
        <v>2215</v>
      </c>
      <c r="D1548" s="19">
        <v>46086</v>
      </c>
      <c r="E1548" t="s">
        <v>128</v>
      </c>
      <c r="F1548" t="s">
        <v>37</v>
      </c>
      <c r="G1548" t="e">
        <f>VLOOKUP($A1548,'CA-US List'!$A:$C,3,0)</f>
        <v>#N/A</v>
      </c>
      <c r="H1548" t="s">
        <v>9</v>
      </c>
    </row>
    <row r="1549" spans="1:8" x14ac:dyDescent="0.25">
      <c r="A1549">
        <v>69717803</v>
      </c>
      <c r="B1549">
        <v>2904</v>
      </c>
      <c r="C1549">
        <v>2593</v>
      </c>
      <c r="D1549" s="19">
        <v>46087</v>
      </c>
      <c r="E1549" t="s">
        <v>128</v>
      </c>
      <c r="F1549" t="s">
        <v>37</v>
      </c>
      <c r="G1549" t="e">
        <f>VLOOKUP($A1549,'CA-US List'!$A:$C,3,0)</f>
        <v>#N/A</v>
      </c>
      <c r="H1549" t="s">
        <v>9</v>
      </c>
    </row>
    <row r="1550" spans="1:8" x14ac:dyDescent="0.25">
      <c r="A1550">
        <v>69717803</v>
      </c>
      <c r="B1550">
        <v>2904</v>
      </c>
      <c r="C1550">
        <v>2145</v>
      </c>
      <c r="D1550" s="19">
        <v>46087</v>
      </c>
      <c r="E1550" t="s">
        <v>128</v>
      </c>
      <c r="F1550" t="s">
        <v>37</v>
      </c>
      <c r="G1550" t="e">
        <f>VLOOKUP($A1550,'CA-US List'!$A:$C,3,0)</f>
        <v>#N/A</v>
      </c>
      <c r="H1550" t="s">
        <v>9</v>
      </c>
    </row>
    <row r="1551" spans="1:8" x14ac:dyDescent="0.25">
      <c r="A1551">
        <v>69717803</v>
      </c>
      <c r="B1551">
        <v>2904</v>
      </c>
      <c r="C1551">
        <v>2717</v>
      </c>
      <c r="D1551" s="19">
        <v>46088</v>
      </c>
      <c r="E1551" t="s">
        <v>128</v>
      </c>
      <c r="F1551" t="s">
        <v>37</v>
      </c>
      <c r="G1551" t="e">
        <f>VLOOKUP($A1551,'CA-US List'!$A:$C,3,0)</f>
        <v>#N/A</v>
      </c>
      <c r="H1551" t="s">
        <v>9</v>
      </c>
    </row>
    <row r="1552" spans="1:8" x14ac:dyDescent="0.25">
      <c r="A1552">
        <v>69717803</v>
      </c>
      <c r="B1552">
        <v>2904</v>
      </c>
      <c r="C1552">
        <v>143</v>
      </c>
      <c r="D1552" s="19">
        <v>46090</v>
      </c>
      <c r="E1552" t="s">
        <v>128</v>
      </c>
      <c r="F1552" t="s">
        <v>37</v>
      </c>
      <c r="G1552" t="e">
        <f>VLOOKUP($A1552,'CA-US List'!$A:$C,3,0)</f>
        <v>#N/A</v>
      </c>
      <c r="H1552" t="s">
        <v>9</v>
      </c>
    </row>
    <row r="1553" spans="1:8" x14ac:dyDescent="0.25">
      <c r="A1553">
        <v>69717803</v>
      </c>
      <c r="B1553">
        <v>2904</v>
      </c>
      <c r="C1553">
        <v>1682</v>
      </c>
      <c r="D1553" s="19">
        <v>46088</v>
      </c>
      <c r="E1553" t="s">
        <v>128</v>
      </c>
      <c r="F1553" t="s">
        <v>37</v>
      </c>
      <c r="G1553" t="e">
        <f>VLOOKUP($A1553,'CA-US List'!$A:$C,3,0)</f>
        <v>#N/A</v>
      </c>
      <c r="H1553" t="s">
        <v>9</v>
      </c>
    </row>
    <row r="1554" spans="1:8" x14ac:dyDescent="0.25">
      <c r="A1554">
        <v>69717803</v>
      </c>
      <c r="B1554">
        <v>2904</v>
      </c>
      <c r="C1554">
        <v>1326</v>
      </c>
      <c r="D1554" s="19">
        <v>46089</v>
      </c>
      <c r="E1554" t="s">
        <v>128</v>
      </c>
      <c r="F1554" t="s">
        <v>37</v>
      </c>
      <c r="G1554" t="e">
        <f>VLOOKUP($A1554,'CA-US List'!$A:$C,3,0)</f>
        <v>#N/A</v>
      </c>
      <c r="H1554" t="s">
        <v>9</v>
      </c>
    </row>
    <row r="1555" spans="1:8" x14ac:dyDescent="0.25">
      <c r="A1555">
        <v>69717803</v>
      </c>
      <c r="B1555">
        <v>2904</v>
      </c>
      <c r="C1555">
        <v>76</v>
      </c>
      <c r="D1555" s="19">
        <v>46090</v>
      </c>
      <c r="E1555" t="s">
        <v>128</v>
      </c>
      <c r="F1555" t="s">
        <v>37</v>
      </c>
      <c r="G1555" t="e">
        <f>VLOOKUP($A1555,'CA-US List'!$A:$C,3,0)</f>
        <v>#N/A</v>
      </c>
      <c r="H1555" t="s">
        <v>9</v>
      </c>
    </row>
    <row r="1556" spans="1:8" x14ac:dyDescent="0.25">
      <c r="A1556">
        <v>69717803</v>
      </c>
      <c r="B1556">
        <v>2904</v>
      </c>
      <c r="C1556">
        <v>3316</v>
      </c>
      <c r="D1556" s="19">
        <v>46089</v>
      </c>
      <c r="E1556" t="s">
        <v>128</v>
      </c>
      <c r="F1556" t="s">
        <v>37</v>
      </c>
      <c r="G1556" t="e">
        <f>VLOOKUP($A1556,'CA-US List'!$A:$C,3,0)</f>
        <v>#N/A</v>
      </c>
      <c r="H1556" t="s">
        <v>9</v>
      </c>
    </row>
    <row r="1557" spans="1:8" x14ac:dyDescent="0.25">
      <c r="A1557">
        <v>69717803</v>
      </c>
      <c r="B1557">
        <v>2904</v>
      </c>
      <c r="C1557">
        <v>2953</v>
      </c>
      <c r="D1557" s="19">
        <v>46090</v>
      </c>
      <c r="E1557" t="s">
        <v>128</v>
      </c>
      <c r="F1557" t="s">
        <v>37</v>
      </c>
      <c r="G1557" t="e">
        <f>VLOOKUP($A1557,'CA-US List'!$A:$C,3,0)</f>
        <v>#N/A</v>
      </c>
      <c r="H1557" t="s">
        <v>9</v>
      </c>
    </row>
    <row r="1558" spans="1:8" x14ac:dyDescent="0.25">
      <c r="A1558">
        <v>69717803</v>
      </c>
      <c r="B1558">
        <v>2904</v>
      </c>
      <c r="C1558">
        <v>99</v>
      </c>
      <c r="D1558" s="19">
        <v>46083</v>
      </c>
      <c r="E1558" t="s">
        <v>128</v>
      </c>
      <c r="F1558" t="s">
        <v>37</v>
      </c>
      <c r="G1558" t="e">
        <f>VLOOKUP($A1558,'CA-US List'!$A:$C,3,0)</f>
        <v>#N/A</v>
      </c>
      <c r="H1558" t="s">
        <v>9</v>
      </c>
    </row>
    <row r="1559" spans="1:8" x14ac:dyDescent="0.25">
      <c r="A1559">
        <v>69717803</v>
      </c>
      <c r="B1559">
        <v>2904</v>
      </c>
      <c r="C1559">
        <v>2135</v>
      </c>
      <c r="D1559" s="19">
        <v>46090</v>
      </c>
      <c r="E1559" t="s">
        <v>128</v>
      </c>
      <c r="F1559" t="s">
        <v>37</v>
      </c>
      <c r="G1559" t="e">
        <f>VLOOKUP($A1559,'CA-US List'!$A:$C,3,0)</f>
        <v>#N/A</v>
      </c>
      <c r="H1559" t="s">
        <v>9</v>
      </c>
    </row>
    <row r="1560" spans="1:8" x14ac:dyDescent="0.25">
      <c r="A1560">
        <v>69983234</v>
      </c>
      <c r="B1560">
        <v>2904</v>
      </c>
      <c r="C1560">
        <v>1330</v>
      </c>
      <c r="D1560" s="19">
        <v>46076</v>
      </c>
      <c r="E1560" t="s">
        <v>751</v>
      </c>
      <c r="F1560" t="s">
        <v>49</v>
      </c>
      <c r="G1560" t="e">
        <f>VLOOKUP($A1560,'CA-US List'!$A:$C,3,0)</f>
        <v>#N/A</v>
      </c>
      <c r="H1560" t="s">
        <v>9</v>
      </c>
    </row>
    <row r="1561" spans="1:8" x14ac:dyDescent="0.25">
      <c r="A1561">
        <v>69983234</v>
      </c>
      <c r="B1561">
        <v>2904</v>
      </c>
      <c r="C1561">
        <v>2618</v>
      </c>
      <c r="D1561" s="19">
        <v>46077</v>
      </c>
      <c r="E1561" t="s">
        <v>751</v>
      </c>
      <c r="F1561" t="s">
        <v>49</v>
      </c>
      <c r="G1561" t="e">
        <f>VLOOKUP($A1561,'CA-US List'!$A:$C,3,0)</f>
        <v>#N/A</v>
      </c>
      <c r="H1561" t="s">
        <v>9</v>
      </c>
    </row>
    <row r="1562" spans="1:8" x14ac:dyDescent="0.25">
      <c r="A1562">
        <v>69983234</v>
      </c>
      <c r="B1562">
        <v>2904</v>
      </c>
      <c r="C1562">
        <v>2742</v>
      </c>
      <c r="D1562" s="19">
        <v>46077</v>
      </c>
      <c r="E1562" t="s">
        <v>751</v>
      </c>
      <c r="F1562" t="s">
        <v>49</v>
      </c>
      <c r="G1562" t="e">
        <f>VLOOKUP($A1562,'CA-US List'!$A:$C,3,0)</f>
        <v>#N/A</v>
      </c>
      <c r="H1562" t="s">
        <v>9</v>
      </c>
    </row>
    <row r="1563" spans="1:8" x14ac:dyDescent="0.25">
      <c r="A1563">
        <v>69983234</v>
      </c>
      <c r="B1563">
        <v>2904</v>
      </c>
      <c r="C1563">
        <v>2156</v>
      </c>
      <c r="D1563" s="19">
        <v>46078</v>
      </c>
      <c r="E1563" t="s">
        <v>751</v>
      </c>
      <c r="F1563" t="s">
        <v>49</v>
      </c>
      <c r="G1563" t="e">
        <f>VLOOKUP($A1563,'CA-US List'!$A:$C,3,0)</f>
        <v>#N/A</v>
      </c>
      <c r="H1563" t="s">
        <v>9</v>
      </c>
    </row>
    <row r="1564" spans="1:8" x14ac:dyDescent="0.25">
      <c r="A1564">
        <v>69983234</v>
      </c>
      <c r="B1564">
        <v>2904</v>
      </c>
      <c r="C1564">
        <v>3388</v>
      </c>
      <c r="D1564" s="19">
        <v>46078</v>
      </c>
      <c r="E1564" t="s">
        <v>751</v>
      </c>
      <c r="F1564" t="s">
        <v>49</v>
      </c>
      <c r="G1564" t="e">
        <f>VLOOKUP($A1564,'CA-US List'!$A:$C,3,0)</f>
        <v>#N/A</v>
      </c>
      <c r="H1564" t="s">
        <v>9</v>
      </c>
    </row>
    <row r="1565" spans="1:8" x14ac:dyDescent="0.25">
      <c r="A1565">
        <v>69983234</v>
      </c>
      <c r="B1565">
        <v>2904</v>
      </c>
      <c r="C1565">
        <v>2427</v>
      </c>
      <c r="D1565" s="19">
        <v>46079</v>
      </c>
      <c r="E1565" t="s">
        <v>751</v>
      </c>
      <c r="F1565" t="s">
        <v>49</v>
      </c>
      <c r="G1565" t="e">
        <f>VLOOKUP($A1565,'CA-US List'!$A:$C,3,0)</f>
        <v>#N/A</v>
      </c>
      <c r="H1565" t="s">
        <v>9</v>
      </c>
    </row>
    <row r="1566" spans="1:8" x14ac:dyDescent="0.25">
      <c r="A1566">
        <v>69983234</v>
      </c>
      <c r="B1566">
        <v>2904</v>
      </c>
      <c r="C1566">
        <v>2552</v>
      </c>
      <c r="D1566" s="19">
        <v>46079</v>
      </c>
      <c r="E1566" t="s">
        <v>751</v>
      </c>
      <c r="F1566" t="s">
        <v>49</v>
      </c>
      <c r="G1566" t="e">
        <f>VLOOKUP($A1566,'CA-US List'!$A:$C,3,0)</f>
        <v>#N/A</v>
      </c>
      <c r="H1566" t="s">
        <v>9</v>
      </c>
    </row>
    <row r="1567" spans="1:8" x14ac:dyDescent="0.25">
      <c r="A1567">
        <v>69983234</v>
      </c>
      <c r="B1567">
        <v>2904</v>
      </c>
      <c r="C1567">
        <v>2475</v>
      </c>
      <c r="D1567" s="19">
        <v>46080</v>
      </c>
      <c r="E1567" t="s">
        <v>751</v>
      </c>
      <c r="F1567" t="s">
        <v>49</v>
      </c>
      <c r="G1567" t="e">
        <f>VLOOKUP($A1567,'CA-US List'!$A:$C,3,0)</f>
        <v>#N/A</v>
      </c>
      <c r="H1567" t="s">
        <v>9</v>
      </c>
    </row>
    <row r="1568" spans="1:8" x14ac:dyDescent="0.25">
      <c r="A1568">
        <v>69983234</v>
      </c>
      <c r="B1568">
        <v>2904</v>
      </c>
      <c r="C1568">
        <v>1848</v>
      </c>
      <c r="D1568" s="19">
        <v>46080</v>
      </c>
      <c r="E1568" t="s">
        <v>751</v>
      </c>
      <c r="F1568" t="s">
        <v>49</v>
      </c>
      <c r="G1568" t="e">
        <f>VLOOKUP($A1568,'CA-US List'!$A:$C,3,0)</f>
        <v>#N/A</v>
      </c>
      <c r="H1568" t="s">
        <v>9</v>
      </c>
    </row>
    <row r="1569" spans="1:8" x14ac:dyDescent="0.25">
      <c r="A1569">
        <v>69983234</v>
      </c>
      <c r="B1569">
        <v>2904</v>
      </c>
      <c r="C1569">
        <v>754</v>
      </c>
      <c r="D1569" s="19">
        <v>46081</v>
      </c>
      <c r="E1569" t="s">
        <v>751</v>
      </c>
      <c r="F1569" t="s">
        <v>49</v>
      </c>
      <c r="G1569" t="e">
        <f>VLOOKUP($A1569,'CA-US List'!$A:$C,3,0)</f>
        <v>#N/A</v>
      </c>
      <c r="H1569" t="s">
        <v>9</v>
      </c>
    </row>
    <row r="1570" spans="1:8" x14ac:dyDescent="0.25">
      <c r="A1570">
        <v>69983234</v>
      </c>
      <c r="B1570">
        <v>2904</v>
      </c>
      <c r="C1570">
        <v>1104</v>
      </c>
      <c r="D1570" s="19">
        <v>46083</v>
      </c>
      <c r="E1570" t="s">
        <v>751</v>
      </c>
      <c r="F1570" t="s">
        <v>49</v>
      </c>
      <c r="G1570" t="e">
        <f>VLOOKUP($A1570,'CA-US List'!$A:$C,3,0)</f>
        <v>#N/A</v>
      </c>
      <c r="H1570" t="s">
        <v>9</v>
      </c>
    </row>
    <row r="1571" spans="1:8" x14ac:dyDescent="0.25">
      <c r="A1571">
        <v>69983234</v>
      </c>
      <c r="B1571">
        <v>2904</v>
      </c>
      <c r="C1571">
        <v>1484</v>
      </c>
      <c r="D1571" s="19">
        <v>46084</v>
      </c>
      <c r="E1571" t="s">
        <v>751</v>
      </c>
      <c r="F1571" t="s">
        <v>49</v>
      </c>
      <c r="G1571" t="e">
        <f>VLOOKUP($A1571,'CA-US List'!$A:$C,3,0)</f>
        <v>#N/A</v>
      </c>
      <c r="H1571" t="s">
        <v>9</v>
      </c>
    </row>
    <row r="1572" spans="1:8" x14ac:dyDescent="0.25">
      <c r="A1572">
        <v>69983234</v>
      </c>
      <c r="B1572">
        <v>2904</v>
      </c>
      <c r="C1572">
        <v>2067</v>
      </c>
      <c r="D1572" s="19">
        <v>46084</v>
      </c>
      <c r="E1572" t="s">
        <v>751</v>
      </c>
      <c r="F1572" t="s">
        <v>49</v>
      </c>
      <c r="G1572" t="e">
        <f>VLOOKUP($A1572,'CA-US List'!$A:$C,3,0)</f>
        <v>#N/A</v>
      </c>
      <c r="H1572" t="s">
        <v>9</v>
      </c>
    </row>
    <row r="1573" spans="1:8" x14ac:dyDescent="0.25">
      <c r="A1573">
        <v>69983234</v>
      </c>
      <c r="B1573">
        <v>2904</v>
      </c>
      <c r="C1573">
        <v>1670</v>
      </c>
      <c r="D1573" s="19">
        <v>46085</v>
      </c>
      <c r="E1573" t="s">
        <v>751</v>
      </c>
      <c r="F1573" t="s">
        <v>49</v>
      </c>
      <c r="G1573" t="e">
        <f>VLOOKUP($A1573,'CA-US List'!$A:$C,3,0)</f>
        <v>#N/A</v>
      </c>
      <c r="H1573" t="s">
        <v>9</v>
      </c>
    </row>
    <row r="1574" spans="1:8" x14ac:dyDescent="0.25">
      <c r="A1574">
        <v>69983234</v>
      </c>
      <c r="B1574">
        <v>2904</v>
      </c>
      <c r="C1574">
        <v>1261</v>
      </c>
      <c r="D1574" s="19">
        <v>46085</v>
      </c>
      <c r="E1574" t="s">
        <v>751</v>
      </c>
      <c r="F1574" t="s">
        <v>49</v>
      </c>
      <c r="G1574" t="e">
        <f>VLOOKUP($A1574,'CA-US List'!$A:$C,3,0)</f>
        <v>#N/A</v>
      </c>
      <c r="H1574" t="s">
        <v>9</v>
      </c>
    </row>
    <row r="1575" spans="1:8" x14ac:dyDescent="0.25">
      <c r="A1575">
        <v>69983234</v>
      </c>
      <c r="B1575">
        <v>2904</v>
      </c>
      <c r="C1575">
        <v>2691</v>
      </c>
      <c r="D1575" s="19">
        <v>46086</v>
      </c>
      <c r="E1575" t="s">
        <v>751</v>
      </c>
      <c r="F1575" t="s">
        <v>49</v>
      </c>
      <c r="G1575" t="e">
        <f>VLOOKUP($A1575,'CA-US List'!$A:$C,3,0)</f>
        <v>#N/A</v>
      </c>
      <c r="H1575" t="s">
        <v>9</v>
      </c>
    </row>
    <row r="1576" spans="1:8" x14ac:dyDescent="0.25">
      <c r="A1576">
        <v>69983234</v>
      </c>
      <c r="B1576">
        <v>2904</v>
      </c>
      <c r="C1576">
        <v>2398</v>
      </c>
      <c r="D1576" s="19">
        <v>46086</v>
      </c>
      <c r="E1576" t="s">
        <v>751</v>
      </c>
      <c r="F1576" t="s">
        <v>49</v>
      </c>
      <c r="G1576" t="e">
        <f>VLOOKUP($A1576,'CA-US List'!$A:$C,3,0)</f>
        <v>#N/A</v>
      </c>
      <c r="H1576" t="s">
        <v>9</v>
      </c>
    </row>
    <row r="1577" spans="1:8" x14ac:dyDescent="0.25">
      <c r="A1577">
        <v>69983234</v>
      </c>
      <c r="B1577">
        <v>2904</v>
      </c>
      <c r="C1577">
        <v>2233</v>
      </c>
      <c r="D1577" s="19">
        <v>46087</v>
      </c>
      <c r="E1577" t="s">
        <v>751</v>
      </c>
      <c r="F1577" t="s">
        <v>49</v>
      </c>
      <c r="G1577" t="e">
        <f>VLOOKUP($A1577,'CA-US List'!$A:$C,3,0)</f>
        <v>#N/A</v>
      </c>
      <c r="H1577" t="s">
        <v>9</v>
      </c>
    </row>
    <row r="1578" spans="1:8" x14ac:dyDescent="0.25">
      <c r="A1578">
        <v>69983234</v>
      </c>
      <c r="B1578">
        <v>2904</v>
      </c>
      <c r="C1578">
        <v>2310</v>
      </c>
      <c r="D1578" s="19">
        <v>46087</v>
      </c>
      <c r="E1578" t="s">
        <v>751</v>
      </c>
      <c r="F1578" t="s">
        <v>49</v>
      </c>
      <c r="G1578" t="e">
        <f>VLOOKUP($A1578,'CA-US List'!$A:$C,3,0)</f>
        <v>#N/A</v>
      </c>
      <c r="H1578" t="s">
        <v>9</v>
      </c>
    </row>
    <row r="1579" spans="1:8" x14ac:dyDescent="0.25">
      <c r="A1579">
        <v>69983234</v>
      </c>
      <c r="B1579">
        <v>2904</v>
      </c>
      <c r="C1579">
        <v>1440</v>
      </c>
      <c r="D1579" s="19">
        <v>46088</v>
      </c>
      <c r="E1579" t="s">
        <v>751</v>
      </c>
      <c r="F1579" t="s">
        <v>49</v>
      </c>
      <c r="G1579" t="e">
        <f>VLOOKUP($A1579,'CA-US List'!$A:$C,3,0)</f>
        <v>#N/A</v>
      </c>
      <c r="H1579" t="s">
        <v>9</v>
      </c>
    </row>
    <row r="1580" spans="1:8" x14ac:dyDescent="0.25">
      <c r="A1580">
        <v>69983234</v>
      </c>
      <c r="B1580">
        <v>2904</v>
      </c>
      <c r="C1580">
        <v>2135</v>
      </c>
      <c r="D1580" s="19">
        <v>46090</v>
      </c>
      <c r="E1580" t="s">
        <v>751</v>
      </c>
      <c r="F1580" t="s">
        <v>49</v>
      </c>
      <c r="G1580" t="e">
        <f>VLOOKUP($A1580,'CA-US List'!$A:$C,3,0)</f>
        <v>#N/A</v>
      </c>
      <c r="H1580" t="s">
        <v>9</v>
      </c>
    </row>
    <row r="1581" spans="1:8" x14ac:dyDescent="0.25">
      <c r="A1581">
        <v>69983234</v>
      </c>
      <c r="B1581">
        <v>2904</v>
      </c>
      <c r="C1581">
        <v>2682</v>
      </c>
      <c r="D1581" s="19">
        <v>46091</v>
      </c>
      <c r="E1581" t="s">
        <v>751</v>
      </c>
      <c r="F1581" t="s">
        <v>49</v>
      </c>
      <c r="G1581" t="e">
        <f>VLOOKUP($A1581,'CA-US List'!$A:$C,3,0)</f>
        <v>#N/A</v>
      </c>
      <c r="H1581" t="s">
        <v>9</v>
      </c>
    </row>
    <row r="1582" spans="1:8" x14ac:dyDescent="0.25">
      <c r="A1582">
        <v>69983234</v>
      </c>
      <c r="B1582">
        <v>2904</v>
      </c>
      <c r="C1582">
        <v>2129</v>
      </c>
      <c r="D1582" s="19">
        <v>46091</v>
      </c>
      <c r="E1582" t="s">
        <v>751</v>
      </c>
      <c r="F1582" t="s">
        <v>49</v>
      </c>
      <c r="G1582" t="e">
        <f>VLOOKUP($A1582,'CA-US List'!$A:$C,3,0)</f>
        <v>#N/A</v>
      </c>
      <c r="H1582" t="s">
        <v>9</v>
      </c>
    </row>
    <row r="1583" spans="1:8" x14ac:dyDescent="0.25">
      <c r="A1583">
        <v>69983234</v>
      </c>
      <c r="B1583">
        <v>2904</v>
      </c>
      <c r="C1583">
        <v>2310</v>
      </c>
      <c r="D1583" s="19">
        <v>46092</v>
      </c>
      <c r="E1583" t="s">
        <v>751</v>
      </c>
      <c r="F1583" t="s">
        <v>49</v>
      </c>
      <c r="G1583" t="e">
        <f>VLOOKUP($A1583,'CA-US List'!$A:$C,3,0)</f>
        <v>#N/A</v>
      </c>
      <c r="H1583" t="s">
        <v>9</v>
      </c>
    </row>
    <row r="1584" spans="1:8" x14ac:dyDescent="0.25">
      <c r="A1584">
        <v>69983234</v>
      </c>
      <c r="B1584">
        <v>2904</v>
      </c>
      <c r="C1584">
        <v>2464</v>
      </c>
      <c r="D1584" s="19">
        <v>46092</v>
      </c>
      <c r="E1584" t="s">
        <v>751</v>
      </c>
      <c r="F1584" t="s">
        <v>49</v>
      </c>
      <c r="G1584" t="e">
        <f>VLOOKUP($A1584,'CA-US List'!$A:$C,3,0)</f>
        <v>#N/A</v>
      </c>
      <c r="H1584" t="s">
        <v>9</v>
      </c>
    </row>
    <row r="1585" spans="1:8" x14ac:dyDescent="0.25">
      <c r="A1585">
        <v>69983234</v>
      </c>
      <c r="B1585">
        <v>2904</v>
      </c>
      <c r="C1585">
        <v>1592</v>
      </c>
      <c r="D1585" s="19">
        <v>46093</v>
      </c>
      <c r="E1585" t="s">
        <v>751</v>
      </c>
      <c r="F1585" t="s">
        <v>49</v>
      </c>
      <c r="G1585" t="e">
        <f>VLOOKUP($A1585,'CA-US List'!$A:$C,3,0)</f>
        <v>#N/A</v>
      </c>
      <c r="H1585" t="s">
        <v>9</v>
      </c>
    </row>
    <row r="1586" spans="1:8" x14ac:dyDescent="0.25">
      <c r="A1586">
        <v>69999266</v>
      </c>
      <c r="B1586">
        <v>2904</v>
      </c>
      <c r="C1586">
        <v>4249</v>
      </c>
      <c r="D1586" s="19">
        <v>46105</v>
      </c>
      <c r="E1586" t="s">
        <v>145</v>
      </c>
      <c r="F1586" t="s">
        <v>54</v>
      </c>
      <c r="G1586" t="e">
        <f>VLOOKUP($A1586,'CA-US List'!$A:$C,3,0)</f>
        <v>#N/A</v>
      </c>
      <c r="H1586" t="s">
        <v>9</v>
      </c>
    </row>
    <row r="1587" spans="1:8" x14ac:dyDescent="0.25">
      <c r="A1587">
        <v>69999266</v>
      </c>
      <c r="B1587">
        <v>2904</v>
      </c>
      <c r="C1587">
        <v>5605</v>
      </c>
      <c r="D1587" s="19">
        <v>46105</v>
      </c>
      <c r="E1587" t="s">
        <v>145</v>
      </c>
      <c r="F1587" t="s">
        <v>54</v>
      </c>
      <c r="G1587" t="e">
        <f>VLOOKUP($A1587,'CA-US List'!$A:$C,3,0)</f>
        <v>#N/A</v>
      </c>
      <c r="H1587" t="s">
        <v>9</v>
      </c>
    </row>
    <row r="1588" spans="1:8" x14ac:dyDescent="0.25">
      <c r="A1588">
        <v>69999267</v>
      </c>
      <c r="B1588">
        <v>2904</v>
      </c>
      <c r="C1588">
        <v>195</v>
      </c>
      <c r="D1588" s="19">
        <v>46076</v>
      </c>
      <c r="E1588" t="s">
        <v>117</v>
      </c>
      <c r="F1588" t="s">
        <v>54</v>
      </c>
      <c r="G1588" t="e">
        <f>VLOOKUP($A1588,'CA-US List'!$A:$C,3,0)</f>
        <v>#N/A</v>
      </c>
      <c r="H1588" t="s">
        <v>9</v>
      </c>
    </row>
    <row r="1589" spans="1:8" x14ac:dyDescent="0.25">
      <c r="A1589">
        <v>69999267</v>
      </c>
      <c r="B1589">
        <v>2904</v>
      </c>
      <c r="C1589">
        <v>2939</v>
      </c>
      <c r="D1589" s="19">
        <v>46097</v>
      </c>
      <c r="E1589" t="s">
        <v>117</v>
      </c>
      <c r="F1589" t="s">
        <v>54</v>
      </c>
      <c r="G1589" t="e">
        <f>VLOOKUP($A1589,'CA-US List'!$A:$C,3,0)</f>
        <v>#N/A</v>
      </c>
      <c r="H1589" t="s">
        <v>9</v>
      </c>
    </row>
    <row r="1590" spans="1:8" x14ac:dyDescent="0.25">
      <c r="A1590">
        <v>69999267</v>
      </c>
      <c r="B1590">
        <v>2904</v>
      </c>
      <c r="C1590">
        <v>6511</v>
      </c>
      <c r="D1590" s="19">
        <v>46098</v>
      </c>
      <c r="E1590" t="s">
        <v>117</v>
      </c>
      <c r="F1590" t="s">
        <v>54</v>
      </c>
      <c r="G1590" t="e">
        <f>VLOOKUP($A1590,'CA-US List'!$A:$C,3,0)</f>
        <v>#N/A</v>
      </c>
      <c r="H1590" t="s">
        <v>9</v>
      </c>
    </row>
    <row r="1591" spans="1:8" x14ac:dyDescent="0.25">
      <c r="A1591">
        <v>69999267</v>
      </c>
      <c r="B1591">
        <v>2904</v>
      </c>
      <c r="C1591">
        <v>9519</v>
      </c>
      <c r="D1591" s="19">
        <v>46098</v>
      </c>
      <c r="E1591" t="s">
        <v>117</v>
      </c>
      <c r="F1591" t="s">
        <v>54</v>
      </c>
      <c r="G1591" t="e">
        <f>VLOOKUP($A1591,'CA-US List'!$A:$C,3,0)</f>
        <v>#N/A</v>
      </c>
      <c r="H1591" t="s">
        <v>9</v>
      </c>
    </row>
    <row r="1592" spans="1:8" x14ac:dyDescent="0.25">
      <c r="A1592">
        <v>69999267</v>
      </c>
      <c r="B1592">
        <v>2904</v>
      </c>
      <c r="C1592">
        <v>9794</v>
      </c>
      <c r="D1592" s="19">
        <v>46099</v>
      </c>
      <c r="E1592" t="s">
        <v>117</v>
      </c>
      <c r="F1592" t="s">
        <v>54</v>
      </c>
      <c r="G1592" t="e">
        <f>VLOOKUP($A1592,'CA-US List'!$A:$C,3,0)</f>
        <v>#N/A</v>
      </c>
      <c r="H1592" t="s">
        <v>9</v>
      </c>
    </row>
    <row r="1593" spans="1:8" x14ac:dyDescent="0.25">
      <c r="A1593">
        <v>69999267</v>
      </c>
      <c r="B1593">
        <v>2904</v>
      </c>
      <c r="C1593">
        <v>9945</v>
      </c>
      <c r="D1593" s="19">
        <v>46099</v>
      </c>
      <c r="E1593" t="s">
        <v>117</v>
      </c>
      <c r="F1593" t="s">
        <v>54</v>
      </c>
      <c r="G1593" t="e">
        <f>VLOOKUP($A1593,'CA-US List'!$A:$C,3,0)</f>
        <v>#N/A</v>
      </c>
      <c r="H1593" t="s">
        <v>9</v>
      </c>
    </row>
    <row r="1594" spans="1:8" x14ac:dyDescent="0.25">
      <c r="A1594">
        <v>69999267</v>
      </c>
      <c r="B1594">
        <v>2904</v>
      </c>
      <c r="C1594">
        <v>6822</v>
      </c>
      <c r="D1594" s="19">
        <v>46100</v>
      </c>
      <c r="E1594" t="s">
        <v>117</v>
      </c>
      <c r="F1594" t="s">
        <v>54</v>
      </c>
      <c r="G1594" t="e">
        <f>VLOOKUP($A1594,'CA-US List'!$A:$C,3,0)</f>
        <v>#N/A</v>
      </c>
      <c r="H1594" t="s">
        <v>9</v>
      </c>
    </row>
    <row r="1595" spans="1:8" x14ac:dyDescent="0.25">
      <c r="A1595">
        <v>69999267</v>
      </c>
      <c r="B1595">
        <v>2904</v>
      </c>
      <c r="C1595">
        <v>-17</v>
      </c>
      <c r="D1595" s="19">
        <v>46105</v>
      </c>
      <c r="E1595" t="s">
        <v>117</v>
      </c>
      <c r="F1595" t="s">
        <v>54</v>
      </c>
      <c r="G1595" t="e">
        <f>VLOOKUP($A1595,'CA-US List'!$A:$C,3,0)</f>
        <v>#N/A</v>
      </c>
      <c r="H1595" t="s">
        <v>9</v>
      </c>
    </row>
    <row r="1596" spans="1:8" x14ac:dyDescent="0.25">
      <c r="A1596">
        <v>69999267</v>
      </c>
      <c r="B1596">
        <v>2904</v>
      </c>
      <c r="C1596">
        <v>0</v>
      </c>
      <c r="D1596" s="19">
        <v>46101</v>
      </c>
      <c r="E1596" t="s">
        <v>117</v>
      </c>
      <c r="F1596" t="s">
        <v>54</v>
      </c>
      <c r="G1596" t="e">
        <f>VLOOKUP($A1596,'CA-US List'!$A:$C,3,0)</f>
        <v>#N/A</v>
      </c>
      <c r="H1596" t="s">
        <v>9</v>
      </c>
    </row>
    <row r="1597" spans="1:8" x14ac:dyDescent="0.25">
      <c r="A1597">
        <v>69999268</v>
      </c>
      <c r="B1597">
        <v>2904</v>
      </c>
      <c r="C1597">
        <v>5425</v>
      </c>
      <c r="D1597" s="19">
        <v>46086</v>
      </c>
      <c r="E1597" t="s">
        <v>126</v>
      </c>
      <c r="F1597" t="s">
        <v>54</v>
      </c>
      <c r="G1597" t="e">
        <f>VLOOKUP($A1597,'CA-US List'!$A:$C,3,0)</f>
        <v>#N/A</v>
      </c>
      <c r="H1597" t="s">
        <v>9</v>
      </c>
    </row>
    <row r="1598" spans="1:8" x14ac:dyDescent="0.25">
      <c r="A1598">
        <v>69999268</v>
      </c>
      <c r="B1598">
        <v>2904</v>
      </c>
      <c r="C1598">
        <v>6000</v>
      </c>
      <c r="D1598" s="19">
        <v>46087</v>
      </c>
      <c r="E1598" t="s">
        <v>126</v>
      </c>
      <c r="F1598" t="s">
        <v>54</v>
      </c>
      <c r="G1598" t="e">
        <f>VLOOKUP($A1598,'CA-US List'!$A:$C,3,0)</f>
        <v>#N/A</v>
      </c>
      <c r="H1598" t="s">
        <v>9</v>
      </c>
    </row>
    <row r="1599" spans="1:8" x14ac:dyDescent="0.25">
      <c r="A1599">
        <v>69999268</v>
      </c>
      <c r="B1599">
        <v>2904</v>
      </c>
      <c r="C1599">
        <v>1440</v>
      </c>
      <c r="D1599" s="19">
        <v>46090</v>
      </c>
      <c r="E1599" t="s">
        <v>126</v>
      </c>
      <c r="F1599" t="s">
        <v>54</v>
      </c>
      <c r="G1599" t="e">
        <f>VLOOKUP($A1599,'CA-US List'!$A:$C,3,0)</f>
        <v>#N/A</v>
      </c>
      <c r="H1599" t="s">
        <v>9</v>
      </c>
    </row>
    <row r="1600" spans="1:8" x14ac:dyDescent="0.25">
      <c r="A1600">
        <v>69999268</v>
      </c>
      <c r="B1600">
        <v>2904</v>
      </c>
      <c r="C1600">
        <v>4529</v>
      </c>
      <c r="D1600" s="19">
        <v>46087</v>
      </c>
      <c r="E1600" t="s">
        <v>126</v>
      </c>
      <c r="F1600" t="s">
        <v>54</v>
      </c>
      <c r="G1600" t="e">
        <f>VLOOKUP($A1600,'CA-US List'!$A:$C,3,0)</f>
        <v>#N/A</v>
      </c>
      <c r="H1600" t="s">
        <v>9</v>
      </c>
    </row>
    <row r="1601" spans="1:8" x14ac:dyDescent="0.25">
      <c r="A1601">
        <v>69999268</v>
      </c>
      <c r="B1601">
        <v>2904</v>
      </c>
      <c r="C1601">
        <v>630</v>
      </c>
      <c r="D1601" s="19">
        <v>46090</v>
      </c>
      <c r="E1601" t="s">
        <v>126</v>
      </c>
      <c r="F1601" t="s">
        <v>54</v>
      </c>
      <c r="G1601" t="e">
        <f>VLOOKUP($A1601,'CA-US List'!$A:$C,3,0)</f>
        <v>#N/A</v>
      </c>
      <c r="H1601" t="s">
        <v>9</v>
      </c>
    </row>
    <row r="1602" spans="1:8" x14ac:dyDescent="0.25">
      <c r="A1602">
        <v>69999268</v>
      </c>
      <c r="B1602">
        <v>2904</v>
      </c>
      <c r="C1602">
        <v>6435</v>
      </c>
      <c r="D1602" s="19">
        <v>46086</v>
      </c>
      <c r="E1602" t="s">
        <v>126</v>
      </c>
      <c r="F1602" t="s">
        <v>54</v>
      </c>
      <c r="G1602" t="e">
        <f>VLOOKUP($A1602,'CA-US List'!$A:$C,3,0)</f>
        <v>#N/A</v>
      </c>
      <c r="H1602" t="s">
        <v>9</v>
      </c>
    </row>
    <row r="1603" spans="1:8" x14ac:dyDescent="0.25">
      <c r="A1603">
        <v>69999268</v>
      </c>
      <c r="B1603">
        <v>2904</v>
      </c>
      <c r="C1603">
        <v>720</v>
      </c>
      <c r="D1603" s="19">
        <v>46087</v>
      </c>
      <c r="E1603" t="s">
        <v>126</v>
      </c>
      <c r="F1603" t="s">
        <v>54</v>
      </c>
      <c r="G1603" t="e">
        <f>VLOOKUP($A1603,'CA-US List'!$A:$C,3,0)</f>
        <v>#N/A</v>
      </c>
      <c r="H1603" t="s">
        <v>9</v>
      </c>
    </row>
    <row r="1604" spans="1:8" x14ac:dyDescent="0.25">
      <c r="A1604">
        <v>84135781</v>
      </c>
      <c r="B1604">
        <v>2904</v>
      </c>
      <c r="C1604">
        <v>5246</v>
      </c>
      <c r="D1604" s="19">
        <v>46083</v>
      </c>
      <c r="E1604" t="s">
        <v>57</v>
      </c>
      <c r="F1604" t="s">
        <v>54</v>
      </c>
      <c r="G1604" t="e">
        <f>VLOOKUP($A1604,'CA-US List'!$A:$C,3,0)</f>
        <v>#N/A</v>
      </c>
      <c r="H1604" t="s">
        <v>9</v>
      </c>
    </row>
    <row r="1605" spans="1:8" x14ac:dyDescent="0.25">
      <c r="A1605">
        <v>84135781</v>
      </c>
      <c r="B1605">
        <v>2904</v>
      </c>
      <c r="C1605">
        <v>10694</v>
      </c>
      <c r="D1605" s="19">
        <v>46084</v>
      </c>
      <c r="E1605" t="s">
        <v>57</v>
      </c>
      <c r="F1605" t="s">
        <v>54</v>
      </c>
      <c r="G1605" t="e">
        <f>VLOOKUP($A1605,'CA-US List'!$A:$C,3,0)</f>
        <v>#N/A</v>
      </c>
      <c r="H1605" t="s">
        <v>9</v>
      </c>
    </row>
    <row r="1606" spans="1:8" x14ac:dyDescent="0.25">
      <c r="A1606">
        <v>84135781</v>
      </c>
      <c r="B1606">
        <v>2904</v>
      </c>
      <c r="C1606">
        <v>10320</v>
      </c>
      <c r="D1606" s="19">
        <v>46084</v>
      </c>
      <c r="E1606" t="s">
        <v>57</v>
      </c>
      <c r="F1606" t="s">
        <v>54</v>
      </c>
      <c r="G1606" t="e">
        <f>VLOOKUP($A1606,'CA-US List'!$A:$C,3,0)</f>
        <v>#N/A</v>
      </c>
      <c r="H1606" t="s">
        <v>9</v>
      </c>
    </row>
    <row r="1607" spans="1:8" x14ac:dyDescent="0.25">
      <c r="A1607">
        <v>84135781</v>
      </c>
      <c r="B1607">
        <v>2904</v>
      </c>
      <c r="C1607">
        <v>10227</v>
      </c>
      <c r="D1607" s="19">
        <v>46085</v>
      </c>
      <c r="E1607" t="s">
        <v>57</v>
      </c>
      <c r="F1607" t="s">
        <v>54</v>
      </c>
      <c r="G1607" t="e">
        <f>VLOOKUP($A1607,'CA-US List'!$A:$C,3,0)</f>
        <v>#N/A</v>
      </c>
      <c r="H1607" t="s">
        <v>9</v>
      </c>
    </row>
    <row r="1608" spans="1:8" x14ac:dyDescent="0.25">
      <c r="A1608">
        <v>84135781</v>
      </c>
      <c r="B1608">
        <v>2904</v>
      </c>
      <c r="C1608">
        <v>240</v>
      </c>
      <c r="D1608" s="19">
        <v>46086</v>
      </c>
      <c r="E1608" t="s">
        <v>57</v>
      </c>
      <c r="F1608" t="s">
        <v>54</v>
      </c>
      <c r="G1608" t="e">
        <f>VLOOKUP($A1608,'CA-US List'!$A:$C,3,0)</f>
        <v>#N/A</v>
      </c>
    </row>
    <row r="1609" spans="1:8" x14ac:dyDescent="0.25">
      <c r="A1609">
        <v>84135781</v>
      </c>
      <c r="B1609">
        <v>2904</v>
      </c>
      <c r="C1609">
        <v>1680</v>
      </c>
      <c r="D1609" s="19">
        <v>46085</v>
      </c>
      <c r="E1609" t="s">
        <v>57</v>
      </c>
      <c r="F1609" t="s">
        <v>54</v>
      </c>
      <c r="G1609" t="e">
        <f>VLOOKUP($A1609,'CA-US List'!$A:$C,3,0)</f>
        <v>#N/A</v>
      </c>
    </row>
    <row r="1610" spans="1:8" x14ac:dyDescent="0.25">
      <c r="A1610">
        <v>84135781</v>
      </c>
      <c r="B1610">
        <v>2904</v>
      </c>
      <c r="C1610">
        <v>0</v>
      </c>
      <c r="D1610" s="19">
        <v>46086</v>
      </c>
      <c r="E1610" t="s">
        <v>57</v>
      </c>
      <c r="F1610" t="s">
        <v>54</v>
      </c>
      <c r="G1610" t="e">
        <f>VLOOKUP($A1610,'CA-US List'!$A:$C,3,0)</f>
        <v>#N/A</v>
      </c>
    </row>
    <row r="1611" spans="1:8" x14ac:dyDescent="0.25">
      <c r="A1611">
        <v>84164937</v>
      </c>
      <c r="B1611">
        <v>2904</v>
      </c>
      <c r="C1611">
        <v>240</v>
      </c>
      <c r="D1611" s="19">
        <v>46100</v>
      </c>
      <c r="E1611" t="s">
        <v>148</v>
      </c>
      <c r="F1611" t="s">
        <v>54</v>
      </c>
      <c r="G1611" t="e">
        <f>VLOOKUP($A1611,'CA-US List'!$A:$C,3,0)</f>
        <v>#N/A</v>
      </c>
    </row>
    <row r="1612" spans="1:8" x14ac:dyDescent="0.25">
      <c r="A1612">
        <v>84164937</v>
      </c>
      <c r="B1612">
        <v>2904</v>
      </c>
      <c r="C1612">
        <v>5020</v>
      </c>
      <c r="D1612" s="19">
        <v>46101</v>
      </c>
      <c r="E1612" t="s">
        <v>148</v>
      </c>
      <c r="F1612" t="s">
        <v>54</v>
      </c>
      <c r="G1612" t="e">
        <f>VLOOKUP($A1612,'CA-US List'!$A:$C,3,0)</f>
        <v>#N/A</v>
      </c>
    </row>
    <row r="1613" spans="1:8" x14ac:dyDescent="0.25">
      <c r="A1613">
        <v>84164937</v>
      </c>
      <c r="B1613">
        <v>2904</v>
      </c>
      <c r="C1613">
        <v>7805</v>
      </c>
      <c r="D1613" s="19">
        <v>46101</v>
      </c>
      <c r="E1613" t="s">
        <v>148</v>
      </c>
      <c r="F1613" t="s">
        <v>54</v>
      </c>
      <c r="G1613" t="e">
        <f>VLOOKUP($A1613,'CA-US List'!$A:$C,3,0)</f>
        <v>#N/A</v>
      </c>
    </row>
    <row r="1614" spans="1:8" x14ac:dyDescent="0.25">
      <c r="A1614">
        <v>84164937</v>
      </c>
      <c r="B1614">
        <v>2904</v>
      </c>
      <c r="C1614">
        <v>4490</v>
      </c>
      <c r="D1614" s="19">
        <v>46102</v>
      </c>
      <c r="E1614" t="s">
        <v>148</v>
      </c>
      <c r="F1614" t="s">
        <v>54</v>
      </c>
      <c r="G1614" t="e">
        <f>VLOOKUP($A1614,'CA-US List'!$A:$C,3,0)</f>
        <v>#N/A</v>
      </c>
    </row>
    <row r="1615" spans="1:8" x14ac:dyDescent="0.25">
      <c r="A1615">
        <v>64380012</v>
      </c>
      <c r="B1615">
        <v>3910</v>
      </c>
      <c r="C1615">
        <v>276</v>
      </c>
      <c r="D1615" s="19">
        <v>46077</v>
      </c>
      <c r="E1615" t="s">
        <v>872</v>
      </c>
      <c r="F1615" t="s">
        <v>58</v>
      </c>
      <c r="G1615" t="str">
        <f>VLOOKUP($A1615,'CA-US List'!$A:$C,3,0)</f>
        <v>US</v>
      </c>
    </row>
    <row r="1616" spans="1:8" x14ac:dyDescent="0.25">
      <c r="A1616">
        <v>64380012</v>
      </c>
      <c r="B1616">
        <v>3910</v>
      </c>
      <c r="C1616">
        <v>234</v>
      </c>
      <c r="D1616" s="19">
        <v>46078</v>
      </c>
      <c r="E1616" t="s">
        <v>872</v>
      </c>
      <c r="F1616" t="s">
        <v>58</v>
      </c>
      <c r="G1616" t="str">
        <f>VLOOKUP($A1616,'CA-US List'!$A:$C,3,0)</f>
        <v>US</v>
      </c>
    </row>
    <row r="1617" spans="1:7" x14ac:dyDescent="0.25">
      <c r="A1617">
        <v>64380012</v>
      </c>
      <c r="B1617">
        <v>3910</v>
      </c>
      <c r="C1617">
        <v>2760</v>
      </c>
      <c r="D1617" s="19">
        <v>46078</v>
      </c>
      <c r="E1617" t="s">
        <v>872</v>
      </c>
      <c r="F1617" t="s">
        <v>58</v>
      </c>
      <c r="G1617" t="str">
        <f>VLOOKUP($A1617,'CA-US List'!$A:$C,3,0)</f>
        <v>US</v>
      </c>
    </row>
    <row r="1618" spans="1:7" x14ac:dyDescent="0.25">
      <c r="A1618">
        <v>64380012</v>
      </c>
      <c r="B1618">
        <v>3910</v>
      </c>
      <c r="C1618">
        <v>552</v>
      </c>
      <c r="D1618" s="19">
        <v>46079</v>
      </c>
      <c r="E1618" t="s">
        <v>872</v>
      </c>
      <c r="F1618" t="s">
        <v>58</v>
      </c>
      <c r="G1618" t="str">
        <f>VLOOKUP($A1618,'CA-US List'!$A:$C,3,0)</f>
        <v>US</v>
      </c>
    </row>
    <row r="1619" spans="1:7" x14ac:dyDescent="0.25">
      <c r="A1619">
        <v>64380012</v>
      </c>
      <c r="B1619">
        <v>3910</v>
      </c>
      <c r="C1619">
        <v>3864</v>
      </c>
      <c r="D1619" s="19">
        <v>46079</v>
      </c>
      <c r="E1619" t="s">
        <v>872</v>
      </c>
      <c r="F1619" t="s">
        <v>58</v>
      </c>
      <c r="G1619" t="str">
        <f>VLOOKUP($A1619,'CA-US List'!$A:$C,3,0)</f>
        <v>US</v>
      </c>
    </row>
    <row r="1620" spans="1:7" x14ac:dyDescent="0.25">
      <c r="A1620">
        <v>64380012</v>
      </c>
      <c r="B1620">
        <v>3910</v>
      </c>
      <c r="C1620">
        <v>552</v>
      </c>
      <c r="D1620" s="19">
        <v>46080</v>
      </c>
      <c r="E1620" t="s">
        <v>872</v>
      </c>
      <c r="F1620" t="s">
        <v>58</v>
      </c>
      <c r="G1620" t="str">
        <f>VLOOKUP($A1620,'CA-US List'!$A:$C,3,0)</f>
        <v>US</v>
      </c>
    </row>
    <row r="1621" spans="1:7" x14ac:dyDescent="0.25">
      <c r="A1621">
        <v>64380012</v>
      </c>
      <c r="B1621">
        <v>3910</v>
      </c>
      <c r="C1621">
        <v>1380</v>
      </c>
      <c r="D1621" s="19">
        <v>46080</v>
      </c>
      <c r="E1621" t="s">
        <v>872</v>
      </c>
      <c r="F1621" t="s">
        <v>58</v>
      </c>
      <c r="G1621" t="str">
        <f>VLOOKUP($A1621,'CA-US List'!$A:$C,3,0)</f>
        <v>US</v>
      </c>
    </row>
    <row r="1622" spans="1:7" x14ac:dyDescent="0.25">
      <c r="A1622">
        <v>64380012</v>
      </c>
      <c r="B1622">
        <v>3910</v>
      </c>
      <c r="C1622">
        <v>240</v>
      </c>
      <c r="D1622" s="19">
        <v>46083</v>
      </c>
      <c r="E1622" t="s">
        <v>872</v>
      </c>
      <c r="F1622" t="s">
        <v>58</v>
      </c>
      <c r="G1622" t="str">
        <f>VLOOKUP($A1622,'CA-US List'!$A:$C,3,0)</f>
        <v>US</v>
      </c>
    </row>
    <row r="1623" spans="1:7" x14ac:dyDescent="0.25">
      <c r="A1623">
        <v>67794169</v>
      </c>
      <c r="B1623">
        <v>5911</v>
      </c>
      <c r="C1623">
        <v>8160</v>
      </c>
      <c r="D1623" s="19">
        <v>46084</v>
      </c>
      <c r="E1623" t="s">
        <v>123</v>
      </c>
      <c r="F1623" t="s">
        <v>58</v>
      </c>
      <c r="G1623" t="e">
        <f>VLOOKUP($A1623,'CA-US List'!$A:$C,3,0)</f>
        <v>#N/A</v>
      </c>
    </row>
    <row r="1624" spans="1:7" x14ac:dyDescent="0.25">
      <c r="A1624">
        <v>67794169</v>
      </c>
      <c r="B1624">
        <v>5911</v>
      </c>
      <c r="C1624">
        <v>9360</v>
      </c>
      <c r="D1624" s="19">
        <v>46084</v>
      </c>
      <c r="E1624" t="s">
        <v>123</v>
      </c>
      <c r="F1624" t="s">
        <v>58</v>
      </c>
      <c r="G1624" t="e">
        <f>VLOOKUP($A1624,'CA-US List'!$A:$C,3,0)</f>
        <v>#N/A</v>
      </c>
    </row>
    <row r="1625" spans="1:7" x14ac:dyDescent="0.25">
      <c r="A1625">
        <v>67794169</v>
      </c>
      <c r="B1625">
        <v>5911</v>
      </c>
      <c r="C1625">
        <v>22080</v>
      </c>
      <c r="D1625" s="19">
        <v>46085</v>
      </c>
      <c r="E1625" t="s">
        <v>123</v>
      </c>
      <c r="F1625" t="s">
        <v>58</v>
      </c>
      <c r="G1625" t="e">
        <f>VLOOKUP($A1625,'CA-US List'!$A:$C,3,0)</f>
        <v>#N/A</v>
      </c>
    </row>
    <row r="1626" spans="1:7" x14ac:dyDescent="0.25">
      <c r="A1626">
        <v>67794169</v>
      </c>
      <c r="B1626">
        <v>5911</v>
      </c>
      <c r="C1626">
        <v>6104</v>
      </c>
      <c r="D1626" s="19">
        <v>46086</v>
      </c>
      <c r="E1626" t="s">
        <v>123</v>
      </c>
      <c r="F1626" t="s">
        <v>58</v>
      </c>
      <c r="G1626" t="e">
        <f>VLOOKUP($A1626,'CA-US List'!$A:$C,3,0)</f>
        <v>#N/A</v>
      </c>
    </row>
    <row r="1627" spans="1:7" x14ac:dyDescent="0.25">
      <c r="A1627">
        <v>67794169</v>
      </c>
      <c r="B1627">
        <v>5911</v>
      </c>
      <c r="C1627">
        <v>1200</v>
      </c>
      <c r="D1627" s="19">
        <v>46104</v>
      </c>
      <c r="E1627" t="s">
        <v>123</v>
      </c>
      <c r="F1627" t="s">
        <v>58</v>
      </c>
      <c r="G1627" t="e">
        <f>VLOOKUP($A1627,'CA-US List'!$A:$C,3,0)</f>
        <v>#N/A</v>
      </c>
    </row>
    <row r="1628" spans="1:7" x14ac:dyDescent="0.25">
      <c r="A1628">
        <v>67794169</v>
      </c>
      <c r="B1628">
        <v>5911</v>
      </c>
      <c r="C1628">
        <v>34320</v>
      </c>
      <c r="D1628" s="19">
        <v>46105</v>
      </c>
      <c r="E1628" t="s">
        <v>123</v>
      </c>
      <c r="F1628" t="s">
        <v>58</v>
      </c>
      <c r="G1628" t="e">
        <f>VLOOKUP($A1628,'CA-US List'!$A:$C,3,0)</f>
        <v>#N/A</v>
      </c>
    </row>
    <row r="1629" spans="1:7" x14ac:dyDescent="0.25">
      <c r="A1629">
        <v>67803006</v>
      </c>
      <c r="B1629">
        <v>5911</v>
      </c>
      <c r="C1629">
        <v>7920</v>
      </c>
      <c r="D1629" s="19">
        <v>46083</v>
      </c>
      <c r="E1629" t="s">
        <v>120</v>
      </c>
      <c r="F1629" t="s">
        <v>58</v>
      </c>
      <c r="G1629" t="e">
        <f>VLOOKUP($A1629,'CA-US List'!$A:$C,3,0)</f>
        <v>#N/A</v>
      </c>
    </row>
    <row r="1630" spans="1:7" x14ac:dyDescent="0.25">
      <c r="A1630">
        <v>67803006</v>
      </c>
      <c r="B1630">
        <v>5911</v>
      </c>
      <c r="C1630">
        <v>5625</v>
      </c>
      <c r="D1630" s="19">
        <v>46084</v>
      </c>
      <c r="E1630" t="s">
        <v>120</v>
      </c>
      <c r="F1630" t="s">
        <v>58</v>
      </c>
      <c r="G1630" t="e">
        <f>VLOOKUP($A1630,'CA-US List'!$A:$C,3,0)</f>
        <v>#N/A</v>
      </c>
    </row>
    <row r="1631" spans="1:7" x14ac:dyDescent="0.25">
      <c r="A1631">
        <v>68638142</v>
      </c>
      <c r="B1631">
        <v>5911</v>
      </c>
      <c r="C1631">
        <v>7613</v>
      </c>
      <c r="D1631" s="19">
        <v>46101</v>
      </c>
      <c r="E1631" t="s">
        <v>936</v>
      </c>
      <c r="F1631" t="s">
        <v>58</v>
      </c>
      <c r="G1631" t="e">
        <f>VLOOKUP($A1631,'CA-US List'!$A:$C,3,0)</f>
        <v>#N/A</v>
      </c>
    </row>
    <row r="1632" spans="1:7" x14ac:dyDescent="0.25">
      <c r="A1632">
        <v>84135718</v>
      </c>
      <c r="B1632">
        <v>5911</v>
      </c>
      <c r="C1632">
        <v>17520</v>
      </c>
      <c r="D1632" s="19">
        <v>46077</v>
      </c>
      <c r="E1632" t="s">
        <v>114</v>
      </c>
      <c r="F1632" t="s">
        <v>79</v>
      </c>
      <c r="G1632" t="e">
        <f>VLOOKUP($A1632,'CA-US List'!$A:$C,3,0)</f>
        <v>#N/A</v>
      </c>
    </row>
    <row r="1633" spans="1:7" x14ac:dyDescent="0.25">
      <c r="A1633">
        <v>84135718</v>
      </c>
      <c r="B1633">
        <v>5911</v>
      </c>
      <c r="C1633">
        <v>39360</v>
      </c>
      <c r="D1633" s="19">
        <v>46078</v>
      </c>
      <c r="E1633" t="s">
        <v>114</v>
      </c>
      <c r="F1633" t="s">
        <v>79</v>
      </c>
      <c r="G1633" t="e">
        <f>VLOOKUP($A1633,'CA-US List'!$A:$C,3,0)</f>
        <v>#N/A</v>
      </c>
    </row>
    <row r="1634" spans="1:7" x14ac:dyDescent="0.25">
      <c r="A1634">
        <v>84135718</v>
      </c>
      <c r="B1634">
        <v>5911</v>
      </c>
      <c r="C1634">
        <v>4783</v>
      </c>
      <c r="D1634" s="19">
        <v>46079</v>
      </c>
      <c r="E1634" t="s">
        <v>114</v>
      </c>
      <c r="F1634" t="s">
        <v>79</v>
      </c>
      <c r="G1634" t="e">
        <f>VLOOKUP($A1634,'CA-US List'!$A:$C,3,0)</f>
        <v>#N/A</v>
      </c>
    </row>
    <row r="1635" spans="1:7" x14ac:dyDescent="0.25">
      <c r="A1635">
        <v>84135718</v>
      </c>
      <c r="B1635">
        <v>5911</v>
      </c>
      <c r="C1635">
        <v>13440</v>
      </c>
      <c r="D1635" s="19">
        <v>46076</v>
      </c>
      <c r="E1635" t="s">
        <v>114</v>
      </c>
      <c r="F1635" t="s">
        <v>79</v>
      </c>
      <c r="G1635" t="e">
        <f>VLOOKUP($A1635,'CA-US List'!$A:$C,3,0)</f>
        <v>#N/A</v>
      </c>
    </row>
    <row r="1636" spans="1:7" x14ac:dyDescent="0.25">
      <c r="A1636">
        <v>84135718</v>
      </c>
      <c r="B1636">
        <v>5911</v>
      </c>
      <c r="C1636">
        <v>27120</v>
      </c>
      <c r="D1636" s="19">
        <v>46077</v>
      </c>
      <c r="E1636" t="s">
        <v>114</v>
      </c>
      <c r="F1636" t="s">
        <v>79</v>
      </c>
      <c r="G1636" t="e">
        <f>VLOOKUP($A1636,'CA-US List'!$A:$C,3,0)</f>
        <v>#N/A</v>
      </c>
    </row>
    <row r="1637" spans="1:7" x14ac:dyDescent="0.25">
      <c r="A1637">
        <v>84137725</v>
      </c>
      <c r="B1637">
        <v>5911</v>
      </c>
      <c r="C1637">
        <v>22378</v>
      </c>
      <c r="D1637" s="19">
        <v>46087</v>
      </c>
      <c r="E1637" t="s">
        <v>30</v>
      </c>
      <c r="F1637" t="s">
        <v>31</v>
      </c>
      <c r="G1637" t="e">
        <f>VLOOKUP($A1637,'CA-US List'!$A:$C,3,0)</f>
        <v>#N/A</v>
      </c>
    </row>
    <row r="1638" spans="1:7" x14ac:dyDescent="0.25">
      <c r="A1638">
        <v>84137725</v>
      </c>
      <c r="B1638">
        <v>5911</v>
      </c>
      <c r="C1638">
        <v>26880</v>
      </c>
      <c r="D1638" s="19">
        <v>46088</v>
      </c>
      <c r="E1638" t="s">
        <v>30</v>
      </c>
      <c r="F1638" t="s">
        <v>31</v>
      </c>
      <c r="G1638" t="e">
        <f>VLOOKUP($A1638,'CA-US List'!$A:$C,3,0)</f>
        <v>#N/A</v>
      </c>
    </row>
    <row r="1639" spans="1:7" x14ac:dyDescent="0.25">
      <c r="A1639">
        <v>84137725</v>
      </c>
      <c r="B1639">
        <v>5911</v>
      </c>
      <c r="C1639">
        <v>6960</v>
      </c>
      <c r="D1639" s="19">
        <v>46088</v>
      </c>
      <c r="E1639" t="s">
        <v>30</v>
      </c>
      <c r="F1639" t="s">
        <v>31</v>
      </c>
      <c r="G1639" t="e">
        <f>VLOOKUP($A1639,'CA-US List'!$A:$C,3,0)</f>
        <v>#N/A</v>
      </c>
    </row>
    <row r="1640" spans="1:7" x14ac:dyDescent="0.25">
      <c r="A1640">
        <v>84137725</v>
      </c>
      <c r="B1640">
        <v>5911</v>
      </c>
      <c r="C1640">
        <v>32160</v>
      </c>
      <c r="D1640" s="19">
        <v>46089</v>
      </c>
      <c r="E1640" t="s">
        <v>30</v>
      </c>
      <c r="F1640" t="s">
        <v>31</v>
      </c>
      <c r="G1640" t="e">
        <f>VLOOKUP($A1640,'CA-US List'!$A:$C,3,0)</f>
        <v>#N/A</v>
      </c>
    </row>
    <row r="1641" spans="1:7" x14ac:dyDescent="0.25">
      <c r="A1641">
        <v>84137725</v>
      </c>
      <c r="B1641">
        <v>5911</v>
      </c>
      <c r="C1641">
        <v>5720</v>
      </c>
      <c r="D1641" s="19">
        <v>46090</v>
      </c>
      <c r="E1641" t="s">
        <v>30</v>
      </c>
      <c r="F1641" t="s">
        <v>31</v>
      </c>
      <c r="G1641" t="e">
        <f>VLOOKUP($A1641,'CA-US List'!$A:$C,3,0)</f>
        <v>#N/A</v>
      </c>
    </row>
    <row r="1642" spans="1:7" x14ac:dyDescent="0.25">
      <c r="A1642">
        <v>84137725</v>
      </c>
      <c r="B1642">
        <v>5911</v>
      </c>
      <c r="C1642">
        <v>14640</v>
      </c>
      <c r="D1642" s="19">
        <v>46101</v>
      </c>
      <c r="E1642" t="s">
        <v>30</v>
      </c>
      <c r="F1642" t="s">
        <v>31</v>
      </c>
      <c r="G1642" t="e">
        <f>VLOOKUP($A1642,'CA-US List'!$A:$C,3,0)</f>
        <v>#N/A</v>
      </c>
    </row>
    <row r="1643" spans="1:7" x14ac:dyDescent="0.25">
      <c r="A1643">
        <v>84137725</v>
      </c>
      <c r="B1643">
        <v>5911</v>
      </c>
      <c r="C1643">
        <v>32640</v>
      </c>
      <c r="D1643" s="19">
        <v>46102</v>
      </c>
      <c r="E1643" t="s">
        <v>30</v>
      </c>
      <c r="F1643" t="s">
        <v>31</v>
      </c>
      <c r="G1643" t="e">
        <f>VLOOKUP($A1643,'CA-US List'!$A:$C,3,0)</f>
        <v>#N/A</v>
      </c>
    </row>
    <row r="1644" spans="1:7" x14ac:dyDescent="0.25">
      <c r="A1644">
        <v>84137725</v>
      </c>
      <c r="B1644">
        <v>5911</v>
      </c>
      <c r="C1644">
        <v>6240</v>
      </c>
      <c r="D1644" s="19">
        <v>46102</v>
      </c>
      <c r="E1644" t="s">
        <v>30</v>
      </c>
      <c r="F1644" t="s">
        <v>31</v>
      </c>
      <c r="G1644" t="e">
        <f>VLOOKUP($A1644,'CA-US List'!$A:$C,3,0)</f>
        <v>#N/A</v>
      </c>
    </row>
    <row r="1645" spans="1:7" x14ac:dyDescent="0.25">
      <c r="A1645">
        <v>84137725</v>
      </c>
      <c r="B1645">
        <v>5911</v>
      </c>
      <c r="C1645">
        <v>34560</v>
      </c>
      <c r="D1645" s="19">
        <v>46103</v>
      </c>
      <c r="E1645" t="s">
        <v>30</v>
      </c>
      <c r="F1645" t="s">
        <v>31</v>
      </c>
      <c r="G1645" t="e">
        <f>VLOOKUP($A1645,'CA-US List'!$A:$C,3,0)</f>
        <v>#N/A</v>
      </c>
    </row>
    <row r="1646" spans="1:7" x14ac:dyDescent="0.25">
      <c r="A1646">
        <v>84137725</v>
      </c>
      <c r="B1646">
        <v>5911</v>
      </c>
      <c r="C1646">
        <v>3741</v>
      </c>
      <c r="D1646" s="19">
        <v>46104</v>
      </c>
      <c r="E1646" t="s">
        <v>30</v>
      </c>
      <c r="F1646" t="s">
        <v>31</v>
      </c>
      <c r="G1646" t="e">
        <f>VLOOKUP($A1646,'CA-US List'!$A:$C,3,0)</f>
        <v>#N/A</v>
      </c>
    </row>
    <row r="1647" spans="1:7" x14ac:dyDescent="0.25">
      <c r="A1647">
        <v>84141102</v>
      </c>
      <c r="B1647">
        <v>5911</v>
      </c>
      <c r="C1647">
        <v>7680</v>
      </c>
      <c r="D1647" s="19">
        <v>46090</v>
      </c>
      <c r="E1647" t="s">
        <v>154</v>
      </c>
      <c r="F1647" t="s">
        <v>79</v>
      </c>
      <c r="G1647" t="e">
        <f>VLOOKUP($A1647,'CA-US List'!$A:$C,3,0)</f>
        <v>#N/A</v>
      </c>
    </row>
    <row r="1648" spans="1:7" x14ac:dyDescent="0.25">
      <c r="A1648">
        <v>84141102</v>
      </c>
      <c r="B1648">
        <v>5911</v>
      </c>
      <c r="C1648">
        <v>42480</v>
      </c>
      <c r="D1648" s="19">
        <v>46091</v>
      </c>
      <c r="E1648" t="s">
        <v>154</v>
      </c>
      <c r="F1648" t="s">
        <v>79</v>
      </c>
      <c r="G1648" t="e">
        <f>VLOOKUP($A1648,'CA-US List'!$A:$C,3,0)</f>
        <v>#N/A</v>
      </c>
    </row>
    <row r="1649" spans="1:7" x14ac:dyDescent="0.25">
      <c r="A1649">
        <v>84141102</v>
      </c>
      <c r="B1649">
        <v>5911</v>
      </c>
      <c r="C1649">
        <v>4320</v>
      </c>
      <c r="D1649" s="19">
        <v>46092</v>
      </c>
      <c r="E1649" t="s">
        <v>154</v>
      </c>
      <c r="F1649" t="s">
        <v>79</v>
      </c>
      <c r="G1649" t="e">
        <f>VLOOKUP($A1649,'CA-US List'!$A:$C,3,0)</f>
        <v>#N/A</v>
      </c>
    </row>
    <row r="1650" spans="1:7" x14ac:dyDescent="0.25">
      <c r="A1650">
        <v>84141102</v>
      </c>
      <c r="B1650">
        <v>5911</v>
      </c>
      <c r="C1650">
        <v>39600</v>
      </c>
      <c r="D1650" s="19">
        <v>46092</v>
      </c>
      <c r="E1650" t="s">
        <v>154</v>
      </c>
      <c r="F1650" t="s">
        <v>79</v>
      </c>
      <c r="G1650" t="e">
        <f>VLOOKUP($A1650,'CA-US List'!$A:$C,3,0)</f>
        <v>#N/A</v>
      </c>
    </row>
    <row r="1651" spans="1:7" x14ac:dyDescent="0.25">
      <c r="A1651">
        <v>84141102</v>
      </c>
      <c r="B1651">
        <v>5911</v>
      </c>
      <c r="C1651">
        <v>19002</v>
      </c>
      <c r="D1651" s="19">
        <v>46093</v>
      </c>
      <c r="E1651" t="s">
        <v>154</v>
      </c>
      <c r="F1651" t="s">
        <v>79</v>
      </c>
      <c r="G1651" t="e">
        <f>VLOOKUP($A1651,'CA-US List'!$A:$C,3,0)</f>
        <v>#N/A</v>
      </c>
    </row>
    <row r="1652" spans="1:7" x14ac:dyDescent="0.25">
      <c r="A1652">
        <v>84141102</v>
      </c>
      <c r="B1652">
        <v>5911</v>
      </c>
      <c r="C1652">
        <v>5894</v>
      </c>
      <c r="D1652" s="19">
        <v>46076</v>
      </c>
      <c r="E1652" t="s">
        <v>154</v>
      </c>
      <c r="F1652" t="s">
        <v>79</v>
      </c>
      <c r="G1652" t="e">
        <f>VLOOKUP($A1652,'CA-US List'!$A:$C,3,0)</f>
        <v>#N/A</v>
      </c>
    </row>
    <row r="1653" spans="1:7" x14ac:dyDescent="0.25">
      <c r="A1653">
        <v>84141103</v>
      </c>
      <c r="B1653">
        <v>5911</v>
      </c>
      <c r="C1653">
        <v>480</v>
      </c>
      <c r="D1653" s="19">
        <v>46079</v>
      </c>
      <c r="E1653" t="s">
        <v>86</v>
      </c>
      <c r="F1653" t="s">
        <v>79</v>
      </c>
      <c r="G1653" t="e">
        <f>VLOOKUP($A1653,'CA-US List'!$A:$C,3,0)</f>
        <v>#N/A</v>
      </c>
    </row>
    <row r="1654" spans="1:7" x14ac:dyDescent="0.25">
      <c r="A1654">
        <v>84141103</v>
      </c>
      <c r="B1654">
        <v>5911</v>
      </c>
      <c r="C1654">
        <v>34320</v>
      </c>
      <c r="D1654" s="19">
        <v>46080</v>
      </c>
      <c r="E1654" t="s">
        <v>86</v>
      </c>
      <c r="F1654" t="s">
        <v>79</v>
      </c>
      <c r="G1654" t="e">
        <f>VLOOKUP($A1654,'CA-US List'!$A:$C,3,0)</f>
        <v>#N/A</v>
      </c>
    </row>
    <row r="1655" spans="1:7" x14ac:dyDescent="0.25">
      <c r="A1655">
        <v>84141103</v>
      </c>
      <c r="B1655">
        <v>5911</v>
      </c>
      <c r="C1655">
        <v>3600</v>
      </c>
      <c r="D1655" s="19">
        <v>46080</v>
      </c>
      <c r="E1655" t="s">
        <v>86</v>
      </c>
      <c r="F1655" t="s">
        <v>79</v>
      </c>
      <c r="G1655" t="e">
        <f>VLOOKUP($A1655,'CA-US List'!$A:$C,3,0)</f>
        <v>#N/A</v>
      </c>
    </row>
    <row r="1656" spans="1:7" x14ac:dyDescent="0.25">
      <c r="A1656">
        <v>84141103</v>
      </c>
      <c r="B1656">
        <v>5911</v>
      </c>
      <c r="C1656">
        <v>45120</v>
      </c>
      <c r="D1656" s="19">
        <v>46081</v>
      </c>
      <c r="E1656" t="s">
        <v>86</v>
      </c>
      <c r="F1656" t="s">
        <v>79</v>
      </c>
      <c r="G1656" t="e">
        <f>VLOOKUP($A1656,'CA-US List'!$A:$C,3,0)</f>
        <v>#N/A</v>
      </c>
    </row>
    <row r="1657" spans="1:7" x14ac:dyDescent="0.25">
      <c r="A1657">
        <v>84141103</v>
      </c>
      <c r="B1657">
        <v>5911</v>
      </c>
      <c r="C1657">
        <v>24201</v>
      </c>
      <c r="D1657" s="19">
        <v>46082</v>
      </c>
      <c r="E1657" t="s">
        <v>86</v>
      </c>
      <c r="F1657" t="s">
        <v>79</v>
      </c>
      <c r="G1657" t="e">
        <f>VLOOKUP($A1657,'CA-US List'!$A:$C,3,0)</f>
        <v>#N/A</v>
      </c>
    </row>
    <row r="1658" spans="1:7" x14ac:dyDescent="0.25">
      <c r="A1658">
        <v>84141103</v>
      </c>
      <c r="B1658">
        <v>5911</v>
      </c>
      <c r="C1658">
        <v>30000</v>
      </c>
      <c r="D1658" s="19">
        <v>46094</v>
      </c>
      <c r="E1658" t="s">
        <v>86</v>
      </c>
      <c r="F1658" t="s">
        <v>79</v>
      </c>
      <c r="G1658" t="e">
        <f>VLOOKUP($A1658,'CA-US List'!$A:$C,3,0)</f>
        <v>#N/A</v>
      </c>
    </row>
    <row r="1659" spans="1:7" x14ac:dyDescent="0.25">
      <c r="A1659">
        <v>84141103</v>
      </c>
      <c r="B1659">
        <v>5911</v>
      </c>
      <c r="C1659">
        <v>12000</v>
      </c>
      <c r="D1659" s="19">
        <v>46095</v>
      </c>
      <c r="E1659" t="s">
        <v>86</v>
      </c>
      <c r="F1659" t="s">
        <v>79</v>
      </c>
      <c r="G1659" t="e">
        <f>VLOOKUP($A1659,'CA-US List'!$A:$C,3,0)</f>
        <v>#N/A</v>
      </c>
    </row>
    <row r="1660" spans="1:7" x14ac:dyDescent="0.25">
      <c r="A1660">
        <v>84141103</v>
      </c>
      <c r="B1660">
        <v>5911</v>
      </c>
      <c r="C1660">
        <v>26160</v>
      </c>
      <c r="D1660" s="19">
        <v>46095</v>
      </c>
      <c r="E1660" t="s">
        <v>86</v>
      </c>
      <c r="F1660" t="s">
        <v>79</v>
      </c>
      <c r="G1660" t="e">
        <f>VLOOKUP($A1660,'CA-US List'!$A:$C,3,0)</f>
        <v>#N/A</v>
      </c>
    </row>
    <row r="1661" spans="1:7" x14ac:dyDescent="0.25">
      <c r="A1661">
        <v>84141103</v>
      </c>
      <c r="B1661">
        <v>5911</v>
      </c>
      <c r="C1661">
        <v>34290</v>
      </c>
      <c r="D1661" s="19">
        <v>46096</v>
      </c>
      <c r="E1661" t="s">
        <v>86</v>
      </c>
      <c r="F1661" t="s">
        <v>79</v>
      </c>
      <c r="G1661" t="e">
        <f>VLOOKUP($A1661,'CA-US List'!$A:$C,3,0)</f>
        <v>#N/A</v>
      </c>
    </row>
    <row r="1662" spans="1:7" x14ac:dyDescent="0.25">
      <c r="A1662">
        <v>84164936</v>
      </c>
      <c r="B1662">
        <v>5911</v>
      </c>
      <c r="C1662">
        <v>15120</v>
      </c>
      <c r="D1662" s="19">
        <v>46097</v>
      </c>
      <c r="E1662" t="s">
        <v>802</v>
      </c>
      <c r="F1662" t="s">
        <v>31</v>
      </c>
      <c r="G1662" t="e">
        <f>VLOOKUP($A1662,'CA-US List'!$A:$C,3,0)</f>
        <v>#N/A</v>
      </c>
    </row>
    <row r="1663" spans="1:7" x14ac:dyDescent="0.25">
      <c r="A1663">
        <v>84164936</v>
      </c>
      <c r="B1663">
        <v>5911</v>
      </c>
      <c r="C1663">
        <v>14400</v>
      </c>
      <c r="D1663" s="19">
        <v>46098</v>
      </c>
      <c r="E1663" t="s">
        <v>802</v>
      </c>
      <c r="F1663" t="s">
        <v>31</v>
      </c>
      <c r="G1663" t="e">
        <f>VLOOKUP($A1663,'CA-US List'!$A:$C,3,0)</f>
        <v>#N/A</v>
      </c>
    </row>
    <row r="1664" spans="1:7" x14ac:dyDescent="0.25">
      <c r="A1664">
        <v>84164936</v>
      </c>
      <c r="B1664">
        <v>5911</v>
      </c>
      <c r="C1664">
        <v>7440</v>
      </c>
      <c r="D1664" s="19">
        <v>46098</v>
      </c>
      <c r="E1664" t="s">
        <v>802</v>
      </c>
      <c r="F1664" t="s">
        <v>31</v>
      </c>
      <c r="G1664" t="e">
        <f>VLOOKUP($A1664,'CA-US List'!$A:$C,3,0)</f>
        <v>#N/A</v>
      </c>
    </row>
    <row r="1665" spans="1:7" x14ac:dyDescent="0.25">
      <c r="A1665">
        <v>84164936</v>
      </c>
      <c r="B1665">
        <v>5911</v>
      </c>
      <c r="C1665">
        <v>41760</v>
      </c>
      <c r="D1665" s="19">
        <v>46099</v>
      </c>
      <c r="E1665" t="s">
        <v>802</v>
      </c>
      <c r="F1665" t="s">
        <v>31</v>
      </c>
      <c r="G1665" t="e">
        <f>VLOOKUP($A1665,'CA-US List'!$A:$C,3,0)</f>
        <v>#N/A</v>
      </c>
    </row>
    <row r="1666" spans="1:7" x14ac:dyDescent="0.25">
      <c r="A1666">
        <v>84164936</v>
      </c>
      <c r="B1666">
        <v>5911</v>
      </c>
      <c r="C1666">
        <v>15924</v>
      </c>
      <c r="D1666" s="19">
        <v>46100</v>
      </c>
      <c r="E1666" t="s">
        <v>802</v>
      </c>
      <c r="F1666" t="s">
        <v>31</v>
      </c>
      <c r="G1666" t="e">
        <f>VLOOKUP($A1666,'CA-US List'!$A:$C,3,0)</f>
        <v>#N/A</v>
      </c>
    </row>
    <row r="1667" spans="1:7" x14ac:dyDescent="0.25">
      <c r="A1667">
        <v>65434831</v>
      </c>
      <c r="B1667">
        <v>5914</v>
      </c>
      <c r="C1667">
        <v>14880</v>
      </c>
      <c r="D1667" s="19">
        <v>46084</v>
      </c>
      <c r="E1667" t="s">
        <v>917</v>
      </c>
      <c r="F1667" t="s">
        <v>58</v>
      </c>
      <c r="G1667" t="e">
        <f>VLOOKUP($A1667,'CA-US List'!$A:$C,3,0)</f>
        <v>#N/A</v>
      </c>
    </row>
    <row r="1668" spans="1:7" x14ac:dyDescent="0.25">
      <c r="A1668">
        <v>65434831</v>
      </c>
      <c r="B1668">
        <v>5914</v>
      </c>
      <c r="C1668">
        <v>20147</v>
      </c>
      <c r="D1668" s="19">
        <v>46085</v>
      </c>
      <c r="E1668" t="s">
        <v>917</v>
      </c>
      <c r="F1668" t="s">
        <v>58</v>
      </c>
      <c r="G1668" t="e">
        <f>VLOOKUP($A1668,'CA-US List'!$A:$C,3,0)</f>
        <v>#N/A</v>
      </c>
    </row>
    <row r="1669" spans="1:7" x14ac:dyDescent="0.25">
      <c r="A1669">
        <v>67430513</v>
      </c>
      <c r="B1669">
        <v>5914</v>
      </c>
      <c r="C1669">
        <v>8880</v>
      </c>
      <c r="D1669" s="19">
        <v>46079</v>
      </c>
      <c r="E1669" t="s">
        <v>81</v>
      </c>
      <c r="F1669" t="s">
        <v>58</v>
      </c>
      <c r="G1669" t="e">
        <f>VLOOKUP($A1669,'CA-US List'!$A:$C,3,0)</f>
        <v>#N/A</v>
      </c>
    </row>
    <row r="1670" spans="1:7" x14ac:dyDescent="0.25">
      <c r="A1670">
        <v>67430513</v>
      </c>
      <c r="B1670">
        <v>5914</v>
      </c>
      <c r="C1670">
        <v>30000</v>
      </c>
      <c r="D1670" s="19">
        <v>46080</v>
      </c>
      <c r="E1670" t="s">
        <v>81</v>
      </c>
      <c r="F1670" t="s">
        <v>58</v>
      </c>
      <c r="G1670" t="e">
        <f>VLOOKUP($A1670,'CA-US List'!$A:$C,3,0)</f>
        <v>#N/A</v>
      </c>
    </row>
    <row r="1671" spans="1:7" x14ac:dyDescent="0.25">
      <c r="A1671">
        <v>67430513</v>
      </c>
      <c r="B1671">
        <v>5914</v>
      </c>
      <c r="C1671">
        <v>25920</v>
      </c>
      <c r="D1671" s="19">
        <v>46081</v>
      </c>
      <c r="E1671" t="s">
        <v>81</v>
      </c>
      <c r="F1671" t="s">
        <v>58</v>
      </c>
      <c r="G1671" t="e">
        <f>VLOOKUP($A1671,'CA-US List'!$A:$C,3,0)</f>
        <v>#N/A</v>
      </c>
    </row>
    <row r="1672" spans="1:7" x14ac:dyDescent="0.25">
      <c r="A1672">
        <v>67546042</v>
      </c>
      <c r="B1672">
        <v>5914</v>
      </c>
      <c r="C1672">
        <v>2160</v>
      </c>
      <c r="D1672" s="19">
        <v>46077</v>
      </c>
      <c r="E1672" t="s">
        <v>160</v>
      </c>
      <c r="F1672" t="s">
        <v>58</v>
      </c>
      <c r="G1672" t="e">
        <f>VLOOKUP($A1672,'CA-US List'!$A:$C,3,0)</f>
        <v>#N/A</v>
      </c>
    </row>
    <row r="1673" spans="1:7" x14ac:dyDescent="0.25">
      <c r="A1673">
        <v>67546042</v>
      </c>
      <c r="B1673">
        <v>5914</v>
      </c>
      <c r="C1673">
        <v>25125</v>
      </c>
      <c r="D1673" s="19">
        <v>46078</v>
      </c>
      <c r="E1673" t="s">
        <v>160</v>
      </c>
      <c r="F1673" t="s">
        <v>58</v>
      </c>
      <c r="G1673" t="e">
        <f>VLOOKUP($A1673,'CA-US List'!$A:$C,3,0)</f>
        <v>#N/A</v>
      </c>
    </row>
    <row r="1674" spans="1:7" x14ac:dyDescent="0.25">
      <c r="A1674">
        <v>67546042</v>
      </c>
      <c r="B1674">
        <v>5914</v>
      </c>
      <c r="C1674">
        <v>5393</v>
      </c>
      <c r="D1674" s="19">
        <v>46079</v>
      </c>
      <c r="E1674" t="s">
        <v>160</v>
      </c>
      <c r="F1674" t="s">
        <v>58</v>
      </c>
      <c r="G1674" t="e">
        <f>VLOOKUP($A1674,'CA-US List'!$A:$C,3,0)</f>
        <v>#N/A</v>
      </c>
    </row>
    <row r="1675" spans="1:7" x14ac:dyDescent="0.25">
      <c r="A1675">
        <v>67546042</v>
      </c>
      <c r="B1675">
        <v>5914</v>
      </c>
      <c r="C1675">
        <v>5760</v>
      </c>
      <c r="D1675" s="19">
        <v>46105</v>
      </c>
      <c r="E1675" t="s">
        <v>160</v>
      </c>
      <c r="F1675" t="s">
        <v>58</v>
      </c>
      <c r="G1675" t="e">
        <f>VLOOKUP($A1675,'CA-US List'!$A:$C,3,0)</f>
        <v>#N/A</v>
      </c>
    </row>
    <row r="1676" spans="1:7" x14ac:dyDescent="0.25">
      <c r="A1676">
        <v>67596354</v>
      </c>
      <c r="B1676">
        <v>5914</v>
      </c>
      <c r="C1676">
        <v>12153</v>
      </c>
      <c r="D1676" s="19">
        <v>46097</v>
      </c>
      <c r="E1676" t="s">
        <v>156</v>
      </c>
      <c r="F1676" t="s">
        <v>58</v>
      </c>
      <c r="G1676" t="e">
        <f>VLOOKUP($A1676,'CA-US List'!$A:$C,3,0)</f>
        <v>#N/A</v>
      </c>
    </row>
    <row r="1677" spans="1:7" x14ac:dyDescent="0.25">
      <c r="A1677">
        <v>67789314</v>
      </c>
      <c r="B1677">
        <v>5914</v>
      </c>
      <c r="C1677">
        <v>-63</v>
      </c>
      <c r="D1677" s="19">
        <v>46076</v>
      </c>
      <c r="E1677" t="s">
        <v>118</v>
      </c>
      <c r="F1677" t="s">
        <v>58</v>
      </c>
      <c r="G1677" t="e">
        <f>VLOOKUP($A1677,'CA-US List'!$A:$C,3,0)</f>
        <v>#N/A</v>
      </c>
    </row>
    <row r="1678" spans="1:7" x14ac:dyDescent="0.25">
      <c r="A1678">
        <v>67789314</v>
      </c>
      <c r="B1678">
        <v>5914</v>
      </c>
      <c r="C1678">
        <v>15600</v>
      </c>
      <c r="D1678" s="19">
        <v>46098</v>
      </c>
      <c r="E1678" t="s">
        <v>118</v>
      </c>
      <c r="F1678" t="s">
        <v>58</v>
      </c>
      <c r="G1678" t="e">
        <f>VLOOKUP($A1678,'CA-US List'!$A:$C,3,0)</f>
        <v>#N/A</v>
      </c>
    </row>
    <row r="1679" spans="1:7" x14ac:dyDescent="0.25">
      <c r="A1679">
        <v>67789314</v>
      </c>
      <c r="B1679">
        <v>5914</v>
      </c>
      <c r="C1679">
        <v>14481</v>
      </c>
      <c r="D1679" s="19">
        <v>46099</v>
      </c>
      <c r="E1679" t="s">
        <v>118</v>
      </c>
      <c r="F1679" t="s">
        <v>58</v>
      </c>
      <c r="G1679" t="e">
        <f>VLOOKUP($A1679,'CA-US List'!$A:$C,3,0)</f>
        <v>#N/A</v>
      </c>
    </row>
    <row r="1680" spans="1:7" x14ac:dyDescent="0.25">
      <c r="A1680">
        <v>67794167</v>
      </c>
      <c r="B1680">
        <v>5914</v>
      </c>
      <c r="C1680">
        <v>28800</v>
      </c>
      <c r="D1680" s="19">
        <v>46079</v>
      </c>
      <c r="E1680" t="s">
        <v>121</v>
      </c>
      <c r="F1680" t="s">
        <v>79</v>
      </c>
      <c r="G1680" t="e">
        <f>VLOOKUP($A1680,'CA-US List'!$A:$C,3,0)</f>
        <v>#N/A</v>
      </c>
    </row>
    <row r="1681" spans="1:7" x14ac:dyDescent="0.25">
      <c r="A1681">
        <v>67794167</v>
      </c>
      <c r="B1681">
        <v>5914</v>
      </c>
      <c r="C1681">
        <v>33441</v>
      </c>
      <c r="D1681" s="19">
        <v>46080</v>
      </c>
      <c r="E1681" t="s">
        <v>121</v>
      </c>
      <c r="F1681" t="s">
        <v>79</v>
      </c>
      <c r="G1681" t="e">
        <f>VLOOKUP($A1681,'CA-US List'!$A:$C,3,0)</f>
        <v>#N/A</v>
      </c>
    </row>
    <row r="1682" spans="1:7" x14ac:dyDescent="0.25">
      <c r="A1682">
        <v>67794167</v>
      </c>
      <c r="B1682">
        <v>5914</v>
      </c>
      <c r="C1682">
        <v>-74</v>
      </c>
      <c r="D1682" s="19">
        <v>46081</v>
      </c>
      <c r="E1682" t="s">
        <v>121</v>
      </c>
      <c r="F1682" t="s">
        <v>79</v>
      </c>
      <c r="G1682" t="e">
        <f>VLOOKUP($A1682,'CA-US List'!$A:$C,3,0)</f>
        <v>#N/A</v>
      </c>
    </row>
    <row r="1683" spans="1:7" x14ac:dyDescent="0.25">
      <c r="A1683">
        <v>67794167</v>
      </c>
      <c r="B1683">
        <v>5914</v>
      </c>
      <c r="C1683">
        <v>26784</v>
      </c>
      <c r="D1683" s="19">
        <v>46097</v>
      </c>
      <c r="E1683" t="s">
        <v>121</v>
      </c>
      <c r="F1683" t="s">
        <v>79</v>
      </c>
      <c r="G1683" t="e">
        <f>VLOOKUP($A1683,'CA-US List'!$A:$C,3,0)</f>
        <v>#N/A</v>
      </c>
    </row>
    <row r="1684" spans="1:7" x14ac:dyDescent="0.25">
      <c r="A1684">
        <v>67794167</v>
      </c>
      <c r="B1684">
        <v>5914</v>
      </c>
      <c r="C1684">
        <v>5280</v>
      </c>
      <c r="D1684" s="19">
        <v>46098</v>
      </c>
      <c r="E1684" t="s">
        <v>121</v>
      </c>
      <c r="F1684" t="s">
        <v>79</v>
      </c>
      <c r="G1684" t="e">
        <f>VLOOKUP($A1684,'CA-US List'!$A:$C,3,0)</f>
        <v>#N/A</v>
      </c>
    </row>
    <row r="1685" spans="1:7" x14ac:dyDescent="0.25">
      <c r="A1685">
        <v>67794167</v>
      </c>
      <c r="B1685">
        <v>5914</v>
      </c>
      <c r="C1685">
        <v>-384</v>
      </c>
      <c r="D1685" s="19">
        <v>46100</v>
      </c>
      <c r="E1685" t="s">
        <v>121</v>
      </c>
      <c r="F1685" t="s">
        <v>79</v>
      </c>
      <c r="G1685" t="e">
        <f>VLOOKUP($A1685,'CA-US List'!$A:$C,3,0)</f>
        <v>#N/A</v>
      </c>
    </row>
    <row r="1686" spans="1:7" x14ac:dyDescent="0.25">
      <c r="A1686">
        <v>67794167</v>
      </c>
      <c r="B1686">
        <v>5914</v>
      </c>
      <c r="C1686">
        <v>30934</v>
      </c>
      <c r="D1686" s="19">
        <v>46098</v>
      </c>
      <c r="E1686" t="s">
        <v>121</v>
      </c>
      <c r="F1686" t="s">
        <v>79</v>
      </c>
      <c r="G1686" t="e">
        <f>VLOOKUP($A1686,'CA-US List'!$A:$C,3,0)</f>
        <v>#N/A</v>
      </c>
    </row>
    <row r="1687" spans="1:7" x14ac:dyDescent="0.25">
      <c r="A1687">
        <v>67794167</v>
      </c>
      <c r="B1687">
        <v>5914</v>
      </c>
      <c r="C1687">
        <v>19323</v>
      </c>
      <c r="D1687" s="19">
        <v>46099</v>
      </c>
      <c r="E1687" t="s">
        <v>121</v>
      </c>
      <c r="F1687" t="s">
        <v>79</v>
      </c>
      <c r="G1687" t="e">
        <f>VLOOKUP($A1687,'CA-US List'!$A:$C,3,0)</f>
        <v>#N/A</v>
      </c>
    </row>
    <row r="1688" spans="1:7" x14ac:dyDescent="0.25">
      <c r="A1688">
        <v>67794167</v>
      </c>
      <c r="B1688">
        <v>5914</v>
      </c>
      <c r="C1688">
        <v>5280</v>
      </c>
      <c r="D1688" s="19">
        <v>46098</v>
      </c>
      <c r="E1688" t="s">
        <v>121</v>
      </c>
      <c r="F1688" t="s">
        <v>58</v>
      </c>
      <c r="G1688" t="e">
        <f>VLOOKUP($A1688,'CA-US List'!$A:$C,3,0)</f>
        <v>#N/A</v>
      </c>
    </row>
    <row r="1689" spans="1:7" x14ac:dyDescent="0.25">
      <c r="A1689">
        <v>67794167</v>
      </c>
      <c r="B1689">
        <v>5914</v>
      </c>
      <c r="C1689">
        <v>29760</v>
      </c>
      <c r="D1689" s="19">
        <v>46099</v>
      </c>
      <c r="E1689" t="s">
        <v>121</v>
      </c>
      <c r="F1689" t="s">
        <v>58</v>
      </c>
      <c r="G1689" t="e">
        <f>VLOOKUP($A1689,'CA-US List'!$A:$C,3,0)</f>
        <v>#N/A</v>
      </c>
    </row>
    <row r="1690" spans="1:7" x14ac:dyDescent="0.25">
      <c r="A1690">
        <v>67794167</v>
      </c>
      <c r="B1690">
        <v>5914</v>
      </c>
      <c r="C1690">
        <v>537</v>
      </c>
      <c r="D1690" s="19">
        <v>46100</v>
      </c>
      <c r="E1690" t="s">
        <v>121</v>
      </c>
      <c r="F1690" t="s">
        <v>58</v>
      </c>
      <c r="G1690" t="e">
        <f>VLOOKUP($A1690,'CA-US List'!$A:$C,3,0)</f>
        <v>#N/A</v>
      </c>
    </row>
    <row r="1691" spans="1:7" x14ac:dyDescent="0.25">
      <c r="A1691">
        <v>67794169</v>
      </c>
      <c r="B1691">
        <v>5914</v>
      </c>
      <c r="C1691">
        <v>-357</v>
      </c>
      <c r="D1691" s="19">
        <v>46076</v>
      </c>
      <c r="E1691" t="s">
        <v>123</v>
      </c>
      <c r="F1691" t="s">
        <v>58</v>
      </c>
      <c r="G1691" t="e">
        <f>VLOOKUP($A1691,'CA-US List'!$A:$C,3,0)</f>
        <v>#N/A</v>
      </c>
    </row>
    <row r="1692" spans="1:7" x14ac:dyDescent="0.25">
      <c r="A1692">
        <v>67794169</v>
      </c>
      <c r="B1692">
        <v>5914</v>
      </c>
      <c r="C1692">
        <v>20400</v>
      </c>
      <c r="D1692" s="19">
        <v>46090</v>
      </c>
      <c r="E1692" t="s">
        <v>123</v>
      </c>
      <c r="F1692" t="s">
        <v>58</v>
      </c>
      <c r="G1692" t="e">
        <f>VLOOKUP($A1692,'CA-US List'!$A:$C,3,0)</f>
        <v>#N/A</v>
      </c>
    </row>
    <row r="1693" spans="1:7" x14ac:dyDescent="0.25">
      <c r="A1693">
        <v>67794169</v>
      </c>
      <c r="B1693">
        <v>5914</v>
      </c>
      <c r="C1693">
        <v>28320</v>
      </c>
      <c r="D1693" s="19">
        <v>46091</v>
      </c>
      <c r="E1693" t="s">
        <v>123</v>
      </c>
      <c r="F1693" t="s">
        <v>58</v>
      </c>
      <c r="G1693" t="e">
        <f>VLOOKUP($A1693,'CA-US List'!$A:$C,3,0)</f>
        <v>#N/A</v>
      </c>
    </row>
    <row r="1694" spans="1:7" x14ac:dyDescent="0.25">
      <c r="A1694">
        <v>67794169</v>
      </c>
      <c r="B1694">
        <v>5914</v>
      </c>
      <c r="C1694">
        <v>3638</v>
      </c>
      <c r="D1694" s="19">
        <v>46092</v>
      </c>
      <c r="E1694" t="s">
        <v>123</v>
      </c>
      <c r="F1694" t="s">
        <v>58</v>
      </c>
      <c r="G1694" t="e">
        <f>VLOOKUP($A1694,'CA-US List'!$A:$C,3,0)</f>
        <v>#N/A</v>
      </c>
    </row>
    <row r="1695" spans="1:7" x14ac:dyDescent="0.25">
      <c r="A1695">
        <v>67794169</v>
      </c>
      <c r="B1695">
        <v>5914</v>
      </c>
      <c r="C1695">
        <v>20400</v>
      </c>
      <c r="D1695" s="19">
        <v>46100</v>
      </c>
      <c r="E1695" t="s">
        <v>123</v>
      </c>
      <c r="F1695" t="s">
        <v>31</v>
      </c>
      <c r="G1695" t="e">
        <f>VLOOKUP($A1695,'CA-US List'!$A:$C,3,0)</f>
        <v>#N/A</v>
      </c>
    </row>
    <row r="1696" spans="1:7" x14ac:dyDescent="0.25">
      <c r="A1696">
        <v>67794169</v>
      </c>
      <c r="B1696">
        <v>5914</v>
      </c>
      <c r="C1696">
        <v>28094</v>
      </c>
      <c r="D1696" s="19">
        <v>46101</v>
      </c>
      <c r="E1696" t="s">
        <v>123</v>
      </c>
      <c r="F1696" t="s">
        <v>31</v>
      </c>
      <c r="G1696" t="e">
        <f>VLOOKUP($A1696,'CA-US List'!$A:$C,3,0)</f>
        <v>#N/A</v>
      </c>
    </row>
    <row r="1697" spans="1:7" x14ac:dyDescent="0.25">
      <c r="A1697">
        <v>67794169</v>
      </c>
      <c r="B1697">
        <v>5914</v>
      </c>
      <c r="C1697">
        <v>-480</v>
      </c>
      <c r="D1697" s="19">
        <v>46102</v>
      </c>
      <c r="E1697" t="s">
        <v>123</v>
      </c>
      <c r="F1697" t="s">
        <v>31</v>
      </c>
      <c r="G1697" t="e">
        <f>VLOOKUP($A1697,'CA-US List'!$A:$C,3,0)</f>
        <v>#N/A</v>
      </c>
    </row>
    <row r="1698" spans="1:7" x14ac:dyDescent="0.25">
      <c r="A1698">
        <v>67794169</v>
      </c>
      <c r="B1698">
        <v>5914</v>
      </c>
      <c r="C1698">
        <v>-31</v>
      </c>
      <c r="D1698" s="19">
        <v>46105</v>
      </c>
      <c r="E1698" t="s">
        <v>123</v>
      </c>
      <c r="F1698" t="s">
        <v>31</v>
      </c>
      <c r="G1698" t="e">
        <f>VLOOKUP($A1698,'CA-US List'!$A:$C,3,0)</f>
        <v>#N/A</v>
      </c>
    </row>
    <row r="1699" spans="1:7" x14ac:dyDescent="0.25">
      <c r="A1699">
        <v>67794170</v>
      </c>
      <c r="B1699">
        <v>5914</v>
      </c>
      <c r="C1699">
        <v>2880</v>
      </c>
      <c r="D1699" s="19">
        <v>46086</v>
      </c>
      <c r="E1699" t="s">
        <v>927</v>
      </c>
      <c r="F1699" t="s">
        <v>79</v>
      </c>
      <c r="G1699" t="e">
        <f>VLOOKUP($A1699,'CA-US List'!$A:$C,3,0)</f>
        <v>#N/A</v>
      </c>
    </row>
    <row r="1700" spans="1:7" x14ac:dyDescent="0.25">
      <c r="A1700">
        <v>67794170</v>
      </c>
      <c r="B1700">
        <v>5914</v>
      </c>
      <c r="C1700">
        <v>11145</v>
      </c>
      <c r="D1700" s="19">
        <v>46087</v>
      </c>
      <c r="E1700" t="s">
        <v>927</v>
      </c>
      <c r="F1700" t="s">
        <v>79</v>
      </c>
      <c r="G1700" t="e">
        <f>VLOOKUP($A1700,'CA-US List'!$A:$C,3,0)</f>
        <v>#N/A</v>
      </c>
    </row>
    <row r="1701" spans="1:7" x14ac:dyDescent="0.25">
      <c r="A1701">
        <v>67803006</v>
      </c>
      <c r="B1701">
        <v>5914</v>
      </c>
      <c r="C1701">
        <v>11334</v>
      </c>
      <c r="D1701" s="19">
        <v>46100</v>
      </c>
      <c r="E1701" t="s">
        <v>120</v>
      </c>
      <c r="F1701" t="s">
        <v>31</v>
      </c>
      <c r="G1701" t="e">
        <f>VLOOKUP($A1701,'CA-US List'!$A:$C,3,0)</f>
        <v>#N/A</v>
      </c>
    </row>
    <row r="1702" spans="1:7" x14ac:dyDescent="0.25">
      <c r="A1702">
        <v>67826412</v>
      </c>
      <c r="B1702">
        <v>5914</v>
      </c>
      <c r="C1702">
        <v>5040</v>
      </c>
      <c r="D1702" s="19">
        <v>46092</v>
      </c>
      <c r="E1702" t="s">
        <v>83</v>
      </c>
      <c r="F1702" t="s">
        <v>31</v>
      </c>
      <c r="G1702" t="e">
        <f>VLOOKUP($A1702,'CA-US List'!$A:$C,3,0)</f>
        <v>#N/A</v>
      </c>
    </row>
    <row r="1703" spans="1:7" x14ac:dyDescent="0.25">
      <c r="A1703">
        <v>67826412</v>
      </c>
      <c r="B1703">
        <v>5914</v>
      </c>
      <c r="C1703">
        <v>27535</v>
      </c>
      <c r="D1703" s="19">
        <v>46093</v>
      </c>
      <c r="E1703" t="s">
        <v>83</v>
      </c>
      <c r="F1703" t="s">
        <v>31</v>
      </c>
      <c r="G1703" t="e">
        <f>VLOOKUP($A1703,'CA-US List'!$A:$C,3,0)</f>
        <v>#N/A</v>
      </c>
    </row>
    <row r="1704" spans="1:7" x14ac:dyDescent="0.25">
      <c r="A1704">
        <v>67826412</v>
      </c>
      <c r="B1704">
        <v>5914</v>
      </c>
      <c r="C1704">
        <v>30480</v>
      </c>
      <c r="D1704" s="19">
        <v>46094</v>
      </c>
      <c r="E1704" t="s">
        <v>83</v>
      </c>
      <c r="F1704" t="s">
        <v>31</v>
      </c>
      <c r="G1704" t="e">
        <f>VLOOKUP($A1704,'CA-US List'!$A:$C,3,0)</f>
        <v>#N/A</v>
      </c>
    </row>
    <row r="1705" spans="1:7" x14ac:dyDescent="0.25">
      <c r="A1705">
        <v>67826412</v>
      </c>
      <c r="B1705">
        <v>5914</v>
      </c>
      <c r="C1705">
        <v>9309</v>
      </c>
      <c r="D1705" s="19">
        <v>46095</v>
      </c>
      <c r="E1705" t="s">
        <v>83</v>
      </c>
      <c r="F1705" t="s">
        <v>31</v>
      </c>
      <c r="G1705" t="e">
        <f>VLOOKUP($A1705,'CA-US List'!$A:$C,3,0)</f>
        <v>#N/A</v>
      </c>
    </row>
    <row r="1706" spans="1:7" x14ac:dyDescent="0.25">
      <c r="A1706">
        <v>67881628</v>
      </c>
      <c r="B1706">
        <v>5914</v>
      </c>
      <c r="C1706">
        <v>18000</v>
      </c>
      <c r="D1706" s="19">
        <v>46076</v>
      </c>
      <c r="E1706" t="s">
        <v>124</v>
      </c>
      <c r="F1706" t="s">
        <v>58</v>
      </c>
      <c r="G1706" t="e">
        <f>VLOOKUP($A1706,'CA-US List'!$A:$C,3,0)</f>
        <v>#N/A</v>
      </c>
    </row>
    <row r="1707" spans="1:7" x14ac:dyDescent="0.25">
      <c r="A1707">
        <v>67881628</v>
      </c>
      <c r="B1707">
        <v>5914</v>
      </c>
      <c r="C1707">
        <v>14944</v>
      </c>
      <c r="D1707" s="19">
        <v>46077</v>
      </c>
      <c r="E1707" t="s">
        <v>124</v>
      </c>
      <c r="F1707" t="s">
        <v>58</v>
      </c>
      <c r="G1707" t="e">
        <f>VLOOKUP($A1707,'CA-US List'!$A:$C,3,0)</f>
        <v>#N/A</v>
      </c>
    </row>
    <row r="1708" spans="1:7" x14ac:dyDescent="0.25">
      <c r="A1708">
        <v>67881629</v>
      </c>
      <c r="B1708">
        <v>5914</v>
      </c>
      <c r="C1708">
        <v>14640</v>
      </c>
      <c r="D1708" s="19">
        <v>46084</v>
      </c>
      <c r="E1708" t="s">
        <v>113</v>
      </c>
      <c r="F1708" t="s">
        <v>31</v>
      </c>
      <c r="G1708" t="e">
        <f>VLOOKUP($A1708,'CA-US List'!$A:$C,3,0)</f>
        <v>#N/A</v>
      </c>
    </row>
    <row r="1709" spans="1:7" x14ac:dyDescent="0.25">
      <c r="A1709">
        <v>67881629</v>
      </c>
      <c r="B1709">
        <v>5914</v>
      </c>
      <c r="C1709">
        <v>23690</v>
      </c>
      <c r="D1709" s="19">
        <v>46085</v>
      </c>
      <c r="E1709" t="s">
        <v>113</v>
      </c>
      <c r="F1709" t="s">
        <v>31</v>
      </c>
      <c r="G1709" t="e">
        <f>VLOOKUP($A1709,'CA-US List'!$A:$C,3,0)</f>
        <v>#N/A</v>
      </c>
    </row>
    <row r="1710" spans="1:7" x14ac:dyDescent="0.25">
      <c r="A1710">
        <v>67881629</v>
      </c>
      <c r="B1710">
        <v>5914</v>
      </c>
      <c r="C1710">
        <v>13200</v>
      </c>
      <c r="D1710" s="19">
        <v>46104</v>
      </c>
      <c r="E1710" t="s">
        <v>113</v>
      </c>
      <c r="F1710" t="s">
        <v>31</v>
      </c>
      <c r="G1710" t="e">
        <f>VLOOKUP($A1710,'CA-US List'!$A:$C,3,0)</f>
        <v>#N/A</v>
      </c>
    </row>
    <row r="1711" spans="1:7" x14ac:dyDescent="0.25">
      <c r="A1711">
        <v>67881629</v>
      </c>
      <c r="B1711">
        <v>5914</v>
      </c>
      <c r="C1711">
        <v>19394</v>
      </c>
      <c r="D1711" s="19">
        <v>46105</v>
      </c>
      <c r="E1711" t="s">
        <v>113</v>
      </c>
      <c r="F1711" t="s">
        <v>31</v>
      </c>
      <c r="G1711" t="e">
        <f>VLOOKUP($A1711,'CA-US List'!$A:$C,3,0)</f>
        <v>#N/A</v>
      </c>
    </row>
    <row r="1712" spans="1:7" x14ac:dyDescent="0.25">
      <c r="A1712">
        <v>68638140</v>
      </c>
      <c r="B1712">
        <v>5914</v>
      </c>
      <c r="C1712">
        <v>7061</v>
      </c>
      <c r="D1712" s="19">
        <v>46090</v>
      </c>
      <c r="E1712" t="s">
        <v>933</v>
      </c>
      <c r="F1712" t="s">
        <v>58</v>
      </c>
      <c r="G1712" t="e">
        <f>VLOOKUP($A1712,'CA-US List'!$A:$C,3,0)</f>
        <v>#N/A</v>
      </c>
    </row>
    <row r="1713" spans="1:7" x14ac:dyDescent="0.25">
      <c r="A1713">
        <v>68940226</v>
      </c>
      <c r="B1713">
        <v>5914</v>
      </c>
      <c r="C1713">
        <v>1440</v>
      </c>
      <c r="D1713" s="19">
        <v>46085</v>
      </c>
      <c r="E1713" t="s">
        <v>967</v>
      </c>
      <c r="F1713" t="s">
        <v>58</v>
      </c>
      <c r="G1713" t="e">
        <f>VLOOKUP($A1713,'CA-US List'!$A:$C,3,0)</f>
        <v>#N/A</v>
      </c>
    </row>
    <row r="1714" spans="1:7" x14ac:dyDescent="0.25">
      <c r="A1714">
        <v>68940226</v>
      </c>
      <c r="B1714">
        <v>5914</v>
      </c>
      <c r="C1714">
        <v>14933</v>
      </c>
      <c r="D1714" s="19">
        <v>46086</v>
      </c>
      <c r="E1714" t="s">
        <v>967</v>
      </c>
      <c r="F1714" t="s">
        <v>58</v>
      </c>
      <c r="G1714" t="e">
        <f>VLOOKUP($A1714,'CA-US List'!$A:$C,3,0)</f>
        <v>#N/A</v>
      </c>
    </row>
    <row r="1715" spans="1:7" x14ac:dyDescent="0.25">
      <c r="A1715">
        <v>69797289</v>
      </c>
      <c r="B1715">
        <v>5914</v>
      </c>
      <c r="C1715">
        <v>9600</v>
      </c>
      <c r="D1715" s="19">
        <v>46097</v>
      </c>
      <c r="E1715" t="s">
        <v>979</v>
      </c>
      <c r="F1715" t="s">
        <v>58</v>
      </c>
      <c r="G1715" t="e">
        <f>VLOOKUP($A1715,'CA-US List'!$A:$C,3,0)</f>
        <v>#N/A</v>
      </c>
    </row>
    <row r="1716" spans="1:7" x14ac:dyDescent="0.25">
      <c r="A1716">
        <v>69797289</v>
      </c>
      <c r="B1716">
        <v>5914</v>
      </c>
      <c r="C1716">
        <v>6645</v>
      </c>
      <c r="D1716" s="19">
        <v>46098</v>
      </c>
      <c r="E1716" t="s">
        <v>979</v>
      </c>
      <c r="F1716" t="s">
        <v>58</v>
      </c>
      <c r="G1716" t="e">
        <f>VLOOKUP($A1716,'CA-US List'!$A:$C,3,0)</f>
        <v>#N/A</v>
      </c>
    </row>
    <row r="1717" spans="1:7" x14ac:dyDescent="0.25">
      <c r="A1717">
        <v>69797289</v>
      </c>
      <c r="B1717">
        <v>5914</v>
      </c>
      <c r="C1717">
        <v>-240</v>
      </c>
      <c r="D1717" s="19">
        <v>46099</v>
      </c>
      <c r="E1717" t="s">
        <v>979</v>
      </c>
      <c r="F1717" t="s">
        <v>58</v>
      </c>
      <c r="G1717" t="e">
        <f>VLOOKUP($A1717,'CA-US List'!$A:$C,3,0)</f>
        <v>#N/A</v>
      </c>
    </row>
    <row r="1718" spans="1:7" x14ac:dyDescent="0.25">
      <c r="A1718">
        <v>69797296</v>
      </c>
      <c r="B1718">
        <v>5914</v>
      </c>
      <c r="C1718">
        <v>7440</v>
      </c>
      <c r="D1718" s="19">
        <v>46087</v>
      </c>
      <c r="E1718" t="s">
        <v>981</v>
      </c>
      <c r="F1718" t="s">
        <v>58</v>
      </c>
      <c r="G1718" t="e">
        <f>VLOOKUP($A1718,'CA-US List'!$A:$C,3,0)</f>
        <v>#N/A</v>
      </c>
    </row>
    <row r="1719" spans="1:7" x14ac:dyDescent="0.25">
      <c r="A1719">
        <v>69797296</v>
      </c>
      <c r="B1719">
        <v>5914</v>
      </c>
      <c r="C1719">
        <v>29040</v>
      </c>
      <c r="D1719" s="19">
        <v>46088</v>
      </c>
      <c r="E1719" t="s">
        <v>981</v>
      </c>
      <c r="F1719" t="s">
        <v>58</v>
      </c>
      <c r="G1719" t="e">
        <f>VLOOKUP($A1719,'CA-US List'!$A:$C,3,0)</f>
        <v>#N/A</v>
      </c>
    </row>
    <row r="1720" spans="1:7" x14ac:dyDescent="0.25">
      <c r="A1720">
        <v>69797296</v>
      </c>
      <c r="B1720">
        <v>5914</v>
      </c>
      <c r="C1720">
        <v>74</v>
      </c>
      <c r="D1720" s="19">
        <v>46089</v>
      </c>
      <c r="E1720" t="s">
        <v>981</v>
      </c>
      <c r="F1720" t="s">
        <v>58</v>
      </c>
      <c r="G1720" t="e">
        <f>VLOOKUP($A1720,'CA-US List'!$A:$C,3,0)</f>
        <v>#N/A</v>
      </c>
    </row>
    <row r="1721" spans="1:7" x14ac:dyDescent="0.25">
      <c r="A1721">
        <v>69997338</v>
      </c>
      <c r="B1721">
        <v>5914</v>
      </c>
      <c r="C1721">
        <v>3625</v>
      </c>
      <c r="D1721" s="19">
        <v>46100</v>
      </c>
      <c r="E1721" t="s">
        <v>147</v>
      </c>
      <c r="F1721" t="s">
        <v>58</v>
      </c>
      <c r="G1721" t="e">
        <f>VLOOKUP($A1721,'CA-US List'!$A:$C,3,0)</f>
        <v>#N/A</v>
      </c>
    </row>
    <row r="1722" spans="1:7" x14ac:dyDescent="0.25">
      <c r="A1722">
        <v>69997338</v>
      </c>
      <c r="B1722">
        <v>5914</v>
      </c>
      <c r="C1722">
        <v>2666</v>
      </c>
      <c r="D1722" s="19">
        <v>46101</v>
      </c>
      <c r="E1722" t="s">
        <v>147</v>
      </c>
      <c r="F1722" t="s">
        <v>58</v>
      </c>
      <c r="G1722" t="e">
        <f>VLOOKUP($A1722,'CA-US List'!$A:$C,3,0)</f>
        <v>#N/A</v>
      </c>
    </row>
    <row r="1723" spans="1:7" x14ac:dyDescent="0.25">
      <c r="A1723">
        <v>69999266</v>
      </c>
      <c r="B1723">
        <v>5914</v>
      </c>
      <c r="C1723">
        <v>4560</v>
      </c>
      <c r="D1723" s="19">
        <v>46097</v>
      </c>
      <c r="E1723" t="s">
        <v>145</v>
      </c>
      <c r="F1723" t="s">
        <v>58</v>
      </c>
      <c r="G1723" t="e">
        <f>VLOOKUP($A1723,'CA-US List'!$A:$C,3,0)</f>
        <v>#N/A</v>
      </c>
    </row>
    <row r="1724" spans="1:7" x14ac:dyDescent="0.25">
      <c r="A1724">
        <v>69999266</v>
      </c>
      <c r="B1724">
        <v>5914</v>
      </c>
      <c r="C1724">
        <v>18978</v>
      </c>
      <c r="D1724" s="19">
        <v>46098</v>
      </c>
      <c r="E1724" t="s">
        <v>145</v>
      </c>
      <c r="F1724" t="s">
        <v>58</v>
      </c>
      <c r="G1724" t="e">
        <f>VLOOKUP($A1724,'CA-US List'!$A:$C,3,0)</f>
        <v>#N/A</v>
      </c>
    </row>
    <row r="1725" spans="1:7" x14ac:dyDescent="0.25">
      <c r="A1725">
        <v>69999267</v>
      </c>
      <c r="B1725">
        <v>5914</v>
      </c>
      <c r="C1725">
        <v>7920</v>
      </c>
      <c r="D1725" s="19">
        <v>46077</v>
      </c>
      <c r="E1725" t="s">
        <v>117</v>
      </c>
      <c r="F1725" t="s">
        <v>58</v>
      </c>
      <c r="G1725" t="e">
        <f>VLOOKUP($A1725,'CA-US List'!$A:$C,3,0)</f>
        <v>#N/A</v>
      </c>
    </row>
    <row r="1726" spans="1:7" x14ac:dyDescent="0.25">
      <c r="A1726">
        <v>69999267</v>
      </c>
      <c r="B1726">
        <v>5914</v>
      </c>
      <c r="C1726">
        <v>26729</v>
      </c>
      <c r="D1726" s="19">
        <v>46078</v>
      </c>
      <c r="E1726" t="s">
        <v>117</v>
      </c>
      <c r="F1726" t="s">
        <v>58</v>
      </c>
      <c r="G1726" t="e">
        <f>VLOOKUP($A1726,'CA-US List'!$A:$C,3,0)</f>
        <v>#N/A</v>
      </c>
    </row>
    <row r="1727" spans="1:7" x14ac:dyDescent="0.25">
      <c r="A1727">
        <v>69999268</v>
      </c>
      <c r="B1727">
        <v>5914</v>
      </c>
      <c r="C1727">
        <v>18000</v>
      </c>
      <c r="D1727" s="19">
        <v>46104</v>
      </c>
      <c r="E1727" t="s">
        <v>126</v>
      </c>
      <c r="F1727" t="s">
        <v>58</v>
      </c>
      <c r="G1727" t="e">
        <f>VLOOKUP($A1727,'CA-US List'!$A:$C,3,0)</f>
        <v>#N/A</v>
      </c>
    </row>
    <row r="1728" spans="1:7" x14ac:dyDescent="0.25">
      <c r="A1728">
        <v>69999268</v>
      </c>
      <c r="B1728">
        <v>5914</v>
      </c>
      <c r="C1728">
        <v>1708</v>
      </c>
      <c r="D1728" s="19">
        <v>46105</v>
      </c>
      <c r="E1728" t="s">
        <v>126</v>
      </c>
      <c r="F1728" t="s">
        <v>58</v>
      </c>
      <c r="G1728" t="e">
        <f>VLOOKUP($A1728,'CA-US List'!$A:$C,3,0)</f>
        <v>#N/A</v>
      </c>
    </row>
    <row r="1729" spans="1:7" x14ac:dyDescent="0.25">
      <c r="A1729">
        <v>69999269</v>
      </c>
      <c r="B1729">
        <v>5914</v>
      </c>
      <c r="C1729">
        <v>-240</v>
      </c>
      <c r="D1729" s="19">
        <v>46076</v>
      </c>
      <c r="E1729" t="s">
        <v>82</v>
      </c>
      <c r="F1729" t="s">
        <v>79</v>
      </c>
      <c r="G1729" t="e">
        <f>VLOOKUP($A1729,'CA-US List'!$A:$C,3,0)</f>
        <v>#N/A</v>
      </c>
    </row>
    <row r="1730" spans="1:7" x14ac:dyDescent="0.25">
      <c r="A1730">
        <v>69999269</v>
      </c>
      <c r="B1730">
        <v>5914</v>
      </c>
      <c r="C1730">
        <v>17760</v>
      </c>
      <c r="D1730" s="19">
        <v>46085</v>
      </c>
      <c r="E1730" t="s">
        <v>82</v>
      </c>
      <c r="F1730" t="s">
        <v>79</v>
      </c>
      <c r="G1730" t="e">
        <f>VLOOKUP($A1730,'CA-US List'!$A:$C,3,0)</f>
        <v>#N/A</v>
      </c>
    </row>
    <row r="1731" spans="1:7" x14ac:dyDescent="0.25">
      <c r="A1731">
        <v>69999269</v>
      </c>
      <c r="B1731">
        <v>5914</v>
      </c>
      <c r="C1731">
        <v>42129</v>
      </c>
      <c r="D1731" s="19">
        <v>46086</v>
      </c>
      <c r="E1731" t="s">
        <v>82</v>
      </c>
      <c r="F1731" t="s">
        <v>79</v>
      </c>
      <c r="G1731" t="e">
        <f>VLOOKUP($A1731,'CA-US List'!$A:$C,3,0)</f>
        <v>#N/A</v>
      </c>
    </row>
    <row r="1732" spans="1:7" x14ac:dyDescent="0.25">
      <c r="A1732">
        <v>69999269</v>
      </c>
      <c r="B1732">
        <v>5914</v>
      </c>
      <c r="C1732">
        <v>37419</v>
      </c>
      <c r="D1732" s="19">
        <v>46087</v>
      </c>
      <c r="E1732" t="s">
        <v>82</v>
      </c>
      <c r="F1732" t="s">
        <v>79</v>
      </c>
      <c r="G1732" t="e">
        <f>VLOOKUP($A1732,'CA-US List'!$A:$C,3,0)</f>
        <v>#N/A</v>
      </c>
    </row>
    <row r="1733" spans="1:7" x14ac:dyDescent="0.25">
      <c r="A1733">
        <v>69999269</v>
      </c>
      <c r="B1733">
        <v>5914</v>
      </c>
      <c r="C1733">
        <v>14400</v>
      </c>
      <c r="D1733" s="19">
        <v>46093</v>
      </c>
      <c r="E1733" t="s">
        <v>82</v>
      </c>
      <c r="F1733" t="s">
        <v>79</v>
      </c>
      <c r="G1733" t="e">
        <f>VLOOKUP($A1733,'CA-US List'!$A:$C,3,0)</f>
        <v>#N/A</v>
      </c>
    </row>
    <row r="1734" spans="1:7" x14ac:dyDescent="0.25">
      <c r="A1734">
        <v>69999269</v>
      </c>
      <c r="B1734">
        <v>5914</v>
      </c>
      <c r="C1734">
        <v>33840</v>
      </c>
      <c r="D1734" s="19">
        <v>46094</v>
      </c>
      <c r="E1734" t="s">
        <v>82</v>
      </c>
      <c r="F1734" t="s">
        <v>79</v>
      </c>
      <c r="G1734" t="e">
        <f>VLOOKUP($A1734,'CA-US List'!$A:$C,3,0)</f>
        <v>#N/A</v>
      </c>
    </row>
    <row r="1735" spans="1:7" x14ac:dyDescent="0.25">
      <c r="A1735">
        <v>69999269</v>
      </c>
      <c r="B1735">
        <v>5914</v>
      </c>
      <c r="C1735">
        <v>2340</v>
      </c>
      <c r="D1735" s="19">
        <v>46095</v>
      </c>
      <c r="E1735" t="s">
        <v>82</v>
      </c>
      <c r="F1735" t="s">
        <v>79</v>
      </c>
      <c r="G1735" t="e">
        <f>VLOOKUP($A1735,'CA-US List'!$A:$C,3,0)</f>
        <v>#N/A</v>
      </c>
    </row>
    <row r="1736" spans="1:7" x14ac:dyDescent="0.25">
      <c r="A1736">
        <v>69999269</v>
      </c>
      <c r="B1736">
        <v>5914</v>
      </c>
      <c r="C1736">
        <v>22080</v>
      </c>
      <c r="D1736" s="19">
        <v>46105</v>
      </c>
      <c r="E1736" t="s">
        <v>82</v>
      </c>
      <c r="F1736" t="s">
        <v>58</v>
      </c>
      <c r="G1736" t="e">
        <f>VLOOKUP($A1736,'CA-US List'!$A:$C,3,0)</f>
        <v>#N/A</v>
      </c>
    </row>
    <row r="1737" spans="1:7" x14ac:dyDescent="0.25">
      <c r="A1737">
        <v>84135718</v>
      </c>
      <c r="B1737">
        <v>5914</v>
      </c>
      <c r="C1737">
        <v>26880</v>
      </c>
      <c r="D1737" s="19">
        <v>46091</v>
      </c>
      <c r="E1737" t="s">
        <v>114</v>
      </c>
      <c r="F1737" t="s">
        <v>79</v>
      </c>
      <c r="G1737" t="e">
        <f>VLOOKUP($A1737,'CA-US List'!$A:$C,3,0)</f>
        <v>#N/A</v>
      </c>
    </row>
    <row r="1738" spans="1:7" x14ac:dyDescent="0.25">
      <c r="A1738">
        <v>84135718</v>
      </c>
      <c r="B1738">
        <v>5914</v>
      </c>
      <c r="C1738">
        <v>39600</v>
      </c>
      <c r="D1738" s="19">
        <v>46092</v>
      </c>
      <c r="E1738" t="s">
        <v>114</v>
      </c>
      <c r="F1738" t="s">
        <v>79</v>
      </c>
      <c r="G1738" t="e">
        <f>VLOOKUP($A1738,'CA-US List'!$A:$C,3,0)</f>
        <v>#N/A</v>
      </c>
    </row>
    <row r="1739" spans="1:7" x14ac:dyDescent="0.25">
      <c r="A1739">
        <v>84135718</v>
      </c>
      <c r="B1739">
        <v>5914</v>
      </c>
      <c r="C1739">
        <v>27336</v>
      </c>
      <c r="D1739" s="19">
        <v>46093</v>
      </c>
      <c r="E1739" t="s">
        <v>114</v>
      </c>
      <c r="F1739" t="s">
        <v>79</v>
      </c>
      <c r="G1739" t="e">
        <f>VLOOKUP($A1739,'CA-US List'!$A:$C,3,0)</f>
        <v>#N/A</v>
      </c>
    </row>
    <row r="1740" spans="1:7" x14ac:dyDescent="0.25">
      <c r="A1740">
        <v>84135795</v>
      </c>
      <c r="B1740">
        <v>5914</v>
      </c>
      <c r="C1740">
        <v>3000</v>
      </c>
      <c r="D1740" s="19">
        <v>46091</v>
      </c>
      <c r="E1740" t="s">
        <v>135</v>
      </c>
      <c r="F1740" t="s">
        <v>58</v>
      </c>
      <c r="G1740" t="e">
        <f>VLOOKUP($A1740,'CA-US List'!$A:$C,3,0)</f>
        <v>#N/A</v>
      </c>
    </row>
    <row r="1741" spans="1:7" x14ac:dyDescent="0.25">
      <c r="A1741">
        <v>84135795</v>
      </c>
      <c r="B1741">
        <v>5914</v>
      </c>
      <c r="C1741">
        <v>3242</v>
      </c>
      <c r="D1741" s="19">
        <v>46092</v>
      </c>
      <c r="E1741" t="s">
        <v>135</v>
      </c>
      <c r="F1741" t="s">
        <v>58</v>
      </c>
      <c r="G1741" t="e">
        <f>VLOOKUP($A1741,'CA-US List'!$A:$C,3,0)</f>
        <v>#N/A</v>
      </c>
    </row>
    <row r="1742" spans="1:7" x14ac:dyDescent="0.25">
      <c r="A1742">
        <v>84136043</v>
      </c>
      <c r="B1742">
        <v>5914</v>
      </c>
      <c r="C1742">
        <v>16080</v>
      </c>
      <c r="D1742" s="19">
        <v>46083</v>
      </c>
      <c r="E1742" t="s">
        <v>776</v>
      </c>
      <c r="F1742" t="s">
        <v>79</v>
      </c>
      <c r="G1742" t="e">
        <f>VLOOKUP($A1742,'CA-US List'!$A:$C,3,0)</f>
        <v>#N/A</v>
      </c>
    </row>
    <row r="1743" spans="1:7" x14ac:dyDescent="0.25">
      <c r="A1743">
        <v>84136043</v>
      </c>
      <c r="B1743">
        <v>5914</v>
      </c>
      <c r="C1743">
        <v>11030</v>
      </c>
      <c r="D1743" s="19">
        <v>46084</v>
      </c>
      <c r="E1743" t="s">
        <v>776</v>
      </c>
      <c r="F1743" t="s">
        <v>79</v>
      </c>
      <c r="G1743" t="e">
        <f>VLOOKUP($A1743,'CA-US List'!$A:$C,3,0)</f>
        <v>#N/A</v>
      </c>
    </row>
    <row r="1744" spans="1:7" x14ac:dyDescent="0.25">
      <c r="A1744">
        <v>84136704</v>
      </c>
      <c r="B1744">
        <v>5914</v>
      </c>
      <c r="C1744">
        <v>14400</v>
      </c>
      <c r="D1744" s="19">
        <v>46086</v>
      </c>
      <c r="E1744" t="s">
        <v>778</v>
      </c>
      <c r="F1744" t="s">
        <v>79</v>
      </c>
      <c r="G1744" t="e">
        <f>VLOOKUP($A1744,'CA-US List'!$A:$C,3,0)</f>
        <v>#N/A</v>
      </c>
    </row>
    <row r="1745" spans="1:7" x14ac:dyDescent="0.25">
      <c r="A1745">
        <v>84136704</v>
      </c>
      <c r="B1745">
        <v>5914</v>
      </c>
      <c r="C1745">
        <v>26721</v>
      </c>
      <c r="D1745" s="19">
        <v>46087</v>
      </c>
      <c r="E1745" t="s">
        <v>778</v>
      </c>
      <c r="F1745" t="s">
        <v>79</v>
      </c>
      <c r="G1745" t="e">
        <f>VLOOKUP($A1745,'CA-US List'!$A:$C,3,0)</f>
        <v>#N/A</v>
      </c>
    </row>
    <row r="1746" spans="1:7" x14ac:dyDescent="0.25">
      <c r="A1746">
        <v>84136704</v>
      </c>
      <c r="B1746">
        <v>5914</v>
      </c>
      <c r="C1746">
        <v>2040</v>
      </c>
      <c r="D1746" s="19">
        <v>46088</v>
      </c>
      <c r="E1746" t="s">
        <v>778</v>
      </c>
      <c r="F1746" t="s">
        <v>79</v>
      </c>
      <c r="G1746" t="e">
        <f>VLOOKUP($A1746,'CA-US List'!$A:$C,3,0)</f>
        <v>#N/A</v>
      </c>
    </row>
    <row r="1747" spans="1:7" x14ac:dyDescent="0.25">
      <c r="A1747">
        <v>84136704</v>
      </c>
      <c r="B1747">
        <v>5914</v>
      </c>
      <c r="C1747">
        <v>-37</v>
      </c>
      <c r="D1747" s="19">
        <v>46092</v>
      </c>
      <c r="E1747" t="s">
        <v>778</v>
      </c>
      <c r="F1747" t="s">
        <v>79</v>
      </c>
      <c r="G1747" t="e">
        <f>VLOOKUP($A1747,'CA-US List'!$A:$C,3,0)</f>
        <v>#N/A</v>
      </c>
    </row>
    <row r="1748" spans="1:7" x14ac:dyDescent="0.25">
      <c r="A1748">
        <v>84137694</v>
      </c>
      <c r="B1748">
        <v>5914</v>
      </c>
      <c r="C1748">
        <v>9120</v>
      </c>
      <c r="D1748" s="19">
        <v>46101</v>
      </c>
      <c r="E1748" t="s">
        <v>780</v>
      </c>
      <c r="F1748" t="s">
        <v>79</v>
      </c>
      <c r="G1748" t="e">
        <f>VLOOKUP($A1748,'CA-US List'!$A:$C,3,0)</f>
        <v>#N/A</v>
      </c>
    </row>
    <row r="1749" spans="1:7" x14ac:dyDescent="0.25">
      <c r="A1749">
        <v>84137694</v>
      </c>
      <c r="B1749">
        <v>5914</v>
      </c>
      <c r="C1749">
        <v>23192</v>
      </c>
      <c r="D1749" s="19">
        <v>46102</v>
      </c>
      <c r="E1749" t="s">
        <v>780</v>
      </c>
      <c r="F1749" t="s">
        <v>79</v>
      </c>
      <c r="G1749" t="e">
        <f>VLOOKUP($A1749,'CA-US List'!$A:$C,3,0)</f>
        <v>#N/A</v>
      </c>
    </row>
    <row r="1750" spans="1:7" x14ac:dyDescent="0.25">
      <c r="A1750">
        <v>84137721</v>
      </c>
      <c r="B1750">
        <v>5914</v>
      </c>
      <c r="C1750">
        <v>1375</v>
      </c>
      <c r="D1750" s="19">
        <v>46105</v>
      </c>
      <c r="E1750" t="s">
        <v>989</v>
      </c>
      <c r="F1750" t="s">
        <v>58</v>
      </c>
      <c r="G1750" t="e">
        <f>VLOOKUP($A1750,'CA-US List'!$A:$C,3,0)</f>
        <v>#N/A</v>
      </c>
    </row>
    <row r="1751" spans="1:7" x14ac:dyDescent="0.25">
      <c r="A1751">
        <v>84137725</v>
      </c>
      <c r="B1751">
        <v>5914</v>
      </c>
      <c r="C1751">
        <v>2640</v>
      </c>
      <c r="D1751" s="19">
        <v>46079</v>
      </c>
      <c r="E1751" t="s">
        <v>30</v>
      </c>
      <c r="F1751" t="s">
        <v>59</v>
      </c>
      <c r="G1751" t="e">
        <f>VLOOKUP($A1751,'CA-US List'!$A:$C,3,0)</f>
        <v>#N/A</v>
      </c>
    </row>
    <row r="1752" spans="1:7" x14ac:dyDescent="0.25">
      <c r="A1752">
        <v>84137725</v>
      </c>
      <c r="B1752">
        <v>5914</v>
      </c>
      <c r="C1752">
        <v>28320</v>
      </c>
      <c r="D1752" s="19">
        <v>46080</v>
      </c>
      <c r="E1752" t="s">
        <v>30</v>
      </c>
      <c r="F1752" t="s">
        <v>59</v>
      </c>
      <c r="G1752" t="e">
        <f>VLOOKUP($A1752,'CA-US List'!$A:$C,3,0)</f>
        <v>#N/A</v>
      </c>
    </row>
    <row r="1753" spans="1:7" x14ac:dyDescent="0.25">
      <c r="A1753">
        <v>84137725</v>
      </c>
      <c r="B1753">
        <v>5914</v>
      </c>
      <c r="C1753">
        <v>25071</v>
      </c>
      <c r="D1753" s="19">
        <v>46081</v>
      </c>
      <c r="E1753" t="s">
        <v>30</v>
      </c>
      <c r="F1753" t="s">
        <v>59</v>
      </c>
      <c r="G1753" t="e">
        <f>VLOOKUP($A1753,'CA-US List'!$A:$C,3,0)</f>
        <v>#N/A</v>
      </c>
    </row>
    <row r="1754" spans="1:7" x14ac:dyDescent="0.25">
      <c r="A1754">
        <v>84138347</v>
      </c>
      <c r="B1754">
        <v>5914</v>
      </c>
      <c r="C1754">
        <v>3500</v>
      </c>
      <c r="D1754" s="19">
        <v>46084</v>
      </c>
      <c r="E1754" t="s">
        <v>991</v>
      </c>
      <c r="F1754" t="s">
        <v>58</v>
      </c>
      <c r="G1754" t="e">
        <f>VLOOKUP($A1754,'CA-US List'!$A:$C,3,0)</f>
        <v>#N/A</v>
      </c>
    </row>
    <row r="1755" spans="1:7" x14ac:dyDescent="0.25">
      <c r="A1755">
        <v>84138347</v>
      </c>
      <c r="B1755">
        <v>5914</v>
      </c>
      <c r="C1755">
        <v>2312</v>
      </c>
      <c r="D1755" s="19">
        <v>46085</v>
      </c>
      <c r="E1755" t="s">
        <v>991</v>
      </c>
      <c r="F1755" t="s">
        <v>58</v>
      </c>
      <c r="G1755" t="e">
        <f>VLOOKUP($A1755,'CA-US List'!$A:$C,3,0)</f>
        <v>#N/A</v>
      </c>
    </row>
    <row r="1756" spans="1:7" x14ac:dyDescent="0.25">
      <c r="A1756">
        <v>84138391</v>
      </c>
      <c r="B1756">
        <v>5914</v>
      </c>
      <c r="C1756">
        <v>14880</v>
      </c>
      <c r="D1756" s="19">
        <v>46090</v>
      </c>
      <c r="E1756" t="s">
        <v>108</v>
      </c>
      <c r="F1756" t="s">
        <v>31</v>
      </c>
      <c r="G1756" t="e">
        <f>VLOOKUP($A1756,'CA-US List'!$A:$C,3,0)</f>
        <v>#N/A</v>
      </c>
    </row>
    <row r="1757" spans="1:7" x14ac:dyDescent="0.25">
      <c r="A1757">
        <v>84138391</v>
      </c>
      <c r="B1757">
        <v>5914</v>
      </c>
      <c r="C1757">
        <v>31440</v>
      </c>
      <c r="D1757" s="19">
        <v>46091</v>
      </c>
      <c r="E1757" t="s">
        <v>108</v>
      </c>
      <c r="F1757" t="s">
        <v>31</v>
      </c>
      <c r="G1757" t="e">
        <f>VLOOKUP($A1757,'CA-US List'!$A:$C,3,0)</f>
        <v>#N/A</v>
      </c>
    </row>
    <row r="1758" spans="1:7" x14ac:dyDescent="0.25">
      <c r="A1758">
        <v>84138391</v>
      </c>
      <c r="B1758">
        <v>5914</v>
      </c>
      <c r="C1758">
        <v>21287</v>
      </c>
      <c r="D1758" s="19">
        <v>46092</v>
      </c>
      <c r="E1758" t="s">
        <v>108</v>
      </c>
      <c r="F1758" t="s">
        <v>31</v>
      </c>
      <c r="G1758" t="e">
        <f>VLOOKUP($A1758,'CA-US List'!$A:$C,3,0)</f>
        <v>#N/A</v>
      </c>
    </row>
    <row r="1759" spans="1:7" x14ac:dyDescent="0.25">
      <c r="A1759">
        <v>84138391</v>
      </c>
      <c r="B1759">
        <v>5914</v>
      </c>
      <c r="C1759">
        <v>17360</v>
      </c>
      <c r="D1759" s="19">
        <v>46093</v>
      </c>
      <c r="E1759" t="s">
        <v>108</v>
      </c>
      <c r="F1759" t="s">
        <v>31</v>
      </c>
      <c r="G1759" t="e">
        <f>VLOOKUP($A1759,'CA-US List'!$A:$C,3,0)</f>
        <v>#N/A</v>
      </c>
    </row>
    <row r="1760" spans="1:7" x14ac:dyDescent="0.25">
      <c r="A1760">
        <v>84138391</v>
      </c>
      <c r="B1760">
        <v>5914</v>
      </c>
      <c r="C1760">
        <v>31920</v>
      </c>
      <c r="D1760" s="19">
        <v>46094</v>
      </c>
      <c r="E1760" t="s">
        <v>108</v>
      </c>
      <c r="F1760" t="s">
        <v>31</v>
      </c>
      <c r="G1760" t="e">
        <f>VLOOKUP($A1760,'CA-US List'!$A:$C,3,0)</f>
        <v>#N/A</v>
      </c>
    </row>
    <row r="1761" spans="1:7" x14ac:dyDescent="0.25">
      <c r="A1761">
        <v>84138391</v>
      </c>
      <c r="B1761">
        <v>5914</v>
      </c>
      <c r="C1761">
        <v>28203</v>
      </c>
      <c r="D1761" s="19">
        <v>46095</v>
      </c>
      <c r="E1761" t="s">
        <v>108</v>
      </c>
      <c r="F1761" t="s">
        <v>31</v>
      </c>
      <c r="G1761" t="e">
        <f>VLOOKUP($A1761,'CA-US List'!$A:$C,3,0)</f>
        <v>#N/A</v>
      </c>
    </row>
    <row r="1762" spans="1:7" x14ac:dyDescent="0.25">
      <c r="A1762">
        <v>84138391</v>
      </c>
      <c r="B1762">
        <v>5914</v>
      </c>
      <c r="C1762">
        <v>-80</v>
      </c>
      <c r="D1762" s="19">
        <v>46097</v>
      </c>
      <c r="E1762" t="s">
        <v>108</v>
      </c>
      <c r="F1762" t="s">
        <v>31</v>
      </c>
      <c r="G1762" t="e">
        <f>VLOOKUP($A1762,'CA-US List'!$A:$C,3,0)</f>
        <v>#N/A</v>
      </c>
    </row>
    <row r="1763" spans="1:7" x14ac:dyDescent="0.25">
      <c r="A1763">
        <v>84138392</v>
      </c>
      <c r="B1763">
        <v>5914</v>
      </c>
      <c r="C1763">
        <v>6000</v>
      </c>
      <c r="D1763" s="19">
        <v>46083</v>
      </c>
      <c r="E1763" t="s">
        <v>993</v>
      </c>
      <c r="F1763" t="s">
        <v>58</v>
      </c>
      <c r="G1763" t="e">
        <f>VLOOKUP($A1763,'CA-US List'!$A:$C,3,0)</f>
        <v>#N/A</v>
      </c>
    </row>
    <row r="1764" spans="1:7" x14ac:dyDescent="0.25">
      <c r="A1764">
        <v>84138392</v>
      </c>
      <c r="B1764">
        <v>5914</v>
      </c>
      <c r="C1764">
        <v>9239</v>
      </c>
      <c r="D1764" s="19">
        <v>46084</v>
      </c>
      <c r="E1764" t="s">
        <v>993</v>
      </c>
      <c r="F1764" t="s">
        <v>58</v>
      </c>
      <c r="G1764" t="e">
        <f>VLOOKUP($A1764,'CA-US List'!$A:$C,3,0)</f>
        <v>#N/A</v>
      </c>
    </row>
    <row r="1765" spans="1:7" x14ac:dyDescent="0.25">
      <c r="A1765">
        <v>84139090</v>
      </c>
      <c r="B1765">
        <v>5914</v>
      </c>
      <c r="C1765">
        <v>18240</v>
      </c>
      <c r="D1765" s="19">
        <v>46100</v>
      </c>
      <c r="E1765" t="s">
        <v>785</v>
      </c>
      <c r="F1765" t="s">
        <v>10</v>
      </c>
      <c r="G1765" t="e">
        <f>VLOOKUP($A1765,'CA-US List'!$A:$C,3,0)</f>
        <v>#N/A</v>
      </c>
    </row>
    <row r="1766" spans="1:7" x14ac:dyDescent="0.25">
      <c r="A1766">
        <v>84139090</v>
      </c>
      <c r="B1766">
        <v>5914</v>
      </c>
      <c r="C1766">
        <v>17311</v>
      </c>
      <c r="D1766" s="19">
        <v>46101</v>
      </c>
      <c r="E1766" t="s">
        <v>785</v>
      </c>
      <c r="F1766" t="s">
        <v>10</v>
      </c>
      <c r="G1766" t="e">
        <f>VLOOKUP($A1766,'CA-US List'!$A:$C,3,0)</f>
        <v>#N/A</v>
      </c>
    </row>
    <row r="1767" spans="1:7" x14ac:dyDescent="0.25">
      <c r="A1767">
        <v>84141035</v>
      </c>
      <c r="B1767">
        <v>5914</v>
      </c>
      <c r="C1767">
        <v>2875</v>
      </c>
      <c r="D1767" s="19">
        <v>46077</v>
      </c>
      <c r="E1767" t="s">
        <v>995</v>
      </c>
      <c r="F1767" t="s">
        <v>58</v>
      </c>
      <c r="G1767" t="e">
        <f>VLOOKUP($A1767,'CA-US List'!$A:$C,3,0)</f>
        <v>#N/A</v>
      </c>
    </row>
    <row r="1768" spans="1:7" x14ac:dyDescent="0.25">
      <c r="A1768">
        <v>84141035</v>
      </c>
      <c r="B1768">
        <v>5914</v>
      </c>
      <c r="C1768">
        <v>3009</v>
      </c>
      <c r="D1768" s="19">
        <v>46078</v>
      </c>
      <c r="E1768" t="s">
        <v>995</v>
      </c>
      <c r="F1768" t="s">
        <v>58</v>
      </c>
      <c r="G1768" t="e">
        <f>VLOOKUP($A1768,'CA-US List'!$A:$C,3,0)</f>
        <v>#N/A</v>
      </c>
    </row>
    <row r="1769" spans="1:7" x14ac:dyDescent="0.25">
      <c r="A1769">
        <v>84141094</v>
      </c>
      <c r="B1769">
        <v>5914</v>
      </c>
      <c r="C1769">
        <v>19920</v>
      </c>
      <c r="D1769" s="19">
        <v>46076</v>
      </c>
      <c r="E1769" t="s">
        <v>141</v>
      </c>
      <c r="F1769" t="s">
        <v>31</v>
      </c>
      <c r="G1769" t="e">
        <f>VLOOKUP($A1769,'CA-US List'!$A:$C,3,0)</f>
        <v>#N/A</v>
      </c>
    </row>
    <row r="1770" spans="1:7" x14ac:dyDescent="0.25">
      <c r="A1770">
        <v>84141094</v>
      </c>
      <c r="B1770">
        <v>5914</v>
      </c>
      <c r="C1770">
        <v>12000</v>
      </c>
      <c r="D1770" s="19">
        <v>46077</v>
      </c>
      <c r="E1770" t="s">
        <v>141</v>
      </c>
      <c r="F1770" t="s">
        <v>31</v>
      </c>
      <c r="G1770" t="e">
        <f>VLOOKUP($A1770,'CA-US List'!$A:$C,3,0)</f>
        <v>#N/A</v>
      </c>
    </row>
    <row r="1771" spans="1:7" x14ac:dyDescent="0.25">
      <c r="A1771">
        <v>84141094</v>
      </c>
      <c r="B1771">
        <v>5914</v>
      </c>
      <c r="C1771">
        <v>24240</v>
      </c>
      <c r="D1771" s="19">
        <v>46077</v>
      </c>
      <c r="E1771" t="s">
        <v>141</v>
      </c>
      <c r="F1771" t="s">
        <v>31</v>
      </c>
      <c r="G1771" t="e">
        <f>VLOOKUP($A1771,'CA-US List'!$A:$C,3,0)</f>
        <v>#N/A</v>
      </c>
    </row>
    <row r="1772" spans="1:7" x14ac:dyDescent="0.25">
      <c r="A1772">
        <v>84141094</v>
      </c>
      <c r="B1772">
        <v>5914</v>
      </c>
      <c r="C1772">
        <v>35926</v>
      </c>
      <c r="D1772" s="19">
        <v>46078</v>
      </c>
      <c r="E1772" t="s">
        <v>141</v>
      </c>
      <c r="F1772" t="s">
        <v>31</v>
      </c>
      <c r="G1772" t="e">
        <f>VLOOKUP($A1772,'CA-US List'!$A:$C,3,0)</f>
        <v>#N/A</v>
      </c>
    </row>
    <row r="1773" spans="1:7" x14ac:dyDescent="0.25">
      <c r="A1773">
        <v>84141094</v>
      </c>
      <c r="B1773">
        <v>5914</v>
      </c>
      <c r="C1773">
        <v>6857</v>
      </c>
      <c r="D1773" s="19">
        <v>46079</v>
      </c>
      <c r="E1773" t="s">
        <v>141</v>
      </c>
      <c r="F1773" t="s">
        <v>31</v>
      </c>
      <c r="G1773" t="e">
        <f>VLOOKUP($A1773,'CA-US List'!$A:$C,3,0)</f>
        <v>#N/A</v>
      </c>
    </row>
    <row r="1774" spans="1:7" x14ac:dyDescent="0.25">
      <c r="A1774">
        <v>84141094</v>
      </c>
      <c r="B1774">
        <v>5914</v>
      </c>
      <c r="C1774">
        <v>31200</v>
      </c>
      <c r="D1774" s="19">
        <v>46104</v>
      </c>
      <c r="E1774" t="s">
        <v>141</v>
      </c>
      <c r="F1774" t="s">
        <v>31</v>
      </c>
      <c r="G1774" t="e">
        <f>VLOOKUP($A1774,'CA-US List'!$A:$C,3,0)</f>
        <v>#N/A</v>
      </c>
    </row>
    <row r="1775" spans="1:7" x14ac:dyDescent="0.25">
      <c r="A1775">
        <v>84141094</v>
      </c>
      <c r="B1775">
        <v>5914</v>
      </c>
      <c r="C1775">
        <v>30157</v>
      </c>
      <c r="D1775" s="19">
        <v>46105</v>
      </c>
      <c r="E1775" t="s">
        <v>141</v>
      </c>
      <c r="F1775" t="s">
        <v>31</v>
      </c>
      <c r="G1775" t="e">
        <f>VLOOKUP($A1775,'CA-US List'!$A:$C,3,0)</f>
        <v>#N/A</v>
      </c>
    </row>
    <row r="1776" spans="1:7" x14ac:dyDescent="0.25">
      <c r="A1776">
        <v>84141094</v>
      </c>
      <c r="B1776">
        <v>5914</v>
      </c>
      <c r="C1776">
        <v>8695</v>
      </c>
      <c r="D1776" s="19">
        <v>46105</v>
      </c>
      <c r="E1776" t="s">
        <v>141</v>
      </c>
      <c r="F1776" t="s">
        <v>31</v>
      </c>
      <c r="G1776" t="e">
        <f>VLOOKUP($A1776,'CA-US List'!$A:$C,3,0)</f>
        <v>#N/A</v>
      </c>
    </row>
    <row r="1777" spans="1:7" x14ac:dyDescent="0.25">
      <c r="A1777">
        <v>84141103</v>
      </c>
      <c r="B1777">
        <v>5914</v>
      </c>
      <c r="C1777">
        <v>23040</v>
      </c>
      <c r="D1777" s="19">
        <v>46083</v>
      </c>
      <c r="E1777" t="s">
        <v>86</v>
      </c>
      <c r="F1777" t="s">
        <v>464</v>
      </c>
      <c r="G1777" t="e">
        <f>VLOOKUP($A1777,'CA-US List'!$A:$C,3,0)</f>
        <v>#N/A</v>
      </c>
    </row>
    <row r="1778" spans="1:7" x14ac:dyDescent="0.25">
      <c r="A1778">
        <v>84141103</v>
      </c>
      <c r="B1778">
        <v>5914</v>
      </c>
      <c r="C1778">
        <v>39840</v>
      </c>
      <c r="D1778" s="19">
        <v>46084</v>
      </c>
      <c r="E1778" t="s">
        <v>86</v>
      </c>
      <c r="F1778" t="s">
        <v>464</v>
      </c>
      <c r="G1778" t="e">
        <f>VLOOKUP($A1778,'CA-US List'!$A:$C,3,0)</f>
        <v>#N/A</v>
      </c>
    </row>
    <row r="1779" spans="1:7" x14ac:dyDescent="0.25">
      <c r="A1779">
        <v>84141103</v>
      </c>
      <c r="B1779">
        <v>5914</v>
      </c>
      <c r="C1779">
        <v>13795</v>
      </c>
      <c r="D1779" s="19">
        <v>46085</v>
      </c>
      <c r="E1779" t="s">
        <v>86</v>
      </c>
      <c r="F1779" t="s">
        <v>464</v>
      </c>
      <c r="G1779" t="e">
        <f>VLOOKUP($A1779,'CA-US List'!$A:$C,3,0)</f>
        <v>#N/A</v>
      </c>
    </row>
    <row r="1780" spans="1:7" x14ac:dyDescent="0.25">
      <c r="A1780">
        <v>84141418</v>
      </c>
      <c r="B1780">
        <v>5914</v>
      </c>
      <c r="C1780">
        <v>3250</v>
      </c>
      <c r="D1780" s="19">
        <v>46092</v>
      </c>
      <c r="E1780" t="s">
        <v>142</v>
      </c>
      <c r="F1780" t="s">
        <v>58</v>
      </c>
      <c r="G1780" t="e">
        <f>VLOOKUP($A1780,'CA-US List'!$A:$C,3,0)</f>
        <v>#N/A</v>
      </c>
    </row>
    <row r="1781" spans="1:7" x14ac:dyDescent="0.25">
      <c r="A1781">
        <v>84141418</v>
      </c>
      <c r="B1781">
        <v>5914</v>
      </c>
      <c r="C1781">
        <v>2850</v>
      </c>
      <c r="D1781" s="19">
        <v>46093</v>
      </c>
      <c r="E1781" t="s">
        <v>142</v>
      </c>
      <c r="F1781" t="s">
        <v>58</v>
      </c>
      <c r="G1781" t="e">
        <f>VLOOKUP($A1781,'CA-US List'!$A:$C,3,0)</f>
        <v>#N/A</v>
      </c>
    </row>
    <row r="1782" spans="1:7" x14ac:dyDescent="0.25">
      <c r="A1782">
        <v>84149990</v>
      </c>
      <c r="B1782">
        <v>5914</v>
      </c>
      <c r="C1782">
        <v>6720</v>
      </c>
      <c r="D1782" s="19">
        <v>46090</v>
      </c>
      <c r="E1782" t="s">
        <v>96</v>
      </c>
      <c r="F1782" t="s">
        <v>79</v>
      </c>
      <c r="G1782" t="e">
        <f>VLOOKUP($A1782,'CA-US List'!$A:$C,3,0)</f>
        <v>#N/A</v>
      </c>
    </row>
    <row r="1783" spans="1:7" x14ac:dyDescent="0.25">
      <c r="A1783">
        <v>84149990</v>
      </c>
      <c r="B1783">
        <v>5914</v>
      </c>
      <c r="C1783">
        <v>14108</v>
      </c>
      <c r="D1783" s="19">
        <v>46091</v>
      </c>
      <c r="E1783" t="s">
        <v>96</v>
      </c>
      <c r="F1783" t="s">
        <v>79</v>
      </c>
      <c r="G1783" t="e">
        <f>VLOOKUP($A1783,'CA-US List'!$A:$C,3,0)</f>
        <v>#N/A</v>
      </c>
    </row>
    <row r="1784" spans="1:7" x14ac:dyDescent="0.25">
      <c r="A1784">
        <v>84161610</v>
      </c>
      <c r="B1784">
        <v>5914</v>
      </c>
      <c r="C1784">
        <v>21600</v>
      </c>
      <c r="D1784" s="19">
        <v>46076</v>
      </c>
      <c r="E1784" t="s">
        <v>78</v>
      </c>
      <c r="F1784" t="s">
        <v>79</v>
      </c>
      <c r="G1784" t="e">
        <f>VLOOKUP($A1784,'CA-US List'!$A:$C,3,0)</f>
        <v>#N/A</v>
      </c>
    </row>
    <row r="1785" spans="1:7" x14ac:dyDescent="0.25">
      <c r="A1785">
        <v>84161610</v>
      </c>
      <c r="B1785">
        <v>5914</v>
      </c>
      <c r="C1785">
        <v>17806</v>
      </c>
      <c r="D1785" s="19">
        <v>46077</v>
      </c>
      <c r="E1785" t="s">
        <v>78</v>
      </c>
      <c r="F1785" t="s">
        <v>79</v>
      </c>
      <c r="G1785" t="e">
        <f>VLOOKUP($A1785,'CA-US List'!$A:$C,3,0)</f>
        <v>#N/A</v>
      </c>
    </row>
    <row r="1786" spans="1:7" x14ac:dyDescent="0.25">
      <c r="A1786">
        <v>84163605</v>
      </c>
      <c r="B1786">
        <v>5914</v>
      </c>
      <c r="C1786">
        <v>6540</v>
      </c>
      <c r="D1786" s="19">
        <v>46100</v>
      </c>
      <c r="E1786" t="s">
        <v>800</v>
      </c>
      <c r="F1786" t="s">
        <v>58</v>
      </c>
      <c r="G1786" t="e">
        <f>VLOOKUP($A1786,'CA-US List'!$A:$C,3,0)</f>
        <v>#N/A</v>
      </c>
    </row>
    <row r="1787" spans="1:7" x14ac:dyDescent="0.25">
      <c r="A1787">
        <v>84163605</v>
      </c>
      <c r="B1787">
        <v>5914</v>
      </c>
      <c r="C1787">
        <v>19213</v>
      </c>
      <c r="D1787" s="19">
        <v>46101</v>
      </c>
      <c r="E1787" t="s">
        <v>800</v>
      </c>
      <c r="F1787" t="s">
        <v>58</v>
      </c>
      <c r="G1787" t="e">
        <f>VLOOKUP($A1787,'CA-US List'!$A:$C,3,0)</f>
        <v>#N/A</v>
      </c>
    </row>
    <row r="1788" spans="1:7" x14ac:dyDescent="0.25">
      <c r="A1788">
        <v>84163605</v>
      </c>
      <c r="B1788">
        <v>5914</v>
      </c>
      <c r="C1788">
        <v>4830</v>
      </c>
      <c r="D1788" s="19">
        <v>46102</v>
      </c>
      <c r="E1788" t="s">
        <v>800</v>
      </c>
      <c r="F1788" t="s">
        <v>58</v>
      </c>
      <c r="G1788" t="e">
        <f>VLOOKUP($A1788,'CA-US List'!$A:$C,3,0)</f>
        <v>#N/A</v>
      </c>
    </row>
    <row r="1789" spans="1:7" x14ac:dyDescent="0.25">
      <c r="A1789">
        <v>84164939</v>
      </c>
      <c r="B1789">
        <v>5914</v>
      </c>
      <c r="C1789">
        <v>3750</v>
      </c>
      <c r="D1789" s="19">
        <v>46099</v>
      </c>
      <c r="E1789" t="s">
        <v>804</v>
      </c>
      <c r="F1789" t="s">
        <v>58</v>
      </c>
      <c r="G1789" t="e">
        <f>VLOOKUP($A1789,'CA-US List'!$A:$C,3,0)</f>
        <v>#N/A</v>
      </c>
    </row>
    <row r="1790" spans="1:7" x14ac:dyDescent="0.25">
      <c r="A1790">
        <v>84164939</v>
      </c>
      <c r="B1790">
        <v>5914</v>
      </c>
      <c r="C1790">
        <v>2341</v>
      </c>
      <c r="D1790" s="19">
        <v>46100</v>
      </c>
      <c r="E1790" t="s">
        <v>804</v>
      </c>
      <c r="F1790" t="s">
        <v>58</v>
      </c>
      <c r="G1790" t="e">
        <f>VLOOKUP($A1790,'CA-US List'!$A:$C,3,0)</f>
        <v>#N/A</v>
      </c>
    </row>
  </sheetData>
  <autoFilter ref="A1:G1790" xr:uid="{A04B0500-6315-4929-BA8C-1FAC2497ED4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56ECF-4E05-4020-A909-7D04265074CB}">
  <dimension ref="A1:F2074"/>
  <sheetViews>
    <sheetView topLeftCell="A2038" workbookViewId="0">
      <selection sqref="A1:F2074"/>
    </sheetView>
  </sheetViews>
  <sheetFormatPr defaultRowHeight="15" x14ac:dyDescent="0.25"/>
  <cols>
    <col min="4" max="4" width="10.42578125" bestFit="1" customWidth="1"/>
    <col min="5" max="5" width="35" bestFit="1" customWidth="1"/>
  </cols>
  <sheetData>
    <row r="1" spans="1:6" x14ac:dyDescent="0.25">
      <c r="A1" s="3">
        <v>64315721</v>
      </c>
      <c r="B1" s="3">
        <v>1352</v>
      </c>
      <c r="C1" s="24">
        <v>22</v>
      </c>
      <c r="D1" s="4">
        <v>46076</v>
      </c>
      <c r="E1" t="str">
        <f>VLOOKUP($A1,Sheet4!$A:$B,2,0)</f>
        <v>BR CS Chocolate Peanut Butter 6 1.5QT</v>
      </c>
      <c r="F1" s="3" t="s">
        <v>35</v>
      </c>
    </row>
    <row r="2" spans="1:6" x14ac:dyDescent="0.25">
      <c r="A2" s="3">
        <v>64315721</v>
      </c>
      <c r="B2" s="3">
        <v>1352</v>
      </c>
      <c r="C2" s="24">
        <v>3344</v>
      </c>
      <c r="D2" s="4">
        <v>46077</v>
      </c>
      <c r="E2" t="str">
        <f>VLOOKUP($A2,Sheet4!$A:$B,2,0)</f>
        <v>BR CS Chocolate Peanut Butter 6 1.5QT</v>
      </c>
      <c r="F2" s="3" t="s">
        <v>35</v>
      </c>
    </row>
    <row r="3" spans="1:6" x14ac:dyDescent="0.25">
      <c r="A3" s="3">
        <v>64315721</v>
      </c>
      <c r="B3" s="3">
        <v>1352</v>
      </c>
      <c r="C3" s="24">
        <v>7920</v>
      </c>
      <c r="D3" s="4">
        <v>46078</v>
      </c>
      <c r="E3" t="str">
        <f>VLOOKUP($A3,Sheet4!$A:$B,2,0)</f>
        <v>BR CS Chocolate Peanut Butter 6 1.5QT</v>
      </c>
      <c r="F3" s="3" t="s">
        <v>35</v>
      </c>
    </row>
    <row r="4" spans="1:6" x14ac:dyDescent="0.25">
      <c r="A4" s="3">
        <v>64315721</v>
      </c>
      <c r="B4" s="3">
        <v>1352</v>
      </c>
      <c r="C4" s="24">
        <v>3001</v>
      </c>
      <c r="D4" s="4">
        <v>46077</v>
      </c>
      <c r="E4" t="str">
        <f>VLOOKUP($A4,Sheet4!$A:$B,2,0)</f>
        <v>BR CS Chocolate Peanut Butter 6 1.5QT</v>
      </c>
      <c r="F4" s="3" t="s">
        <v>35</v>
      </c>
    </row>
    <row r="5" spans="1:6" x14ac:dyDescent="0.25">
      <c r="A5" s="3">
        <v>64315721</v>
      </c>
      <c r="B5" s="3">
        <v>1352</v>
      </c>
      <c r="C5" s="24">
        <v>3872</v>
      </c>
      <c r="D5" s="4">
        <v>46076</v>
      </c>
      <c r="E5" t="str">
        <f>VLOOKUP($A5,Sheet4!$A:$B,2,0)</f>
        <v>BR CS Chocolate Peanut Butter 6 1.5QT</v>
      </c>
      <c r="F5" s="3" t="s">
        <v>35</v>
      </c>
    </row>
    <row r="6" spans="1:6" x14ac:dyDescent="0.25">
      <c r="A6" s="3">
        <v>64315721</v>
      </c>
      <c r="B6" s="3">
        <v>1352</v>
      </c>
      <c r="C6" s="24">
        <v>11</v>
      </c>
      <c r="D6" s="4">
        <v>46078</v>
      </c>
      <c r="E6" t="str">
        <f>VLOOKUP($A6,Sheet4!$A:$B,2,0)</f>
        <v>BR CS Chocolate Peanut Butter 6 1.5QT</v>
      </c>
      <c r="F6" s="3" t="s">
        <v>35</v>
      </c>
    </row>
    <row r="7" spans="1:6" x14ac:dyDescent="0.25">
      <c r="A7" s="3">
        <v>64315721</v>
      </c>
      <c r="B7" s="3">
        <v>1352</v>
      </c>
      <c r="C7" s="24">
        <v>0</v>
      </c>
      <c r="D7" s="4">
        <v>46079</v>
      </c>
      <c r="E7" t="str">
        <f>VLOOKUP($A7,Sheet4!$A:$B,2,0)</f>
        <v>BR CS Chocolate Peanut Butter 6 1.5QT</v>
      </c>
      <c r="F7" s="3" t="s">
        <v>35</v>
      </c>
    </row>
    <row r="8" spans="1:6" x14ac:dyDescent="0.25">
      <c r="A8" s="3">
        <v>64315721</v>
      </c>
      <c r="B8" s="3">
        <v>1352</v>
      </c>
      <c r="C8" s="24">
        <v>176</v>
      </c>
      <c r="D8" s="4">
        <v>46079</v>
      </c>
      <c r="E8" t="str">
        <f>VLOOKUP($A8,Sheet4!$A:$B,2,0)</f>
        <v>BR CS Chocolate Peanut Butter 6 1.5QT</v>
      </c>
      <c r="F8" s="3" t="s">
        <v>35</v>
      </c>
    </row>
    <row r="9" spans="1:6" x14ac:dyDescent="0.25">
      <c r="A9" s="3">
        <v>64315721</v>
      </c>
      <c r="B9" s="3">
        <v>1352</v>
      </c>
      <c r="C9" s="24">
        <v>478</v>
      </c>
      <c r="D9" s="4">
        <v>46078</v>
      </c>
      <c r="E9" t="str">
        <f>VLOOKUP($A9,Sheet4!$A:$B,2,0)</f>
        <v>BR CS Chocolate Peanut Butter 6 1.5QT</v>
      </c>
      <c r="F9" s="3" t="s">
        <v>35</v>
      </c>
    </row>
    <row r="10" spans="1:6" x14ac:dyDescent="0.25">
      <c r="A10" s="3">
        <v>64315721</v>
      </c>
      <c r="B10" s="3">
        <v>1352</v>
      </c>
      <c r="C10" s="24">
        <v>4414</v>
      </c>
      <c r="D10" s="4">
        <v>46079</v>
      </c>
      <c r="E10" t="str">
        <f>VLOOKUP($A10,Sheet4!$A:$B,2,0)</f>
        <v>BR CS Chocolate Peanut Butter 6 1.5QT</v>
      </c>
      <c r="F10" s="3" t="s">
        <v>35</v>
      </c>
    </row>
    <row r="11" spans="1:6" x14ac:dyDescent="0.25">
      <c r="A11" s="3">
        <v>64341967</v>
      </c>
      <c r="B11" s="3">
        <v>1352</v>
      </c>
      <c r="C11" s="24">
        <v>4045</v>
      </c>
      <c r="D11" s="4">
        <v>46102</v>
      </c>
      <c r="E11" t="str">
        <f>VLOOKUP($A11,Sheet4!$A:$B,2,0)</f>
        <v>BR CHOC Peanut Butter 6 1.5QT</v>
      </c>
      <c r="F11" s="3" t="s">
        <v>35</v>
      </c>
    </row>
    <row r="12" spans="1:6" x14ac:dyDescent="0.25">
      <c r="A12" s="3">
        <v>64341967</v>
      </c>
      <c r="B12" s="3">
        <v>1352</v>
      </c>
      <c r="C12" s="24">
        <v>4909</v>
      </c>
      <c r="D12" s="4">
        <v>46103</v>
      </c>
      <c r="E12" t="str">
        <f>VLOOKUP($A12,Sheet4!$A:$B,2,0)</f>
        <v>BR CHOC Peanut Butter 6 1.5QT</v>
      </c>
      <c r="F12" s="3" t="s">
        <v>35</v>
      </c>
    </row>
    <row r="13" spans="1:6" x14ac:dyDescent="0.25">
      <c r="A13" s="3">
        <v>64341967</v>
      </c>
      <c r="B13" s="3">
        <v>1352</v>
      </c>
      <c r="C13" s="24">
        <v>4576</v>
      </c>
      <c r="D13" s="4">
        <v>46103</v>
      </c>
      <c r="E13" t="str">
        <f>VLOOKUP($A13,Sheet4!$A:$B,2,0)</f>
        <v>BR CHOC Peanut Butter 6 1.5QT</v>
      </c>
      <c r="F13" s="3" t="s">
        <v>35</v>
      </c>
    </row>
    <row r="14" spans="1:6" x14ac:dyDescent="0.25">
      <c r="A14" s="3">
        <v>64341967</v>
      </c>
      <c r="B14" s="3">
        <v>1352</v>
      </c>
      <c r="C14" s="24">
        <v>4723</v>
      </c>
      <c r="D14" s="4">
        <v>46104</v>
      </c>
      <c r="E14" t="str">
        <f>VLOOKUP($A14,Sheet4!$A:$B,2,0)</f>
        <v>BR CHOC Peanut Butter 6 1.5QT</v>
      </c>
      <c r="F14" s="3" t="s">
        <v>35</v>
      </c>
    </row>
    <row r="15" spans="1:6" x14ac:dyDescent="0.25">
      <c r="A15" s="3">
        <v>64341967</v>
      </c>
      <c r="B15" s="3">
        <v>1352</v>
      </c>
      <c r="C15" s="24">
        <v>4576</v>
      </c>
      <c r="D15" s="4">
        <v>46104</v>
      </c>
      <c r="E15" t="str">
        <f>VLOOKUP($A15,Sheet4!$A:$B,2,0)</f>
        <v>BR CHOC Peanut Butter 6 1.5QT</v>
      </c>
      <c r="F15" s="3" t="s">
        <v>35</v>
      </c>
    </row>
    <row r="16" spans="1:6" x14ac:dyDescent="0.25">
      <c r="A16" s="3">
        <v>64341967</v>
      </c>
      <c r="B16" s="3">
        <v>1352</v>
      </c>
      <c r="C16" s="24">
        <v>7633</v>
      </c>
      <c r="D16" s="4">
        <v>46105</v>
      </c>
      <c r="E16" t="str">
        <f>VLOOKUP($A16,Sheet4!$A:$B,2,0)</f>
        <v>BR CHOC Peanut Butter 6 1.5QT</v>
      </c>
      <c r="F16" s="3" t="s">
        <v>35</v>
      </c>
    </row>
    <row r="17" spans="1:6" x14ac:dyDescent="0.25">
      <c r="A17" s="3">
        <v>64341967</v>
      </c>
      <c r="B17" s="3">
        <v>1352</v>
      </c>
      <c r="C17" s="24">
        <v>5244</v>
      </c>
      <c r="D17" s="4">
        <v>46105</v>
      </c>
      <c r="E17" t="str">
        <f>VLOOKUP($A17,Sheet4!$A:$B,2,0)</f>
        <v>BR CHOC Peanut Butter 6 1.5QT</v>
      </c>
      <c r="F17" s="3" t="s">
        <v>35</v>
      </c>
    </row>
    <row r="18" spans="1:6" x14ac:dyDescent="0.25">
      <c r="A18" s="3">
        <v>64341968</v>
      </c>
      <c r="B18" s="3">
        <v>1352</v>
      </c>
      <c r="C18" s="24">
        <v>3983</v>
      </c>
      <c r="D18" s="4">
        <v>46080</v>
      </c>
      <c r="E18" t="str">
        <f>VLOOKUP($A18,Sheet4!$A:$B,2,0)</f>
        <v>BR CO-B SNICKERS 6 1.5QT</v>
      </c>
      <c r="F18" s="3" t="s">
        <v>35</v>
      </c>
    </row>
    <row r="19" spans="1:6" x14ac:dyDescent="0.25">
      <c r="A19" s="3">
        <v>64341968</v>
      </c>
      <c r="B19" s="3">
        <v>1352</v>
      </c>
      <c r="C19" s="24">
        <v>3928</v>
      </c>
      <c r="D19" s="4">
        <v>46080</v>
      </c>
      <c r="E19" t="str">
        <f>VLOOKUP($A19,Sheet4!$A:$B,2,0)</f>
        <v>BR CO-B SNICKERS 6 1.5QT</v>
      </c>
      <c r="F19" s="3" t="s">
        <v>35</v>
      </c>
    </row>
    <row r="20" spans="1:6" x14ac:dyDescent="0.25">
      <c r="A20" s="3">
        <v>64341968</v>
      </c>
      <c r="B20" s="3">
        <v>1352</v>
      </c>
      <c r="C20" s="24">
        <v>6018</v>
      </c>
      <c r="D20" s="4">
        <v>46081</v>
      </c>
      <c r="E20" t="str">
        <f>VLOOKUP($A20,Sheet4!$A:$B,2,0)</f>
        <v>BR CO-B SNICKERS 6 1.5QT</v>
      </c>
      <c r="F20" s="3" t="s">
        <v>35</v>
      </c>
    </row>
    <row r="21" spans="1:6" x14ac:dyDescent="0.25">
      <c r="A21" s="3">
        <v>64341968</v>
      </c>
      <c r="B21" s="3">
        <v>1352</v>
      </c>
      <c r="C21" s="24">
        <v>176</v>
      </c>
      <c r="D21" s="4">
        <v>46086</v>
      </c>
      <c r="E21" t="str">
        <f>VLOOKUP($A21,Sheet4!$A:$B,2,0)</f>
        <v>BR CO-B SNICKERS 6 1.5QT</v>
      </c>
      <c r="F21" s="3" t="s">
        <v>35</v>
      </c>
    </row>
    <row r="22" spans="1:6" x14ac:dyDescent="0.25">
      <c r="A22" s="3">
        <v>64341968</v>
      </c>
      <c r="B22" s="3">
        <v>1352</v>
      </c>
      <c r="C22" s="24">
        <v>5632</v>
      </c>
      <c r="D22" s="4">
        <v>46081</v>
      </c>
      <c r="E22" t="str">
        <f>VLOOKUP($A22,Sheet4!$A:$B,2,0)</f>
        <v>BR CO-B SNICKERS 6 1.5QT</v>
      </c>
      <c r="F22" s="3" t="s">
        <v>35</v>
      </c>
    </row>
    <row r="23" spans="1:6" x14ac:dyDescent="0.25">
      <c r="A23" s="3">
        <v>64341968</v>
      </c>
      <c r="B23" s="3">
        <v>1352</v>
      </c>
      <c r="C23" s="24">
        <v>6158</v>
      </c>
      <c r="D23" s="4">
        <v>46082</v>
      </c>
      <c r="E23" t="str">
        <f>VLOOKUP($A23,Sheet4!$A:$B,2,0)</f>
        <v>BR CO-B SNICKERS 6 1.5QT</v>
      </c>
      <c r="F23" s="3" t="s">
        <v>35</v>
      </c>
    </row>
    <row r="24" spans="1:6" x14ac:dyDescent="0.25">
      <c r="A24" s="3">
        <v>64341968</v>
      </c>
      <c r="B24" s="3">
        <v>1352</v>
      </c>
      <c r="C24" s="24">
        <v>176</v>
      </c>
      <c r="D24" s="4">
        <v>46093</v>
      </c>
      <c r="E24" t="str">
        <f>VLOOKUP($A24,Sheet4!$A:$B,2,0)</f>
        <v>BR CO-B SNICKERS 6 1.5QT</v>
      </c>
      <c r="F24" s="3" t="s">
        <v>35</v>
      </c>
    </row>
    <row r="25" spans="1:6" x14ac:dyDescent="0.25">
      <c r="A25" s="3">
        <v>64341968</v>
      </c>
      <c r="B25" s="3">
        <v>1352</v>
      </c>
      <c r="C25" s="24">
        <v>4928</v>
      </c>
      <c r="D25" s="4">
        <v>46082</v>
      </c>
      <c r="E25" t="str">
        <f>VLOOKUP($A25,Sheet4!$A:$B,2,0)</f>
        <v>BR CO-B SNICKERS 6 1.5QT</v>
      </c>
      <c r="F25" s="3" t="s">
        <v>35</v>
      </c>
    </row>
    <row r="26" spans="1:6" x14ac:dyDescent="0.25">
      <c r="A26" s="3">
        <v>64341968</v>
      </c>
      <c r="B26" s="3">
        <v>1352</v>
      </c>
      <c r="C26" s="24">
        <v>9046</v>
      </c>
      <c r="D26" s="4">
        <v>46083</v>
      </c>
      <c r="E26" t="str">
        <f>VLOOKUP($A26,Sheet4!$A:$B,2,0)</f>
        <v>BR CO-B SNICKERS 6 1.5QT</v>
      </c>
      <c r="F26" s="3" t="s">
        <v>35</v>
      </c>
    </row>
    <row r="27" spans="1:6" x14ac:dyDescent="0.25">
      <c r="A27" s="3">
        <v>64341968</v>
      </c>
      <c r="B27" s="3">
        <v>1352</v>
      </c>
      <c r="C27" s="24">
        <v>154</v>
      </c>
      <c r="D27" s="4">
        <v>46084</v>
      </c>
      <c r="E27" t="str">
        <f>VLOOKUP($A27,Sheet4!$A:$B,2,0)</f>
        <v>BR CO-B SNICKERS 6 1.5QT</v>
      </c>
      <c r="F27" s="3" t="s">
        <v>35</v>
      </c>
    </row>
    <row r="28" spans="1:6" x14ac:dyDescent="0.25">
      <c r="A28" s="3">
        <v>64341968</v>
      </c>
      <c r="B28" s="3">
        <v>1352</v>
      </c>
      <c r="C28" s="24">
        <v>3696</v>
      </c>
      <c r="D28" s="4">
        <v>46083</v>
      </c>
      <c r="E28" t="str">
        <f>VLOOKUP($A28,Sheet4!$A:$B,2,0)</f>
        <v>BR CO-B SNICKERS 6 1.5QT</v>
      </c>
      <c r="F28" s="3" t="s">
        <v>35</v>
      </c>
    </row>
    <row r="29" spans="1:6" x14ac:dyDescent="0.25">
      <c r="A29" s="3">
        <v>64341968</v>
      </c>
      <c r="B29" s="3">
        <v>1352</v>
      </c>
      <c r="C29" s="24">
        <v>1701</v>
      </c>
      <c r="D29" s="4">
        <v>46084</v>
      </c>
      <c r="E29" t="str">
        <f>VLOOKUP($A29,Sheet4!$A:$B,2,0)</f>
        <v>BR CO-B SNICKERS 6 1.5QT</v>
      </c>
      <c r="F29" s="3" t="s">
        <v>35</v>
      </c>
    </row>
    <row r="30" spans="1:6" x14ac:dyDescent="0.25">
      <c r="A30" s="3">
        <v>64341968</v>
      </c>
      <c r="B30" s="3">
        <v>1352</v>
      </c>
      <c r="C30" s="24">
        <v>4928</v>
      </c>
      <c r="D30" s="4">
        <v>46084</v>
      </c>
      <c r="E30" t="str">
        <f>VLOOKUP($A30,Sheet4!$A:$B,2,0)</f>
        <v>BR CO-B SNICKERS 6 1.5QT</v>
      </c>
      <c r="F30" s="3" t="s">
        <v>35</v>
      </c>
    </row>
    <row r="31" spans="1:6" x14ac:dyDescent="0.25">
      <c r="A31" s="3">
        <v>64341968</v>
      </c>
      <c r="B31" s="3">
        <v>1352</v>
      </c>
      <c r="C31" s="24">
        <v>7860</v>
      </c>
      <c r="D31" s="4">
        <v>46085</v>
      </c>
      <c r="E31" t="str">
        <f>VLOOKUP($A31,Sheet4!$A:$B,2,0)</f>
        <v>BR CO-B SNICKERS 6 1.5QT</v>
      </c>
      <c r="F31" s="3" t="s">
        <v>35</v>
      </c>
    </row>
    <row r="32" spans="1:6" x14ac:dyDescent="0.25">
      <c r="A32" s="3">
        <v>64341968</v>
      </c>
      <c r="B32" s="3">
        <v>1352</v>
      </c>
      <c r="C32" s="24">
        <v>4224</v>
      </c>
      <c r="D32" s="4">
        <v>46085</v>
      </c>
      <c r="E32" t="str">
        <f>VLOOKUP($A32,Sheet4!$A:$B,2,0)</f>
        <v>BR CO-B SNICKERS 6 1.5QT</v>
      </c>
      <c r="F32" s="3" t="s">
        <v>35</v>
      </c>
    </row>
    <row r="33" spans="1:6" x14ac:dyDescent="0.25">
      <c r="A33" s="3">
        <v>64341968</v>
      </c>
      <c r="B33" s="3">
        <v>1352</v>
      </c>
      <c r="C33" s="24">
        <v>9338</v>
      </c>
      <c r="D33" s="4">
        <v>46086</v>
      </c>
      <c r="E33" t="str">
        <f>VLOOKUP($A33,Sheet4!$A:$B,2,0)</f>
        <v>BR CO-B SNICKERS 6 1.5QT</v>
      </c>
      <c r="F33" s="3" t="s">
        <v>35</v>
      </c>
    </row>
    <row r="34" spans="1:6" x14ac:dyDescent="0.25">
      <c r="A34" s="3">
        <v>64341968</v>
      </c>
      <c r="B34" s="3">
        <v>1352</v>
      </c>
      <c r="C34" s="24">
        <v>1523</v>
      </c>
      <c r="D34" s="4">
        <v>46086</v>
      </c>
      <c r="E34" t="str">
        <f>VLOOKUP($A34,Sheet4!$A:$B,2,0)</f>
        <v>BR CO-B SNICKERS 6 1.5QT</v>
      </c>
      <c r="F34" s="3" t="s">
        <v>35</v>
      </c>
    </row>
    <row r="35" spans="1:6" x14ac:dyDescent="0.25">
      <c r="A35" s="3">
        <v>64341968</v>
      </c>
      <c r="B35" s="3">
        <v>1352</v>
      </c>
      <c r="C35" s="24">
        <v>8487</v>
      </c>
      <c r="D35" s="4">
        <v>46087</v>
      </c>
      <c r="E35" t="str">
        <f>VLOOKUP($A35,Sheet4!$A:$B,2,0)</f>
        <v>BR CO-B SNICKERS 6 1.5QT</v>
      </c>
      <c r="F35" s="3" t="s">
        <v>35</v>
      </c>
    </row>
    <row r="36" spans="1:6" x14ac:dyDescent="0.25">
      <c r="A36" s="3">
        <v>64341968</v>
      </c>
      <c r="B36" s="3">
        <v>1352</v>
      </c>
      <c r="C36" s="24">
        <v>0</v>
      </c>
      <c r="D36" s="4">
        <v>46079</v>
      </c>
      <c r="E36" t="str">
        <f>VLOOKUP($A36,Sheet4!$A:$B,2,0)</f>
        <v>BR CO-B SNICKERS 6 1.5QT</v>
      </c>
      <c r="F36" s="3" t="s">
        <v>35</v>
      </c>
    </row>
    <row r="37" spans="1:6" x14ac:dyDescent="0.25">
      <c r="A37" s="3">
        <v>64341968</v>
      </c>
      <c r="B37" s="3">
        <v>1352</v>
      </c>
      <c r="C37" s="24">
        <v>1185</v>
      </c>
      <c r="D37" s="4">
        <v>46096</v>
      </c>
      <c r="E37" t="str">
        <f>VLOOKUP($A37,Sheet4!$A:$B,2,0)</f>
        <v>BR CO-B SNICKERS 6 1.5QT</v>
      </c>
      <c r="F37" s="3" t="s">
        <v>35</v>
      </c>
    </row>
    <row r="38" spans="1:6" x14ac:dyDescent="0.25">
      <c r="A38" s="3">
        <v>64341968</v>
      </c>
      <c r="B38" s="3">
        <v>1352</v>
      </c>
      <c r="C38" s="24">
        <v>4375</v>
      </c>
      <c r="D38" s="4">
        <v>46096</v>
      </c>
      <c r="E38" t="str">
        <f>VLOOKUP($A38,Sheet4!$A:$B,2,0)</f>
        <v>BR CO-B SNICKERS 6 1.5QT</v>
      </c>
      <c r="F38" s="3" t="s">
        <v>35</v>
      </c>
    </row>
    <row r="39" spans="1:6" x14ac:dyDescent="0.25">
      <c r="A39" s="3">
        <v>64341968</v>
      </c>
      <c r="B39" s="3">
        <v>1352</v>
      </c>
      <c r="C39" s="24">
        <v>4160</v>
      </c>
      <c r="D39" s="4">
        <v>46097</v>
      </c>
      <c r="E39" t="str">
        <f>VLOOKUP($A39,Sheet4!$A:$B,2,0)</f>
        <v>BR CO-B SNICKERS 6 1.5QT</v>
      </c>
      <c r="F39" s="3" t="s">
        <v>35</v>
      </c>
    </row>
    <row r="40" spans="1:6" x14ac:dyDescent="0.25">
      <c r="A40" s="3">
        <v>64341968</v>
      </c>
      <c r="B40" s="3">
        <v>1352</v>
      </c>
      <c r="C40" s="24">
        <v>3872</v>
      </c>
      <c r="D40" s="4">
        <v>46097</v>
      </c>
      <c r="E40" t="str">
        <f>VLOOKUP($A40,Sheet4!$A:$B,2,0)</f>
        <v>BR CO-B SNICKERS 6 1.5QT</v>
      </c>
      <c r="F40" s="3" t="s">
        <v>35</v>
      </c>
    </row>
    <row r="41" spans="1:6" x14ac:dyDescent="0.25">
      <c r="A41" s="3">
        <v>64341968</v>
      </c>
      <c r="B41" s="3">
        <v>1352</v>
      </c>
      <c r="C41" s="24">
        <v>8294</v>
      </c>
      <c r="D41" s="4">
        <v>46098</v>
      </c>
      <c r="E41" t="str">
        <f>VLOOKUP($A41,Sheet4!$A:$B,2,0)</f>
        <v>BR CO-B SNICKERS 6 1.5QT</v>
      </c>
      <c r="F41" s="3" t="s">
        <v>35</v>
      </c>
    </row>
    <row r="42" spans="1:6" x14ac:dyDescent="0.25">
      <c r="A42" s="3">
        <v>64341968</v>
      </c>
      <c r="B42" s="3">
        <v>1352</v>
      </c>
      <c r="C42" s="24">
        <v>5280</v>
      </c>
      <c r="D42" s="4">
        <v>46098</v>
      </c>
      <c r="E42" t="str">
        <f>VLOOKUP($A42,Sheet4!$A:$B,2,0)</f>
        <v>BR CO-B SNICKERS 6 1.5QT</v>
      </c>
      <c r="F42" s="3" t="s">
        <v>35</v>
      </c>
    </row>
    <row r="43" spans="1:6" x14ac:dyDescent="0.25">
      <c r="A43" s="3">
        <v>64341968</v>
      </c>
      <c r="B43" s="3">
        <v>1352</v>
      </c>
      <c r="C43" s="24">
        <v>6211</v>
      </c>
      <c r="D43" s="4">
        <v>46099</v>
      </c>
      <c r="E43" t="str">
        <f>VLOOKUP($A43,Sheet4!$A:$B,2,0)</f>
        <v>BR CO-B SNICKERS 6 1.5QT</v>
      </c>
      <c r="F43" s="3" t="s">
        <v>35</v>
      </c>
    </row>
    <row r="44" spans="1:6" x14ac:dyDescent="0.25">
      <c r="A44" s="3">
        <v>64341968</v>
      </c>
      <c r="B44" s="3">
        <v>1352</v>
      </c>
      <c r="C44" s="24">
        <v>4707</v>
      </c>
      <c r="D44" s="4">
        <v>46099</v>
      </c>
      <c r="E44" t="str">
        <f>VLOOKUP($A44,Sheet4!$A:$B,2,0)</f>
        <v>BR CO-B SNICKERS 6 1.5QT</v>
      </c>
      <c r="F44" s="3" t="s">
        <v>35</v>
      </c>
    </row>
    <row r="45" spans="1:6" x14ac:dyDescent="0.25">
      <c r="A45" s="3">
        <v>64341968</v>
      </c>
      <c r="B45" s="3">
        <v>1352</v>
      </c>
      <c r="C45" s="24">
        <v>6151</v>
      </c>
      <c r="D45" s="4">
        <v>46100</v>
      </c>
      <c r="E45" t="str">
        <f>VLOOKUP($A45,Sheet4!$A:$B,2,0)</f>
        <v>BR CO-B SNICKERS 6 1.5QT</v>
      </c>
      <c r="F45" s="3" t="s">
        <v>35</v>
      </c>
    </row>
    <row r="46" spans="1:6" x14ac:dyDescent="0.25">
      <c r="A46" s="3">
        <v>64341968</v>
      </c>
      <c r="B46" s="3">
        <v>1352</v>
      </c>
      <c r="C46" s="24">
        <v>4072</v>
      </c>
      <c r="D46" s="4">
        <v>46101</v>
      </c>
      <c r="E46" t="str">
        <f>VLOOKUP($A46,Sheet4!$A:$B,2,0)</f>
        <v>BR CO-B SNICKERS 6 1.5QT</v>
      </c>
      <c r="F46" s="3" t="s">
        <v>35</v>
      </c>
    </row>
    <row r="47" spans="1:6" x14ac:dyDescent="0.25">
      <c r="A47" s="3">
        <v>64341968</v>
      </c>
      <c r="B47" s="3">
        <v>1352</v>
      </c>
      <c r="C47" s="24">
        <v>1149</v>
      </c>
      <c r="D47" s="4">
        <v>46101</v>
      </c>
      <c r="E47" t="str">
        <f>VLOOKUP($A47,Sheet4!$A:$B,2,0)</f>
        <v>BR CO-B SNICKERS 6 1.5QT</v>
      </c>
      <c r="F47" s="3" t="s">
        <v>35</v>
      </c>
    </row>
    <row r="48" spans="1:6" x14ac:dyDescent="0.25">
      <c r="A48" s="3">
        <v>64399865</v>
      </c>
      <c r="B48" s="3">
        <v>1352</v>
      </c>
      <c r="C48" s="24">
        <v>1690</v>
      </c>
      <c r="D48" s="4">
        <v>46097</v>
      </c>
      <c r="E48" t="str">
        <f>VLOOKUP($A48,Sheet4!$A:$B,2,0)</f>
        <v>BR Smores Bar 8-6PK</v>
      </c>
      <c r="F48" s="3" t="s">
        <v>41</v>
      </c>
    </row>
    <row r="49" spans="1:6" x14ac:dyDescent="0.25">
      <c r="A49" s="3">
        <v>64399865</v>
      </c>
      <c r="B49" s="3">
        <v>1352</v>
      </c>
      <c r="C49" s="24">
        <v>2091</v>
      </c>
      <c r="D49" s="4">
        <v>46098</v>
      </c>
      <c r="E49" t="str">
        <f>VLOOKUP($A49,Sheet4!$A:$B,2,0)</f>
        <v>BR Smores Bar 8-6PK</v>
      </c>
      <c r="F49" s="3" t="s">
        <v>41</v>
      </c>
    </row>
    <row r="50" spans="1:6" x14ac:dyDescent="0.25">
      <c r="A50" s="3">
        <v>64399865</v>
      </c>
      <c r="B50" s="3">
        <v>1352</v>
      </c>
      <c r="C50" s="24">
        <v>1848</v>
      </c>
      <c r="D50" s="4">
        <v>46098</v>
      </c>
      <c r="E50" t="str">
        <f>VLOOKUP($A50,Sheet4!$A:$B,2,0)</f>
        <v>BR Smores Bar 8-6PK</v>
      </c>
      <c r="F50" s="3" t="s">
        <v>41</v>
      </c>
    </row>
    <row r="51" spans="1:6" x14ac:dyDescent="0.25">
      <c r="A51" s="3">
        <v>64399865</v>
      </c>
      <c r="B51" s="3">
        <v>1352</v>
      </c>
      <c r="C51" s="24">
        <v>1687</v>
      </c>
      <c r="D51" s="4">
        <v>46099</v>
      </c>
      <c r="E51" t="str">
        <f>VLOOKUP($A51,Sheet4!$A:$B,2,0)</f>
        <v>BR Smores Bar 8-6PK</v>
      </c>
      <c r="F51" s="3" t="s">
        <v>41</v>
      </c>
    </row>
    <row r="52" spans="1:6" x14ac:dyDescent="0.25">
      <c r="A52" s="3">
        <v>64399865</v>
      </c>
      <c r="B52" s="3">
        <v>1352</v>
      </c>
      <c r="C52" s="24">
        <v>1692</v>
      </c>
      <c r="D52" s="4">
        <v>46099</v>
      </c>
      <c r="E52" t="str">
        <f>VLOOKUP($A52,Sheet4!$A:$B,2,0)</f>
        <v>BR Smores Bar 8-6PK</v>
      </c>
      <c r="F52" s="3" t="s">
        <v>41</v>
      </c>
    </row>
    <row r="53" spans="1:6" x14ac:dyDescent="0.25">
      <c r="A53" s="3">
        <v>64399865</v>
      </c>
      <c r="B53" s="3">
        <v>1352</v>
      </c>
      <c r="C53" s="24">
        <v>2464</v>
      </c>
      <c r="D53" s="4">
        <v>46100</v>
      </c>
      <c r="E53" t="str">
        <f>VLOOKUP($A53,Sheet4!$A:$B,2,0)</f>
        <v>BR Smores Bar 8-6PK</v>
      </c>
      <c r="F53" s="3" t="s">
        <v>41</v>
      </c>
    </row>
    <row r="54" spans="1:6" x14ac:dyDescent="0.25">
      <c r="A54" s="3">
        <v>64399865</v>
      </c>
      <c r="B54" s="3">
        <v>1352</v>
      </c>
      <c r="C54" s="24">
        <v>2152</v>
      </c>
      <c r="D54" s="4">
        <v>46100</v>
      </c>
      <c r="E54" t="str">
        <f>VLOOKUP($A54,Sheet4!$A:$B,2,0)</f>
        <v>BR Smores Bar 8-6PK</v>
      </c>
      <c r="F54" s="3" t="s">
        <v>41</v>
      </c>
    </row>
    <row r="55" spans="1:6" x14ac:dyDescent="0.25">
      <c r="A55" s="3">
        <v>64399865</v>
      </c>
      <c r="B55" s="3">
        <v>1352</v>
      </c>
      <c r="C55" s="24">
        <v>99</v>
      </c>
      <c r="D55" s="4">
        <v>46101</v>
      </c>
      <c r="E55" t="str">
        <f>VLOOKUP($A55,Sheet4!$A:$B,2,0)</f>
        <v>BR Smores Bar 8-6PK</v>
      </c>
      <c r="F55" s="3" t="s">
        <v>41</v>
      </c>
    </row>
    <row r="56" spans="1:6" x14ac:dyDescent="0.25">
      <c r="A56" s="3">
        <v>64399865</v>
      </c>
      <c r="B56" s="3">
        <v>1352</v>
      </c>
      <c r="C56" s="24">
        <v>1</v>
      </c>
      <c r="D56" s="4">
        <v>46105</v>
      </c>
      <c r="E56" t="str">
        <f>VLOOKUP($A56,Sheet4!$A:$B,2,0)</f>
        <v>BR Smores Bar 8-6PK</v>
      </c>
      <c r="F56" s="3" t="s">
        <v>41</v>
      </c>
    </row>
    <row r="57" spans="1:6" x14ac:dyDescent="0.25">
      <c r="A57" s="3">
        <v>64776952</v>
      </c>
      <c r="B57" s="3">
        <v>1352</v>
      </c>
      <c r="C57" s="24">
        <v>1560</v>
      </c>
      <c r="D57" s="4">
        <v>46080</v>
      </c>
      <c r="E57" t="str">
        <f>VLOOKUP($A57,Sheet4!$A:$B,2,0)</f>
        <v>PS Firecracker 6-18PK</v>
      </c>
      <c r="F57" s="3" t="s">
        <v>72</v>
      </c>
    </row>
    <row r="58" spans="1:6" x14ac:dyDescent="0.25">
      <c r="A58" s="3">
        <v>64776952</v>
      </c>
      <c r="B58" s="3">
        <v>1352</v>
      </c>
      <c r="C58" s="24">
        <v>2669</v>
      </c>
      <c r="D58" s="4">
        <v>46081</v>
      </c>
      <c r="E58" t="str">
        <f>VLOOKUP($A58,Sheet4!$A:$B,2,0)</f>
        <v>PS Firecracker 6-18PK</v>
      </c>
      <c r="F58" s="3" t="s">
        <v>72</v>
      </c>
    </row>
    <row r="59" spans="1:6" x14ac:dyDescent="0.25">
      <c r="A59" s="3">
        <v>64776952</v>
      </c>
      <c r="B59" s="3">
        <v>1352</v>
      </c>
      <c r="C59" s="24">
        <v>1300</v>
      </c>
      <c r="D59" s="4">
        <v>46077</v>
      </c>
      <c r="E59" t="str">
        <f>VLOOKUP($A59,Sheet4!$A:$B,2,0)</f>
        <v>PS Firecracker 6-18PK</v>
      </c>
      <c r="F59" s="3" t="s">
        <v>72</v>
      </c>
    </row>
    <row r="60" spans="1:6" x14ac:dyDescent="0.25">
      <c r="A60" s="3">
        <v>64776952</v>
      </c>
      <c r="B60" s="3">
        <v>1352</v>
      </c>
      <c r="C60" s="24">
        <v>910</v>
      </c>
      <c r="D60" s="4">
        <v>46078</v>
      </c>
      <c r="E60" t="str">
        <f>VLOOKUP($A60,Sheet4!$A:$B,2,0)</f>
        <v>PS Firecracker 6-18PK</v>
      </c>
      <c r="F60" s="3" t="s">
        <v>72</v>
      </c>
    </row>
    <row r="61" spans="1:6" x14ac:dyDescent="0.25">
      <c r="A61" s="3">
        <v>64776952</v>
      </c>
      <c r="B61" s="3">
        <v>1352</v>
      </c>
      <c r="C61" s="24">
        <v>520</v>
      </c>
      <c r="D61" s="4">
        <v>46078</v>
      </c>
      <c r="E61" t="str">
        <f>VLOOKUP($A61,Sheet4!$A:$B,2,0)</f>
        <v>PS Firecracker 6-18PK</v>
      </c>
      <c r="F61" s="3" t="s">
        <v>72</v>
      </c>
    </row>
    <row r="62" spans="1:6" x14ac:dyDescent="0.25">
      <c r="A62" s="3">
        <v>64776952</v>
      </c>
      <c r="B62" s="3">
        <v>1352</v>
      </c>
      <c r="C62" s="24">
        <v>1872</v>
      </c>
      <c r="D62" s="4">
        <v>46079</v>
      </c>
      <c r="E62" t="str">
        <f>VLOOKUP($A62,Sheet4!$A:$B,2,0)</f>
        <v>PS Firecracker 6-18PK</v>
      </c>
      <c r="F62" s="3" t="s">
        <v>72</v>
      </c>
    </row>
    <row r="63" spans="1:6" x14ac:dyDescent="0.25">
      <c r="A63" s="3">
        <v>64776952</v>
      </c>
      <c r="B63" s="3">
        <v>1352</v>
      </c>
      <c r="C63" s="24">
        <v>910</v>
      </c>
      <c r="D63" s="4">
        <v>46079</v>
      </c>
      <c r="E63" t="str">
        <f>VLOOKUP($A63,Sheet4!$A:$B,2,0)</f>
        <v>PS Firecracker 6-18PK</v>
      </c>
      <c r="F63" s="3" t="s">
        <v>72</v>
      </c>
    </row>
    <row r="64" spans="1:6" x14ac:dyDescent="0.25">
      <c r="A64" s="3">
        <v>64776952</v>
      </c>
      <c r="B64" s="3">
        <v>1352</v>
      </c>
      <c r="C64" s="24">
        <v>2274</v>
      </c>
      <c r="D64" s="4">
        <v>46080</v>
      </c>
      <c r="E64" t="str">
        <f>VLOOKUP($A64,Sheet4!$A:$B,2,0)</f>
        <v>PS Firecracker 6-18PK</v>
      </c>
      <c r="F64" s="3" t="s">
        <v>72</v>
      </c>
    </row>
    <row r="65" spans="1:6" x14ac:dyDescent="0.25">
      <c r="A65" s="3">
        <v>64776952</v>
      </c>
      <c r="B65" s="3">
        <v>1352</v>
      </c>
      <c r="C65" s="24">
        <v>997</v>
      </c>
      <c r="D65" s="4">
        <v>46077</v>
      </c>
      <c r="E65" t="str">
        <f>VLOOKUP($A65,Sheet4!$A:$B,2,0)</f>
        <v>PS Firecracker 6-18PK</v>
      </c>
      <c r="F65" s="3" t="s">
        <v>72</v>
      </c>
    </row>
    <row r="66" spans="1:6" x14ac:dyDescent="0.25">
      <c r="A66" s="3">
        <v>64776952</v>
      </c>
      <c r="B66" s="3">
        <v>1352</v>
      </c>
      <c r="C66" s="24">
        <v>780</v>
      </c>
      <c r="D66" s="4">
        <v>46083</v>
      </c>
      <c r="E66" t="str">
        <f>VLOOKUP($A66,Sheet4!$A:$B,2,0)</f>
        <v>PS Firecracker 6-18PK</v>
      </c>
      <c r="F66" s="3" t="s">
        <v>72</v>
      </c>
    </row>
    <row r="67" spans="1:6" x14ac:dyDescent="0.25">
      <c r="A67" s="3">
        <v>64776952</v>
      </c>
      <c r="B67" s="3">
        <v>1352</v>
      </c>
      <c r="C67" s="24">
        <v>2587</v>
      </c>
      <c r="D67" s="4">
        <v>46084</v>
      </c>
      <c r="E67" t="str">
        <f>VLOOKUP($A67,Sheet4!$A:$B,2,0)</f>
        <v>PS Firecracker 6-18PK</v>
      </c>
      <c r="F67" s="3" t="s">
        <v>72</v>
      </c>
    </row>
    <row r="68" spans="1:6" x14ac:dyDescent="0.25">
      <c r="A68" s="3">
        <v>64776952</v>
      </c>
      <c r="B68" s="3">
        <v>1352</v>
      </c>
      <c r="C68" s="24">
        <v>130</v>
      </c>
      <c r="D68" s="4">
        <v>46105</v>
      </c>
      <c r="E68" t="str">
        <f>VLOOKUP($A68,Sheet4!$A:$B,2,0)</f>
        <v>PS Firecracker 6-18PK</v>
      </c>
      <c r="F68" s="3" t="s">
        <v>72</v>
      </c>
    </row>
    <row r="69" spans="1:6" x14ac:dyDescent="0.25">
      <c r="A69" s="3">
        <v>64776952</v>
      </c>
      <c r="B69" s="3">
        <v>1352</v>
      </c>
      <c r="C69" s="24">
        <v>1430</v>
      </c>
      <c r="D69" s="4">
        <v>46084</v>
      </c>
      <c r="E69" t="str">
        <f>VLOOKUP($A69,Sheet4!$A:$B,2,0)</f>
        <v>PS Firecracker 6-18PK</v>
      </c>
      <c r="F69" s="3" t="s">
        <v>72</v>
      </c>
    </row>
    <row r="70" spans="1:6" x14ac:dyDescent="0.25">
      <c r="A70" s="3">
        <v>64776952</v>
      </c>
      <c r="B70" s="3">
        <v>1352</v>
      </c>
      <c r="C70" s="24">
        <v>1814</v>
      </c>
      <c r="D70" s="4">
        <v>46085</v>
      </c>
      <c r="E70" t="str">
        <f>VLOOKUP($A70,Sheet4!$A:$B,2,0)</f>
        <v>PS Firecracker 6-18PK</v>
      </c>
      <c r="F70" s="3" t="s">
        <v>72</v>
      </c>
    </row>
    <row r="71" spans="1:6" x14ac:dyDescent="0.25">
      <c r="A71" s="3">
        <v>64776952</v>
      </c>
      <c r="B71" s="3">
        <v>1352</v>
      </c>
      <c r="C71" s="24">
        <v>1300</v>
      </c>
      <c r="D71" s="4">
        <v>46085</v>
      </c>
      <c r="E71" t="str">
        <f>VLOOKUP($A71,Sheet4!$A:$B,2,0)</f>
        <v>PS Firecracker 6-18PK</v>
      </c>
      <c r="F71" s="3" t="s">
        <v>72</v>
      </c>
    </row>
    <row r="72" spans="1:6" x14ac:dyDescent="0.25">
      <c r="A72" s="3">
        <v>64776952</v>
      </c>
      <c r="B72" s="3">
        <v>1352</v>
      </c>
      <c r="C72" s="24">
        <v>2704</v>
      </c>
      <c r="D72" s="4">
        <v>46086</v>
      </c>
      <c r="E72" t="str">
        <f>VLOOKUP($A72,Sheet4!$A:$B,2,0)</f>
        <v>PS Firecracker 6-18PK</v>
      </c>
      <c r="F72" s="3" t="s">
        <v>72</v>
      </c>
    </row>
    <row r="73" spans="1:6" x14ac:dyDescent="0.25">
      <c r="A73" s="3">
        <v>64776952</v>
      </c>
      <c r="B73" s="3">
        <v>1352</v>
      </c>
      <c r="C73" s="24">
        <v>1560</v>
      </c>
      <c r="D73" s="4">
        <v>46086</v>
      </c>
      <c r="E73" t="str">
        <f>VLOOKUP($A73,Sheet4!$A:$B,2,0)</f>
        <v>PS Firecracker 6-18PK</v>
      </c>
      <c r="F73" s="3" t="s">
        <v>72</v>
      </c>
    </row>
    <row r="74" spans="1:6" x14ac:dyDescent="0.25">
      <c r="A74" s="3">
        <v>64776952</v>
      </c>
      <c r="B74" s="3">
        <v>1352</v>
      </c>
      <c r="C74" s="24">
        <v>2210</v>
      </c>
      <c r="D74" s="4">
        <v>46087</v>
      </c>
      <c r="E74" t="str">
        <f>VLOOKUP($A74,Sheet4!$A:$B,2,0)</f>
        <v>PS Firecracker 6-18PK</v>
      </c>
      <c r="F74" s="3" t="s">
        <v>72</v>
      </c>
    </row>
    <row r="75" spans="1:6" x14ac:dyDescent="0.25">
      <c r="A75" s="3">
        <v>64776952</v>
      </c>
      <c r="B75" s="3">
        <v>1352</v>
      </c>
      <c r="C75" s="24">
        <v>1560</v>
      </c>
      <c r="D75" s="4">
        <v>46087</v>
      </c>
      <c r="E75" t="str">
        <f>VLOOKUP($A75,Sheet4!$A:$B,2,0)</f>
        <v>PS Firecracker 6-18PK</v>
      </c>
      <c r="F75" s="3" t="s">
        <v>72</v>
      </c>
    </row>
    <row r="76" spans="1:6" x14ac:dyDescent="0.25">
      <c r="A76" s="3">
        <v>64776952</v>
      </c>
      <c r="B76" s="3">
        <v>1352</v>
      </c>
      <c r="C76" s="24">
        <v>2571</v>
      </c>
      <c r="D76" s="4">
        <v>46088</v>
      </c>
      <c r="E76" t="str">
        <f>VLOOKUP($A76,Sheet4!$A:$B,2,0)</f>
        <v>PS Firecracker 6-18PK</v>
      </c>
      <c r="F76" s="3" t="s">
        <v>72</v>
      </c>
    </row>
    <row r="77" spans="1:6" x14ac:dyDescent="0.25">
      <c r="A77" s="3">
        <v>64776952</v>
      </c>
      <c r="B77" s="3">
        <v>1352</v>
      </c>
      <c r="C77" s="24">
        <v>1170</v>
      </c>
      <c r="D77" s="4">
        <v>46104</v>
      </c>
      <c r="E77" t="str">
        <f>VLOOKUP($A77,Sheet4!$A:$B,2,0)</f>
        <v>PS Firecracker 6-18PK</v>
      </c>
      <c r="F77" s="3" t="s">
        <v>72</v>
      </c>
    </row>
    <row r="78" spans="1:6" x14ac:dyDescent="0.25">
      <c r="A78" s="3">
        <v>64776952</v>
      </c>
      <c r="B78" s="3">
        <v>1352</v>
      </c>
      <c r="C78" s="24">
        <v>427</v>
      </c>
      <c r="D78" s="4">
        <v>46105</v>
      </c>
      <c r="E78" t="str">
        <f>VLOOKUP($A78,Sheet4!$A:$B,2,0)</f>
        <v>PS Firecracker 6-18PK</v>
      </c>
      <c r="F78" s="3" t="s">
        <v>72</v>
      </c>
    </row>
    <row r="79" spans="1:6" x14ac:dyDescent="0.25">
      <c r="A79" s="3">
        <v>64776952</v>
      </c>
      <c r="B79" s="3">
        <v>1352</v>
      </c>
      <c r="C79" s="24">
        <v>1170</v>
      </c>
      <c r="D79" s="4">
        <v>46105</v>
      </c>
      <c r="E79" t="str">
        <f>VLOOKUP($A79,Sheet4!$A:$B,2,0)</f>
        <v>PS Firecracker 6-18PK</v>
      </c>
      <c r="F79" s="3" t="s">
        <v>72</v>
      </c>
    </row>
    <row r="80" spans="1:6" x14ac:dyDescent="0.25">
      <c r="A80" s="3">
        <v>64776954</v>
      </c>
      <c r="B80" s="3">
        <v>1352</v>
      </c>
      <c r="C80" s="24">
        <v>390</v>
      </c>
      <c r="D80" s="4">
        <v>46083</v>
      </c>
      <c r="E80" t="str">
        <f>VLOOKUP($A80,Sheet4!$A:$B,2,0)</f>
        <v>PS Scribblers Natural 6-18PK</v>
      </c>
      <c r="F80" s="3" t="s">
        <v>76</v>
      </c>
    </row>
    <row r="81" spans="1:6" x14ac:dyDescent="0.25">
      <c r="A81" s="3">
        <v>64776954</v>
      </c>
      <c r="B81" s="3">
        <v>1352</v>
      </c>
      <c r="C81" s="24">
        <v>3314</v>
      </c>
      <c r="D81" s="4">
        <v>46084</v>
      </c>
      <c r="E81" t="str">
        <f>VLOOKUP($A81,Sheet4!$A:$B,2,0)</f>
        <v>PS Scribblers Natural 6-18PK</v>
      </c>
      <c r="F81" s="3" t="s">
        <v>76</v>
      </c>
    </row>
    <row r="82" spans="1:6" x14ac:dyDescent="0.25">
      <c r="A82" s="3">
        <v>64776954</v>
      </c>
      <c r="B82" s="3">
        <v>1352</v>
      </c>
      <c r="C82" s="24">
        <v>1560</v>
      </c>
      <c r="D82" s="4">
        <v>46084</v>
      </c>
      <c r="E82" t="str">
        <f>VLOOKUP($A82,Sheet4!$A:$B,2,0)</f>
        <v>PS Scribblers Natural 6-18PK</v>
      </c>
      <c r="F82" s="3" t="s">
        <v>76</v>
      </c>
    </row>
    <row r="83" spans="1:6" x14ac:dyDescent="0.25">
      <c r="A83" s="3">
        <v>64776954</v>
      </c>
      <c r="B83" s="3">
        <v>1352</v>
      </c>
      <c r="C83" s="24">
        <v>1683</v>
      </c>
      <c r="D83" s="4">
        <v>46085</v>
      </c>
      <c r="E83" t="str">
        <f>VLOOKUP($A83,Sheet4!$A:$B,2,0)</f>
        <v>PS Scribblers Natural 6-18PK</v>
      </c>
      <c r="F83" s="3" t="s">
        <v>76</v>
      </c>
    </row>
    <row r="84" spans="1:6" x14ac:dyDescent="0.25">
      <c r="A84" s="3">
        <v>64776954</v>
      </c>
      <c r="B84" s="3">
        <v>1352</v>
      </c>
      <c r="C84" s="24">
        <v>1040</v>
      </c>
      <c r="D84" s="4">
        <v>46085</v>
      </c>
      <c r="E84" t="str">
        <f>VLOOKUP($A84,Sheet4!$A:$B,2,0)</f>
        <v>PS Scribblers Natural 6-18PK</v>
      </c>
      <c r="F84" s="3" t="s">
        <v>76</v>
      </c>
    </row>
    <row r="85" spans="1:6" x14ac:dyDescent="0.25">
      <c r="A85" s="3">
        <v>64776954</v>
      </c>
      <c r="B85" s="3">
        <v>1352</v>
      </c>
      <c r="C85" s="24">
        <v>3141</v>
      </c>
      <c r="D85" s="4">
        <v>46086</v>
      </c>
      <c r="E85" t="str">
        <f>VLOOKUP($A85,Sheet4!$A:$B,2,0)</f>
        <v>PS Scribblers Natural 6-18PK</v>
      </c>
      <c r="F85" s="3" t="s">
        <v>76</v>
      </c>
    </row>
    <row r="86" spans="1:6" x14ac:dyDescent="0.25">
      <c r="A86" s="3">
        <v>64776954</v>
      </c>
      <c r="B86" s="3">
        <v>1352</v>
      </c>
      <c r="C86" s="24">
        <v>1430</v>
      </c>
      <c r="D86" s="4">
        <v>46086</v>
      </c>
      <c r="E86" t="str">
        <f>VLOOKUP($A86,Sheet4!$A:$B,2,0)</f>
        <v>PS Scribblers Natural 6-18PK</v>
      </c>
      <c r="F86" s="3" t="s">
        <v>76</v>
      </c>
    </row>
    <row r="87" spans="1:6" x14ac:dyDescent="0.25">
      <c r="A87" s="3">
        <v>64776954</v>
      </c>
      <c r="B87" s="3">
        <v>1352</v>
      </c>
      <c r="C87" s="24">
        <v>2728</v>
      </c>
      <c r="D87" s="4">
        <v>46087</v>
      </c>
      <c r="E87" t="str">
        <f>VLOOKUP($A87,Sheet4!$A:$B,2,0)</f>
        <v>PS Scribblers Natural 6-18PK</v>
      </c>
      <c r="F87" s="3" t="s">
        <v>76</v>
      </c>
    </row>
    <row r="88" spans="1:6" x14ac:dyDescent="0.25">
      <c r="A88" s="3">
        <v>64776954</v>
      </c>
      <c r="B88" s="3">
        <v>1352</v>
      </c>
      <c r="C88" s="24">
        <v>1430</v>
      </c>
      <c r="D88" s="4">
        <v>46087</v>
      </c>
      <c r="E88" t="str">
        <f>VLOOKUP($A88,Sheet4!$A:$B,2,0)</f>
        <v>PS Scribblers Natural 6-18PK</v>
      </c>
      <c r="F88" s="3" t="s">
        <v>76</v>
      </c>
    </row>
    <row r="89" spans="1:6" x14ac:dyDescent="0.25">
      <c r="A89" s="3">
        <v>64776954</v>
      </c>
      <c r="B89" s="3">
        <v>1352</v>
      </c>
      <c r="C89" s="24">
        <v>2178</v>
      </c>
      <c r="D89" s="4">
        <v>46088</v>
      </c>
      <c r="E89" t="str">
        <f>VLOOKUP($A89,Sheet4!$A:$B,2,0)</f>
        <v>PS Scribblers Natural 6-18PK</v>
      </c>
      <c r="F89" s="3" t="s">
        <v>76</v>
      </c>
    </row>
    <row r="90" spans="1:6" x14ac:dyDescent="0.25">
      <c r="A90" s="3">
        <v>64776954</v>
      </c>
      <c r="B90" s="3">
        <v>1352</v>
      </c>
      <c r="C90" s="24">
        <v>1690</v>
      </c>
      <c r="D90" s="4">
        <v>46090</v>
      </c>
      <c r="E90" t="str">
        <f>VLOOKUP($A90,Sheet4!$A:$B,2,0)</f>
        <v>PS Scribblers Natural 6-18PK</v>
      </c>
      <c r="F90" s="3" t="s">
        <v>76</v>
      </c>
    </row>
    <row r="91" spans="1:6" x14ac:dyDescent="0.25">
      <c r="A91" s="3">
        <v>64776954</v>
      </c>
      <c r="B91" s="3">
        <v>1352</v>
      </c>
      <c r="C91" s="24">
        <v>1766</v>
      </c>
      <c r="D91" s="4">
        <v>46091</v>
      </c>
      <c r="E91" t="str">
        <f>VLOOKUP($A91,Sheet4!$A:$B,2,0)</f>
        <v>PS Scribblers Natural 6-18PK</v>
      </c>
      <c r="F91" s="3" t="s">
        <v>76</v>
      </c>
    </row>
    <row r="92" spans="1:6" x14ac:dyDescent="0.25">
      <c r="A92" s="3">
        <v>64776954</v>
      </c>
      <c r="B92" s="3">
        <v>1352</v>
      </c>
      <c r="C92" s="24">
        <v>2080</v>
      </c>
      <c r="D92" s="4">
        <v>46091</v>
      </c>
      <c r="E92" t="str">
        <f>VLOOKUP($A92,Sheet4!$A:$B,2,0)</f>
        <v>PS Scribblers Natural 6-18PK</v>
      </c>
      <c r="F92" s="3" t="s">
        <v>76</v>
      </c>
    </row>
    <row r="93" spans="1:6" x14ac:dyDescent="0.25">
      <c r="A93" s="3">
        <v>64776954</v>
      </c>
      <c r="B93" s="3">
        <v>1352</v>
      </c>
      <c r="C93" s="24">
        <v>2436</v>
      </c>
      <c r="D93" s="4">
        <v>46092</v>
      </c>
      <c r="E93" t="str">
        <f>VLOOKUP($A93,Sheet4!$A:$B,2,0)</f>
        <v>PS Scribblers Natural 6-18PK</v>
      </c>
      <c r="F93" s="3" t="s">
        <v>76</v>
      </c>
    </row>
    <row r="94" spans="1:6" x14ac:dyDescent="0.25">
      <c r="A94" s="3">
        <v>64776954</v>
      </c>
      <c r="B94" s="3">
        <v>1352</v>
      </c>
      <c r="C94" s="24">
        <v>1560</v>
      </c>
      <c r="D94" s="4">
        <v>46092</v>
      </c>
      <c r="E94" t="str">
        <f>VLOOKUP($A94,Sheet4!$A:$B,2,0)</f>
        <v>PS Scribblers Natural 6-18PK</v>
      </c>
      <c r="F94" s="3" t="s">
        <v>76</v>
      </c>
    </row>
    <row r="95" spans="1:6" x14ac:dyDescent="0.25">
      <c r="A95" s="3">
        <v>64776954</v>
      </c>
      <c r="B95" s="3">
        <v>1352</v>
      </c>
      <c r="C95" s="24">
        <v>2696</v>
      </c>
      <c r="D95" s="4">
        <v>46093</v>
      </c>
      <c r="E95" t="str">
        <f>VLOOKUP($A95,Sheet4!$A:$B,2,0)</f>
        <v>PS Scribblers Natural 6-18PK</v>
      </c>
      <c r="F95" s="3" t="s">
        <v>76</v>
      </c>
    </row>
    <row r="96" spans="1:6" x14ac:dyDescent="0.25">
      <c r="A96" s="3">
        <v>64776954</v>
      </c>
      <c r="B96" s="3">
        <v>1352</v>
      </c>
      <c r="C96" s="24">
        <v>1560</v>
      </c>
      <c r="D96" s="4">
        <v>46093</v>
      </c>
      <c r="E96" t="str">
        <f>VLOOKUP($A96,Sheet4!$A:$B,2,0)</f>
        <v>PS Scribblers Natural 6-18PK</v>
      </c>
      <c r="F96" s="3" t="s">
        <v>76</v>
      </c>
    </row>
    <row r="97" spans="1:6" x14ac:dyDescent="0.25">
      <c r="A97" s="3">
        <v>64776954</v>
      </c>
      <c r="B97" s="3">
        <v>1352</v>
      </c>
      <c r="C97" s="24">
        <v>2360</v>
      </c>
      <c r="D97" s="4">
        <v>46094</v>
      </c>
      <c r="E97" t="str">
        <f>VLOOKUP($A97,Sheet4!$A:$B,2,0)</f>
        <v>PS Scribblers Natural 6-18PK</v>
      </c>
      <c r="F97" s="3" t="s">
        <v>76</v>
      </c>
    </row>
    <row r="98" spans="1:6" x14ac:dyDescent="0.25">
      <c r="A98" s="3">
        <v>64776954</v>
      </c>
      <c r="B98" s="3">
        <v>1352</v>
      </c>
      <c r="C98" s="24">
        <v>130</v>
      </c>
      <c r="D98" s="4">
        <v>46096</v>
      </c>
      <c r="E98" t="str">
        <f>VLOOKUP($A98,Sheet4!$A:$B,2,0)</f>
        <v>PS Scribblers Natural 6-18PK</v>
      </c>
      <c r="F98" s="3" t="s">
        <v>76</v>
      </c>
    </row>
    <row r="99" spans="1:6" x14ac:dyDescent="0.25">
      <c r="A99" s="3">
        <v>64776954</v>
      </c>
      <c r="B99" s="3">
        <v>1352</v>
      </c>
      <c r="C99" s="24">
        <v>1040</v>
      </c>
      <c r="D99" s="4">
        <v>46094</v>
      </c>
      <c r="E99" t="str">
        <f>VLOOKUP($A99,Sheet4!$A:$B,2,0)</f>
        <v>PS Scribblers Natural 6-18PK</v>
      </c>
      <c r="F99" s="3" t="s">
        <v>76</v>
      </c>
    </row>
    <row r="100" spans="1:6" x14ac:dyDescent="0.25">
      <c r="A100" s="3">
        <v>64776954</v>
      </c>
      <c r="B100" s="3">
        <v>1352</v>
      </c>
      <c r="C100" s="24">
        <v>1395</v>
      </c>
      <c r="D100" s="4">
        <v>46095</v>
      </c>
      <c r="E100" t="str">
        <f>VLOOKUP($A100,Sheet4!$A:$B,2,0)</f>
        <v>PS Scribblers Natural 6-18PK</v>
      </c>
      <c r="F100" s="3" t="s">
        <v>76</v>
      </c>
    </row>
    <row r="101" spans="1:6" x14ac:dyDescent="0.25">
      <c r="A101" s="3">
        <v>64776954</v>
      </c>
      <c r="B101" s="3">
        <v>1352</v>
      </c>
      <c r="C101" s="24">
        <v>650</v>
      </c>
      <c r="D101" s="4">
        <v>46097</v>
      </c>
      <c r="E101" t="str">
        <f>VLOOKUP($A101,Sheet4!$A:$B,2,0)</f>
        <v>PS Scribblers Natural 6-18PK</v>
      </c>
      <c r="F101" s="3" t="s">
        <v>76</v>
      </c>
    </row>
    <row r="102" spans="1:6" x14ac:dyDescent="0.25">
      <c r="A102" s="3">
        <v>64776954</v>
      </c>
      <c r="B102" s="3">
        <v>1352</v>
      </c>
      <c r="C102" s="24">
        <v>2384</v>
      </c>
      <c r="D102" s="4">
        <v>46098</v>
      </c>
      <c r="E102" t="str">
        <f>VLOOKUP($A102,Sheet4!$A:$B,2,0)</f>
        <v>PS Scribblers Natural 6-18PK</v>
      </c>
      <c r="F102" s="3" t="s">
        <v>76</v>
      </c>
    </row>
    <row r="103" spans="1:6" x14ac:dyDescent="0.25">
      <c r="A103" s="3">
        <v>64776954</v>
      </c>
      <c r="B103" s="3">
        <v>1352</v>
      </c>
      <c r="C103" s="24">
        <v>2457</v>
      </c>
      <c r="D103" s="4">
        <v>46098</v>
      </c>
      <c r="E103" t="str">
        <f>VLOOKUP($A103,Sheet4!$A:$B,2,0)</f>
        <v>PS Scribblers Natural 6-18PK</v>
      </c>
      <c r="F103" s="3" t="s">
        <v>76</v>
      </c>
    </row>
    <row r="104" spans="1:6" x14ac:dyDescent="0.25">
      <c r="A104" s="3">
        <v>64776954</v>
      </c>
      <c r="B104" s="3">
        <v>1352</v>
      </c>
      <c r="C104" s="24">
        <v>3022</v>
      </c>
      <c r="D104" s="4">
        <v>46099</v>
      </c>
      <c r="E104" t="str">
        <f>VLOOKUP($A104,Sheet4!$A:$B,2,0)</f>
        <v>PS Scribblers Natural 6-18PK</v>
      </c>
      <c r="F104" s="3" t="s">
        <v>76</v>
      </c>
    </row>
    <row r="105" spans="1:6" x14ac:dyDescent="0.25">
      <c r="A105" s="3">
        <v>64776954</v>
      </c>
      <c r="B105" s="3">
        <v>1352</v>
      </c>
      <c r="C105" s="24">
        <v>1690</v>
      </c>
      <c r="D105" s="4">
        <v>46099</v>
      </c>
      <c r="E105" t="str">
        <f>VLOOKUP($A105,Sheet4!$A:$B,2,0)</f>
        <v>PS Scribblers Natural 6-18PK</v>
      </c>
      <c r="F105" s="3" t="s">
        <v>76</v>
      </c>
    </row>
    <row r="106" spans="1:6" x14ac:dyDescent="0.25">
      <c r="A106" s="3">
        <v>64776954</v>
      </c>
      <c r="B106" s="3">
        <v>1352</v>
      </c>
      <c r="C106" s="24">
        <v>2637</v>
      </c>
      <c r="D106" s="4">
        <v>46100</v>
      </c>
      <c r="E106" t="str">
        <f>VLOOKUP($A106,Sheet4!$A:$B,2,0)</f>
        <v>PS Scribblers Natural 6-18PK</v>
      </c>
      <c r="F106" s="3" t="s">
        <v>76</v>
      </c>
    </row>
    <row r="107" spans="1:6" x14ac:dyDescent="0.25">
      <c r="A107" s="3">
        <v>64776954</v>
      </c>
      <c r="B107" s="3">
        <v>1352</v>
      </c>
      <c r="C107" s="24">
        <v>1820</v>
      </c>
      <c r="D107" s="4">
        <v>46100</v>
      </c>
      <c r="E107" t="str">
        <f>VLOOKUP($A107,Sheet4!$A:$B,2,0)</f>
        <v>PS Scribblers Natural 6-18PK</v>
      </c>
      <c r="F107" s="3" t="s">
        <v>76</v>
      </c>
    </row>
    <row r="108" spans="1:6" x14ac:dyDescent="0.25">
      <c r="A108" s="3">
        <v>64776954</v>
      </c>
      <c r="B108" s="3">
        <v>1352</v>
      </c>
      <c r="C108" s="24">
        <v>3404</v>
      </c>
      <c r="D108" s="4">
        <v>46101</v>
      </c>
      <c r="E108" t="str">
        <f>VLOOKUP($A108,Sheet4!$A:$B,2,0)</f>
        <v>PS Scribblers Natural 6-18PK</v>
      </c>
      <c r="F108" s="3" t="s">
        <v>76</v>
      </c>
    </row>
    <row r="109" spans="1:6" x14ac:dyDescent="0.25">
      <c r="A109" s="3">
        <v>64776954</v>
      </c>
      <c r="B109" s="3">
        <v>1352</v>
      </c>
      <c r="C109" s="24">
        <v>2470</v>
      </c>
      <c r="D109" s="4">
        <v>46101</v>
      </c>
      <c r="E109" t="str">
        <f>VLOOKUP($A109,Sheet4!$A:$B,2,0)</f>
        <v>PS Scribblers Natural 6-18PK</v>
      </c>
      <c r="F109" s="3" t="s">
        <v>76</v>
      </c>
    </row>
    <row r="110" spans="1:6" x14ac:dyDescent="0.25">
      <c r="A110" s="3">
        <v>64776954</v>
      </c>
      <c r="B110" s="3">
        <v>1352</v>
      </c>
      <c r="C110" s="24">
        <v>355</v>
      </c>
      <c r="D110" s="4">
        <v>46102</v>
      </c>
      <c r="E110" t="str">
        <f>VLOOKUP($A110,Sheet4!$A:$B,2,0)</f>
        <v>PS Scribblers Natural 6-18PK</v>
      </c>
      <c r="F110" s="3" t="s">
        <v>76</v>
      </c>
    </row>
    <row r="111" spans="1:6" x14ac:dyDescent="0.25">
      <c r="A111" s="3">
        <v>64776954</v>
      </c>
      <c r="B111" s="3">
        <v>1352</v>
      </c>
      <c r="C111" s="24">
        <v>1430</v>
      </c>
      <c r="D111" s="4">
        <v>46104</v>
      </c>
      <c r="E111" t="str">
        <f>VLOOKUP($A111,Sheet4!$A:$B,2,0)</f>
        <v>PS Scribblers Natural 6-18PK</v>
      </c>
      <c r="F111" s="3" t="s">
        <v>76</v>
      </c>
    </row>
    <row r="112" spans="1:6" x14ac:dyDescent="0.25">
      <c r="A112" s="3">
        <v>64776954</v>
      </c>
      <c r="B112" s="3">
        <v>1352</v>
      </c>
      <c r="C112" s="24">
        <v>3007</v>
      </c>
      <c r="D112" s="4">
        <v>46105</v>
      </c>
      <c r="E112" t="str">
        <f>VLOOKUP($A112,Sheet4!$A:$B,2,0)</f>
        <v>PS Scribblers Natural 6-18PK</v>
      </c>
      <c r="F112" s="3" t="s">
        <v>76</v>
      </c>
    </row>
    <row r="113" spans="1:6" x14ac:dyDescent="0.25">
      <c r="A113" s="3">
        <v>64776954</v>
      </c>
      <c r="B113" s="3">
        <v>1352</v>
      </c>
      <c r="C113" s="24">
        <v>2080</v>
      </c>
      <c r="D113" s="4">
        <v>46105</v>
      </c>
      <c r="E113" t="str">
        <f>VLOOKUP($A113,Sheet4!$A:$B,2,0)</f>
        <v>PS Scribblers Natural 6-18PK</v>
      </c>
      <c r="F113" s="3" t="s">
        <v>76</v>
      </c>
    </row>
    <row r="114" spans="1:6" x14ac:dyDescent="0.25">
      <c r="A114" s="3">
        <v>64786654</v>
      </c>
      <c r="B114" s="3">
        <v>1352</v>
      </c>
      <c r="C114" s="24">
        <v>154</v>
      </c>
      <c r="D114" s="4">
        <v>46076</v>
      </c>
      <c r="E114" t="str">
        <f>VLOOKUP($A114,Sheet4!$A:$B,2,0)</f>
        <v>GH Cookies and Creme Bar 8-6PK</v>
      </c>
      <c r="F114" s="3" t="s">
        <v>41</v>
      </c>
    </row>
    <row r="115" spans="1:6" x14ac:dyDescent="0.25">
      <c r="A115" s="3">
        <v>64786654</v>
      </c>
      <c r="B115" s="3">
        <v>1352</v>
      </c>
      <c r="C115" s="24">
        <v>3201</v>
      </c>
      <c r="D115" s="4">
        <v>46077</v>
      </c>
      <c r="E115" t="str">
        <f>VLOOKUP($A115,Sheet4!$A:$B,2,0)</f>
        <v>GH Cookies and Creme Bar 8-6PK</v>
      </c>
      <c r="F115" s="3" t="s">
        <v>41</v>
      </c>
    </row>
    <row r="116" spans="1:6" x14ac:dyDescent="0.25">
      <c r="A116" s="3">
        <v>64786654</v>
      </c>
      <c r="B116" s="3">
        <v>1352</v>
      </c>
      <c r="C116" s="24">
        <v>1078</v>
      </c>
      <c r="D116" s="4">
        <v>46077</v>
      </c>
      <c r="E116" t="str">
        <f>VLOOKUP($A116,Sheet4!$A:$B,2,0)</f>
        <v>GH Cookies and Creme Bar 8-6PK</v>
      </c>
      <c r="F116" s="3" t="s">
        <v>41</v>
      </c>
    </row>
    <row r="117" spans="1:6" x14ac:dyDescent="0.25">
      <c r="A117" s="3">
        <v>64786654</v>
      </c>
      <c r="B117" s="3">
        <v>1352</v>
      </c>
      <c r="C117" s="24">
        <v>2480</v>
      </c>
      <c r="D117" s="4">
        <v>46078</v>
      </c>
      <c r="E117" t="str">
        <f>VLOOKUP($A117,Sheet4!$A:$B,2,0)</f>
        <v>GH Cookies and Creme Bar 8-6PK</v>
      </c>
      <c r="F117" s="3" t="s">
        <v>41</v>
      </c>
    </row>
    <row r="118" spans="1:6" x14ac:dyDescent="0.25">
      <c r="A118" s="3">
        <v>64786654</v>
      </c>
      <c r="B118" s="3">
        <v>1352</v>
      </c>
      <c r="C118" s="24">
        <v>1232</v>
      </c>
      <c r="D118" s="4">
        <v>46078</v>
      </c>
      <c r="E118" t="str">
        <f>VLOOKUP($A118,Sheet4!$A:$B,2,0)</f>
        <v>GH Cookies and Creme Bar 8-6PK</v>
      </c>
      <c r="F118" s="3" t="s">
        <v>41</v>
      </c>
    </row>
    <row r="119" spans="1:6" x14ac:dyDescent="0.25">
      <c r="A119" s="3">
        <v>64786654</v>
      </c>
      <c r="B119" s="3">
        <v>1352</v>
      </c>
      <c r="C119" s="24">
        <v>2413</v>
      </c>
      <c r="D119" s="4">
        <v>46079</v>
      </c>
      <c r="E119" t="str">
        <f>VLOOKUP($A119,Sheet4!$A:$B,2,0)</f>
        <v>GH Cookies and Creme Bar 8-6PK</v>
      </c>
      <c r="F119" s="3" t="s">
        <v>41</v>
      </c>
    </row>
    <row r="120" spans="1:6" x14ac:dyDescent="0.25">
      <c r="A120" s="3">
        <v>64786654</v>
      </c>
      <c r="B120" s="3">
        <v>1352</v>
      </c>
      <c r="C120" s="24">
        <v>1694</v>
      </c>
      <c r="D120" s="4">
        <v>46079</v>
      </c>
      <c r="E120" t="str">
        <f>VLOOKUP($A120,Sheet4!$A:$B,2,0)</f>
        <v>GH Cookies and Creme Bar 8-6PK</v>
      </c>
      <c r="F120" s="3" t="s">
        <v>41</v>
      </c>
    </row>
    <row r="121" spans="1:6" x14ac:dyDescent="0.25">
      <c r="A121" s="3">
        <v>64786654</v>
      </c>
      <c r="B121" s="3">
        <v>1352</v>
      </c>
      <c r="C121" s="24">
        <v>2417</v>
      </c>
      <c r="D121" s="4">
        <v>46080</v>
      </c>
      <c r="E121" t="str">
        <f>VLOOKUP($A121,Sheet4!$A:$B,2,0)</f>
        <v>GH Cookies and Creme Bar 8-6PK</v>
      </c>
      <c r="F121" s="3" t="s">
        <v>41</v>
      </c>
    </row>
    <row r="122" spans="1:6" x14ac:dyDescent="0.25">
      <c r="A122" s="3">
        <v>64786654</v>
      </c>
      <c r="B122" s="3">
        <v>1352</v>
      </c>
      <c r="C122" s="24">
        <v>1540</v>
      </c>
      <c r="D122" s="4">
        <v>46080</v>
      </c>
      <c r="E122" t="str">
        <f>VLOOKUP($A122,Sheet4!$A:$B,2,0)</f>
        <v>GH Cookies and Creme Bar 8-6PK</v>
      </c>
      <c r="F122" s="3" t="s">
        <v>41</v>
      </c>
    </row>
    <row r="123" spans="1:6" x14ac:dyDescent="0.25">
      <c r="A123" s="3">
        <v>64786654</v>
      </c>
      <c r="B123" s="3">
        <v>1352</v>
      </c>
      <c r="C123" s="24">
        <v>1891</v>
      </c>
      <c r="D123" s="4">
        <v>46081</v>
      </c>
      <c r="E123" t="str">
        <f>VLOOKUP($A123,Sheet4!$A:$B,2,0)</f>
        <v>GH Cookies and Creme Bar 8-6PK</v>
      </c>
      <c r="F123" s="3" t="s">
        <v>41</v>
      </c>
    </row>
    <row r="124" spans="1:6" x14ac:dyDescent="0.25">
      <c r="A124" s="3">
        <v>64786654</v>
      </c>
      <c r="B124" s="3">
        <v>1352</v>
      </c>
      <c r="C124" s="24">
        <v>1540</v>
      </c>
      <c r="D124" s="4">
        <v>46104</v>
      </c>
      <c r="E124" t="str">
        <f>VLOOKUP($A124,Sheet4!$A:$B,2,0)</f>
        <v>GH Cookies and Creme Bar 8-6PK</v>
      </c>
      <c r="F124" s="3" t="s">
        <v>41</v>
      </c>
    </row>
    <row r="125" spans="1:6" x14ac:dyDescent="0.25">
      <c r="A125" s="3">
        <v>64786654</v>
      </c>
      <c r="B125" s="3">
        <v>1352</v>
      </c>
      <c r="C125" s="24">
        <v>2980</v>
      </c>
      <c r="D125" s="4">
        <v>46105</v>
      </c>
      <c r="E125" t="str">
        <f>VLOOKUP($A125,Sheet4!$A:$B,2,0)</f>
        <v>GH Cookies and Creme Bar 8-6PK</v>
      </c>
      <c r="F125" s="3" t="s">
        <v>41</v>
      </c>
    </row>
    <row r="126" spans="1:6" x14ac:dyDescent="0.25">
      <c r="A126" s="3">
        <v>64786654</v>
      </c>
      <c r="B126" s="3">
        <v>1352</v>
      </c>
      <c r="C126" s="24">
        <v>2618</v>
      </c>
      <c r="D126" s="4">
        <v>46105</v>
      </c>
      <c r="E126" t="str">
        <f>VLOOKUP($A126,Sheet4!$A:$B,2,0)</f>
        <v>GH Cookies and Creme Bar 8-6PK</v>
      </c>
      <c r="F126" s="3" t="s">
        <v>41</v>
      </c>
    </row>
    <row r="127" spans="1:6" x14ac:dyDescent="0.25">
      <c r="A127" s="3">
        <v>64789262</v>
      </c>
      <c r="B127" s="3">
        <v>1352</v>
      </c>
      <c r="C127" s="24">
        <v>1350</v>
      </c>
      <c r="D127" s="4">
        <v>46076</v>
      </c>
      <c r="E127" t="str">
        <f>VLOOKUP($A127,Sheet4!$A:$B,2,0)</f>
        <v>GH Cookies+Cream 1-24BK OOH</v>
      </c>
      <c r="F127" s="3" t="s">
        <v>48</v>
      </c>
    </row>
    <row r="128" spans="1:6" x14ac:dyDescent="0.25">
      <c r="A128" s="3">
        <v>64789262</v>
      </c>
      <c r="B128" s="3">
        <v>1352</v>
      </c>
      <c r="C128" s="24">
        <v>3641</v>
      </c>
      <c r="D128" s="4">
        <v>46077</v>
      </c>
      <c r="E128" t="str">
        <f>VLOOKUP($A128,Sheet4!$A:$B,2,0)</f>
        <v>GH Cookies+Cream 1-24BK OOH</v>
      </c>
      <c r="F128" s="3" t="s">
        <v>48</v>
      </c>
    </row>
    <row r="129" spans="1:6" x14ac:dyDescent="0.25">
      <c r="A129" s="3">
        <v>64789262</v>
      </c>
      <c r="B129" s="3">
        <v>1352</v>
      </c>
      <c r="C129" s="24">
        <v>2700</v>
      </c>
      <c r="D129" s="4">
        <v>46077</v>
      </c>
      <c r="E129" t="str">
        <f>VLOOKUP($A129,Sheet4!$A:$B,2,0)</f>
        <v>GH Cookies+Cream 1-24BK OOH</v>
      </c>
      <c r="F129" s="3" t="s">
        <v>48</v>
      </c>
    </row>
    <row r="130" spans="1:6" x14ac:dyDescent="0.25">
      <c r="A130" s="3">
        <v>64789262</v>
      </c>
      <c r="B130" s="3">
        <v>1352</v>
      </c>
      <c r="C130" s="24">
        <v>3885</v>
      </c>
      <c r="D130" s="4">
        <v>46078</v>
      </c>
      <c r="E130" t="str">
        <f>VLOOKUP($A130,Sheet4!$A:$B,2,0)</f>
        <v>GH Cookies+Cream 1-24BK OOH</v>
      </c>
      <c r="F130" s="3" t="s">
        <v>48</v>
      </c>
    </row>
    <row r="131" spans="1:6" x14ac:dyDescent="0.25">
      <c r="A131" s="3">
        <v>64789262</v>
      </c>
      <c r="B131" s="3">
        <v>1352</v>
      </c>
      <c r="C131" s="24">
        <v>1575</v>
      </c>
      <c r="D131" s="4">
        <v>46078</v>
      </c>
      <c r="E131" t="str">
        <f>VLOOKUP($A131,Sheet4!$A:$B,2,0)</f>
        <v>GH Cookies+Cream 1-24BK OOH</v>
      </c>
      <c r="F131" s="3" t="s">
        <v>48</v>
      </c>
    </row>
    <row r="132" spans="1:6" x14ac:dyDescent="0.25">
      <c r="A132" s="3">
        <v>64789262</v>
      </c>
      <c r="B132" s="3">
        <v>1352</v>
      </c>
      <c r="C132" s="24">
        <v>4746</v>
      </c>
      <c r="D132" s="4">
        <v>46079</v>
      </c>
      <c r="E132" t="str">
        <f>VLOOKUP($A132,Sheet4!$A:$B,2,0)</f>
        <v>GH Cookies+Cream 1-24BK OOH</v>
      </c>
      <c r="F132" s="3" t="s">
        <v>48</v>
      </c>
    </row>
    <row r="133" spans="1:6" x14ac:dyDescent="0.25">
      <c r="A133" s="3">
        <v>64789262</v>
      </c>
      <c r="B133" s="3">
        <v>1352</v>
      </c>
      <c r="C133" s="24">
        <v>225</v>
      </c>
      <c r="D133" s="4">
        <v>46079</v>
      </c>
      <c r="E133" t="str">
        <f>VLOOKUP($A133,Sheet4!$A:$B,2,0)</f>
        <v>GH Cookies+Cream 1-24BK OOH</v>
      </c>
      <c r="F133" s="3" t="s">
        <v>48</v>
      </c>
    </row>
    <row r="134" spans="1:6" x14ac:dyDescent="0.25">
      <c r="A134" s="3">
        <v>64789262</v>
      </c>
      <c r="B134" s="3">
        <v>1352</v>
      </c>
      <c r="C134" s="24">
        <v>4050</v>
      </c>
      <c r="D134" s="4">
        <v>46080</v>
      </c>
      <c r="E134" t="str">
        <f>VLOOKUP($A134,Sheet4!$A:$B,2,0)</f>
        <v>GH Cookies+Cream 1-24BK OOH</v>
      </c>
      <c r="F134" s="3" t="s">
        <v>48</v>
      </c>
    </row>
    <row r="135" spans="1:6" x14ac:dyDescent="0.25">
      <c r="A135" s="3">
        <v>64789262</v>
      </c>
      <c r="B135" s="3">
        <v>1352</v>
      </c>
      <c r="C135" s="24">
        <v>2250</v>
      </c>
      <c r="D135" s="4">
        <v>46080</v>
      </c>
      <c r="E135" t="str">
        <f>VLOOKUP($A135,Sheet4!$A:$B,2,0)</f>
        <v>GH Cookies+Cream 1-24BK OOH</v>
      </c>
      <c r="F135" s="3" t="s">
        <v>48</v>
      </c>
    </row>
    <row r="136" spans="1:6" x14ac:dyDescent="0.25">
      <c r="A136" s="3">
        <v>64789262</v>
      </c>
      <c r="B136" s="3">
        <v>1352</v>
      </c>
      <c r="C136" s="24">
        <v>4800</v>
      </c>
      <c r="D136" s="4">
        <v>46081</v>
      </c>
      <c r="E136" t="str">
        <f>VLOOKUP($A136,Sheet4!$A:$B,2,0)</f>
        <v>GH Cookies+Cream 1-24BK OOH</v>
      </c>
      <c r="F136" s="3" t="s">
        <v>48</v>
      </c>
    </row>
    <row r="137" spans="1:6" x14ac:dyDescent="0.25">
      <c r="A137" s="3">
        <v>64789262</v>
      </c>
      <c r="B137" s="3">
        <v>1352</v>
      </c>
      <c r="C137" s="24">
        <v>2700</v>
      </c>
      <c r="D137" s="4">
        <v>46104</v>
      </c>
      <c r="E137" t="str">
        <f>VLOOKUP($A137,Sheet4!$A:$B,2,0)</f>
        <v>GH Cookies+Cream 1-24BK OOH</v>
      </c>
      <c r="F137" s="3" t="s">
        <v>48</v>
      </c>
    </row>
    <row r="138" spans="1:6" x14ac:dyDescent="0.25">
      <c r="A138" s="3">
        <v>64789262</v>
      </c>
      <c r="B138" s="3">
        <v>1352</v>
      </c>
      <c r="C138" s="24">
        <v>4600</v>
      </c>
      <c r="D138" s="4">
        <v>46105</v>
      </c>
      <c r="E138" t="str">
        <f>VLOOKUP($A138,Sheet4!$A:$B,2,0)</f>
        <v>GH Cookies+Cream 1-24BK OOH</v>
      </c>
      <c r="F138" s="3" t="s">
        <v>48</v>
      </c>
    </row>
    <row r="139" spans="1:6" x14ac:dyDescent="0.25">
      <c r="A139" s="3">
        <v>64789262</v>
      </c>
      <c r="B139" s="3">
        <v>1352</v>
      </c>
      <c r="C139" s="24">
        <v>3823</v>
      </c>
      <c r="D139" s="4">
        <v>46105</v>
      </c>
      <c r="E139" t="str">
        <f>VLOOKUP($A139,Sheet4!$A:$B,2,0)</f>
        <v>GH Cookies+Cream 1-24BK OOH</v>
      </c>
      <c r="F139" s="3" t="s">
        <v>48</v>
      </c>
    </row>
    <row r="140" spans="1:6" x14ac:dyDescent="0.25">
      <c r="A140" s="3">
        <v>64977528</v>
      </c>
      <c r="B140" s="3">
        <v>1352</v>
      </c>
      <c r="C140" s="24">
        <v>6509</v>
      </c>
      <c r="D140" s="4">
        <v>46080</v>
      </c>
      <c r="E140" t="str">
        <f>VLOOKUP($A140,Sheet4!$A:$B,2,0)</f>
        <v>BR Strawberry Pound Cake 6p 1.5QT</v>
      </c>
      <c r="F140" s="3" t="s">
        <v>25</v>
      </c>
    </row>
    <row r="141" spans="1:6" x14ac:dyDescent="0.25">
      <c r="A141" s="3">
        <v>64977528</v>
      </c>
      <c r="B141" s="3">
        <v>1352</v>
      </c>
      <c r="C141" s="24">
        <v>6866</v>
      </c>
      <c r="D141" s="4">
        <v>46077</v>
      </c>
      <c r="E141" t="str">
        <f>VLOOKUP($A141,Sheet4!$A:$B,2,0)</f>
        <v>BR Strawberry Pound Cake 6p 1.5QT</v>
      </c>
      <c r="F141" s="3" t="s">
        <v>25</v>
      </c>
    </row>
    <row r="142" spans="1:6" x14ac:dyDescent="0.25">
      <c r="A142" s="3">
        <v>64977528</v>
      </c>
      <c r="B142" s="3">
        <v>1352</v>
      </c>
      <c r="C142" s="24">
        <v>5060</v>
      </c>
      <c r="D142" s="4">
        <v>46077</v>
      </c>
      <c r="E142" t="str">
        <f>VLOOKUP($A142,Sheet4!$A:$B,2,0)</f>
        <v>BR Strawberry Pound Cake 6p 1.5QT</v>
      </c>
      <c r="F142" s="3" t="s">
        <v>25</v>
      </c>
    </row>
    <row r="143" spans="1:6" x14ac:dyDescent="0.25">
      <c r="A143" s="3">
        <v>64977528</v>
      </c>
      <c r="B143" s="3">
        <v>1352</v>
      </c>
      <c r="C143" s="24">
        <v>9114</v>
      </c>
      <c r="D143" s="4">
        <v>46078</v>
      </c>
      <c r="E143" t="str">
        <f>VLOOKUP($A143,Sheet4!$A:$B,2,0)</f>
        <v>BR Strawberry Pound Cake 6p 1.5QT</v>
      </c>
      <c r="F143" s="3" t="s">
        <v>25</v>
      </c>
    </row>
    <row r="144" spans="1:6" x14ac:dyDescent="0.25">
      <c r="A144" s="3">
        <v>64977528</v>
      </c>
      <c r="B144" s="3">
        <v>1352</v>
      </c>
      <c r="C144" s="24">
        <v>1853</v>
      </c>
      <c r="D144" s="4">
        <v>46078</v>
      </c>
      <c r="E144" t="str">
        <f>VLOOKUP($A144,Sheet4!$A:$B,2,0)</f>
        <v>BR Strawberry Pound Cake 6p 1.5QT</v>
      </c>
      <c r="F144" s="3" t="s">
        <v>25</v>
      </c>
    </row>
    <row r="145" spans="1:6" x14ac:dyDescent="0.25">
      <c r="A145" s="3">
        <v>64977528</v>
      </c>
      <c r="B145" s="3">
        <v>1352</v>
      </c>
      <c r="C145" s="24">
        <v>7473</v>
      </c>
      <c r="D145" s="4">
        <v>46079</v>
      </c>
      <c r="E145" t="str">
        <f>VLOOKUP($A145,Sheet4!$A:$B,2,0)</f>
        <v>BR Strawberry Pound Cake 6p 1.5QT</v>
      </c>
      <c r="F145" s="3" t="s">
        <v>25</v>
      </c>
    </row>
    <row r="146" spans="1:6" x14ac:dyDescent="0.25">
      <c r="A146" s="3">
        <v>64977530</v>
      </c>
      <c r="B146" s="3">
        <v>1352</v>
      </c>
      <c r="C146" s="24">
        <v>125</v>
      </c>
      <c r="D146" s="4">
        <v>46078</v>
      </c>
      <c r="E146" t="str">
        <f>VLOOKUP($A146,Sheet4!$A:$B,2,0)</f>
        <v>BR Hot Fudge Brownie Sundae 6p 1.5QT</v>
      </c>
      <c r="F146" s="3" t="s">
        <v>25</v>
      </c>
    </row>
    <row r="147" spans="1:6" x14ac:dyDescent="0.25">
      <c r="A147" s="3">
        <v>64977530</v>
      </c>
      <c r="B147" s="3">
        <v>1352</v>
      </c>
      <c r="C147" s="24">
        <v>579</v>
      </c>
      <c r="D147" s="4">
        <v>46078</v>
      </c>
      <c r="E147" t="str">
        <f>VLOOKUP($A147,Sheet4!$A:$B,2,0)</f>
        <v>BR Hot Fudge Brownie Sundae 6p 1.5QT</v>
      </c>
      <c r="F147" s="3" t="s">
        <v>25</v>
      </c>
    </row>
    <row r="148" spans="1:6" x14ac:dyDescent="0.25">
      <c r="A148" s="3">
        <v>64977530</v>
      </c>
      <c r="B148" s="3">
        <v>1352</v>
      </c>
      <c r="C148" s="24">
        <v>431</v>
      </c>
      <c r="D148" s="4">
        <v>46076</v>
      </c>
      <c r="E148" t="str">
        <f>VLOOKUP($A148,Sheet4!$A:$B,2,0)</f>
        <v>BR Hot Fudge Brownie Sundae 6p 1.5QT</v>
      </c>
      <c r="F148" s="3" t="s">
        <v>25</v>
      </c>
    </row>
    <row r="149" spans="1:6" x14ac:dyDescent="0.25">
      <c r="A149" s="3">
        <v>68300738</v>
      </c>
      <c r="B149" s="3">
        <v>1352</v>
      </c>
      <c r="C149" s="24">
        <v>4545</v>
      </c>
      <c r="D149" s="4">
        <v>46076</v>
      </c>
      <c r="E149" t="str">
        <f>VLOOKUP($A149,Sheet4!$A:$B,2,0)</f>
        <v>KL REESES BAR 12-6 PK</v>
      </c>
      <c r="F149" s="3" t="s">
        <v>15</v>
      </c>
    </row>
    <row r="150" spans="1:6" x14ac:dyDescent="0.25">
      <c r="A150" s="3">
        <v>68300738</v>
      </c>
      <c r="B150" s="3">
        <v>1352</v>
      </c>
      <c r="C150" s="24">
        <v>16</v>
      </c>
      <c r="D150" s="4">
        <v>46079</v>
      </c>
      <c r="E150" t="str">
        <f>VLOOKUP($A150,Sheet4!$A:$B,2,0)</f>
        <v>KL REESES BAR 12-6 PK</v>
      </c>
      <c r="F150" s="3" t="s">
        <v>15</v>
      </c>
    </row>
    <row r="151" spans="1:6" x14ac:dyDescent="0.25">
      <c r="A151" s="3">
        <v>68300738</v>
      </c>
      <c r="B151" s="3">
        <v>1352</v>
      </c>
      <c r="C151" s="24">
        <v>264</v>
      </c>
      <c r="D151" s="4">
        <v>46094</v>
      </c>
      <c r="E151" t="str">
        <f>VLOOKUP($A151,Sheet4!$A:$B,2,0)</f>
        <v>KL REESES BAR 12-6 PK</v>
      </c>
      <c r="F151" s="3" t="s">
        <v>15</v>
      </c>
    </row>
    <row r="152" spans="1:6" x14ac:dyDescent="0.25">
      <c r="A152" s="3">
        <v>68300738</v>
      </c>
      <c r="B152" s="3">
        <v>1352</v>
      </c>
      <c r="C152" s="24">
        <v>2904</v>
      </c>
      <c r="D152" s="4">
        <v>46076</v>
      </c>
      <c r="E152" t="str">
        <f>VLOOKUP($A152,Sheet4!$A:$B,2,0)</f>
        <v>KL REESES BAR 12-6 PK</v>
      </c>
      <c r="F152" s="3" t="s">
        <v>15</v>
      </c>
    </row>
    <row r="153" spans="1:6" x14ac:dyDescent="0.25">
      <c r="A153" s="3">
        <v>68300738</v>
      </c>
      <c r="B153" s="3">
        <v>1352</v>
      </c>
      <c r="C153" s="24">
        <v>1980</v>
      </c>
      <c r="D153" s="4">
        <v>46077</v>
      </c>
      <c r="E153" t="str">
        <f>VLOOKUP($A153,Sheet4!$A:$B,2,0)</f>
        <v>KL REESES BAR 12-6 PK</v>
      </c>
      <c r="F153" s="3" t="s">
        <v>15</v>
      </c>
    </row>
    <row r="154" spans="1:6" x14ac:dyDescent="0.25">
      <c r="A154" s="3">
        <v>68300738</v>
      </c>
      <c r="B154" s="3">
        <v>1352</v>
      </c>
      <c r="C154" s="24">
        <v>1584</v>
      </c>
      <c r="D154" s="4">
        <v>46077</v>
      </c>
      <c r="E154" t="str">
        <f>VLOOKUP($A154,Sheet4!$A:$B,2,0)</f>
        <v>KL REESES BAR 12-6 PK</v>
      </c>
      <c r="F154" s="3" t="s">
        <v>15</v>
      </c>
    </row>
    <row r="155" spans="1:6" x14ac:dyDescent="0.25">
      <c r="A155" s="3">
        <v>68300738</v>
      </c>
      <c r="B155" s="3">
        <v>1352</v>
      </c>
      <c r="C155" s="24">
        <v>3438</v>
      </c>
      <c r="D155" s="4">
        <v>46078</v>
      </c>
      <c r="E155" t="str">
        <f>VLOOKUP($A155,Sheet4!$A:$B,2,0)</f>
        <v>KL REESES BAR 12-6 PK</v>
      </c>
      <c r="F155" s="3" t="s">
        <v>15</v>
      </c>
    </row>
    <row r="156" spans="1:6" x14ac:dyDescent="0.25">
      <c r="A156" s="3">
        <v>68300738</v>
      </c>
      <c r="B156" s="3">
        <v>1352</v>
      </c>
      <c r="C156" s="24">
        <v>3300</v>
      </c>
      <c r="D156" s="4">
        <v>46078</v>
      </c>
      <c r="E156" t="str">
        <f>VLOOKUP($A156,Sheet4!$A:$B,2,0)</f>
        <v>KL REESES BAR 12-6 PK</v>
      </c>
      <c r="F156" s="3" t="s">
        <v>15</v>
      </c>
    </row>
    <row r="157" spans="1:6" x14ac:dyDescent="0.25">
      <c r="A157" s="3">
        <v>68300738</v>
      </c>
      <c r="B157" s="3">
        <v>1352</v>
      </c>
      <c r="C157" s="24">
        <v>4811</v>
      </c>
      <c r="D157" s="4">
        <v>46079</v>
      </c>
      <c r="E157" t="str">
        <f>VLOOKUP($A157,Sheet4!$A:$B,2,0)</f>
        <v>KL REESES BAR 12-6 PK</v>
      </c>
      <c r="F157" s="3" t="s">
        <v>15</v>
      </c>
    </row>
    <row r="158" spans="1:6" x14ac:dyDescent="0.25">
      <c r="A158" s="3">
        <v>68300738</v>
      </c>
      <c r="B158" s="3">
        <v>1352</v>
      </c>
      <c r="C158" s="24">
        <v>3432</v>
      </c>
      <c r="D158" s="4">
        <v>46079</v>
      </c>
      <c r="E158" t="str">
        <f>VLOOKUP($A158,Sheet4!$A:$B,2,0)</f>
        <v>KL REESES BAR 12-6 PK</v>
      </c>
      <c r="F158" s="3" t="s">
        <v>15</v>
      </c>
    </row>
    <row r="159" spans="1:6" x14ac:dyDescent="0.25">
      <c r="A159" s="3">
        <v>68300738</v>
      </c>
      <c r="B159" s="3">
        <v>1352</v>
      </c>
      <c r="C159" s="24">
        <v>3920</v>
      </c>
      <c r="D159" s="4">
        <v>46080</v>
      </c>
      <c r="E159" t="str">
        <f>VLOOKUP($A159,Sheet4!$A:$B,2,0)</f>
        <v>KL REESES BAR 12-6 PK</v>
      </c>
      <c r="F159" s="3" t="s">
        <v>15</v>
      </c>
    </row>
    <row r="160" spans="1:6" x14ac:dyDescent="0.25">
      <c r="A160" s="3">
        <v>68300738</v>
      </c>
      <c r="B160" s="3">
        <v>1352</v>
      </c>
      <c r="C160" s="24">
        <v>1320</v>
      </c>
      <c r="D160" s="4">
        <v>46081</v>
      </c>
      <c r="E160" t="str">
        <f>VLOOKUP($A160,Sheet4!$A:$B,2,0)</f>
        <v>KL REESES BAR 12-6 PK</v>
      </c>
      <c r="F160" s="3" t="s">
        <v>15</v>
      </c>
    </row>
    <row r="161" spans="1:6" x14ac:dyDescent="0.25">
      <c r="A161" s="3">
        <v>68300738</v>
      </c>
      <c r="B161" s="3">
        <v>1352</v>
      </c>
      <c r="C161" s="24">
        <v>2001</v>
      </c>
      <c r="D161" s="4">
        <v>46082</v>
      </c>
      <c r="E161" t="str">
        <f>VLOOKUP($A161,Sheet4!$A:$B,2,0)</f>
        <v>KL REESES BAR 12-6 PK</v>
      </c>
      <c r="F161" s="3" t="s">
        <v>15</v>
      </c>
    </row>
    <row r="162" spans="1:6" x14ac:dyDescent="0.25">
      <c r="A162" s="3">
        <v>68300738</v>
      </c>
      <c r="B162" s="3">
        <v>1352</v>
      </c>
      <c r="C162" s="24">
        <v>264</v>
      </c>
      <c r="D162" s="4">
        <v>46093</v>
      </c>
      <c r="E162" t="str">
        <f>VLOOKUP($A162,Sheet4!$A:$B,2,0)</f>
        <v>KL REESES BAR 12-6 PK</v>
      </c>
      <c r="F162" s="3" t="s">
        <v>15</v>
      </c>
    </row>
    <row r="163" spans="1:6" x14ac:dyDescent="0.25">
      <c r="A163" s="3">
        <v>68300738</v>
      </c>
      <c r="B163" s="3">
        <v>1352</v>
      </c>
      <c r="C163" s="24">
        <v>2508</v>
      </c>
      <c r="D163" s="4">
        <v>46080</v>
      </c>
      <c r="E163" t="str">
        <f>VLOOKUP($A163,Sheet4!$A:$B,2,0)</f>
        <v>KL REESES BAR 12-6 PK</v>
      </c>
      <c r="F163" s="3" t="s">
        <v>15</v>
      </c>
    </row>
    <row r="164" spans="1:6" x14ac:dyDescent="0.25">
      <c r="A164" s="3">
        <v>68300738</v>
      </c>
      <c r="B164" s="3">
        <v>1352</v>
      </c>
      <c r="C164" s="24">
        <v>4877</v>
      </c>
      <c r="D164" s="4">
        <v>46081</v>
      </c>
      <c r="E164" t="str">
        <f>VLOOKUP($A164,Sheet4!$A:$B,2,0)</f>
        <v>KL REESES BAR 12-6 PK</v>
      </c>
      <c r="F164" s="3" t="s">
        <v>15</v>
      </c>
    </row>
    <row r="165" spans="1:6" x14ac:dyDescent="0.25">
      <c r="A165" s="3">
        <v>68300738</v>
      </c>
      <c r="B165" s="3">
        <v>1352</v>
      </c>
      <c r="C165" s="24">
        <v>2244</v>
      </c>
      <c r="D165" s="4">
        <v>46082</v>
      </c>
      <c r="E165" t="str">
        <f>VLOOKUP($A165,Sheet4!$A:$B,2,0)</f>
        <v>KL REESES BAR 12-6 PK</v>
      </c>
      <c r="F165" s="3" t="s">
        <v>15</v>
      </c>
    </row>
    <row r="166" spans="1:6" x14ac:dyDescent="0.25">
      <c r="A166" s="3">
        <v>68300738</v>
      </c>
      <c r="B166" s="3">
        <v>1352</v>
      </c>
      <c r="C166" s="24">
        <v>3285</v>
      </c>
      <c r="D166" s="4">
        <v>46083</v>
      </c>
      <c r="E166" t="str">
        <f>VLOOKUP($A166,Sheet4!$A:$B,2,0)</f>
        <v>KL REESES BAR 12-6 PK</v>
      </c>
      <c r="F166" s="3" t="s">
        <v>15</v>
      </c>
    </row>
    <row r="167" spans="1:6" x14ac:dyDescent="0.25">
      <c r="A167" s="3">
        <v>68300738</v>
      </c>
      <c r="B167" s="3">
        <v>1352</v>
      </c>
      <c r="C167" s="24">
        <v>2244</v>
      </c>
      <c r="D167" s="4">
        <v>46083</v>
      </c>
      <c r="E167" t="str">
        <f>VLOOKUP($A167,Sheet4!$A:$B,2,0)</f>
        <v>KL REESES BAR 12-6 PK</v>
      </c>
      <c r="F167" s="3" t="s">
        <v>15</v>
      </c>
    </row>
    <row r="168" spans="1:6" x14ac:dyDescent="0.25">
      <c r="A168" s="3">
        <v>68300738</v>
      </c>
      <c r="B168" s="3">
        <v>1352</v>
      </c>
      <c r="C168" s="24">
        <v>3629</v>
      </c>
      <c r="D168" s="4">
        <v>46084</v>
      </c>
      <c r="E168" t="str">
        <f>VLOOKUP($A168,Sheet4!$A:$B,2,0)</f>
        <v>KL REESES BAR 12-6 PK</v>
      </c>
      <c r="F168" s="3" t="s">
        <v>15</v>
      </c>
    </row>
    <row r="169" spans="1:6" x14ac:dyDescent="0.25">
      <c r="A169" s="3">
        <v>68300738</v>
      </c>
      <c r="B169" s="3">
        <v>1352</v>
      </c>
      <c r="C169" s="24">
        <v>2508</v>
      </c>
      <c r="D169" s="4">
        <v>46084</v>
      </c>
      <c r="E169" t="str">
        <f>VLOOKUP($A169,Sheet4!$A:$B,2,0)</f>
        <v>KL REESES BAR 12-6 PK</v>
      </c>
      <c r="F169" s="3" t="s">
        <v>15</v>
      </c>
    </row>
    <row r="170" spans="1:6" x14ac:dyDescent="0.25">
      <c r="A170" s="3">
        <v>68300738</v>
      </c>
      <c r="B170" s="3">
        <v>1352</v>
      </c>
      <c r="C170" s="24">
        <v>3529</v>
      </c>
      <c r="D170" s="4">
        <v>46085</v>
      </c>
      <c r="E170" t="str">
        <f>VLOOKUP($A170,Sheet4!$A:$B,2,0)</f>
        <v>KL REESES BAR 12-6 PK</v>
      </c>
      <c r="F170" s="3" t="s">
        <v>15</v>
      </c>
    </row>
    <row r="171" spans="1:6" x14ac:dyDescent="0.25">
      <c r="A171" s="3">
        <v>68689251</v>
      </c>
      <c r="B171" s="3">
        <v>1352</v>
      </c>
      <c r="C171" s="24">
        <v>0</v>
      </c>
      <c r="D171" s="4">
        <v>46079</v>
      </c>
      <c r="E171" t="str">
        <f>VLOOKUP($A171,Sheet4!$A:$B,2,0)</f>
        <v>KL Original Vanilla Bar 12-6PK</v>
      </c>
      <c r="F171" s="3" t="s">
        <v>15</v>
      </c>
    </row>
    <row r="172" spans="1:6" x14ac:dyDescent="0.25">
      <c r="A172" s="3">
        <v>68689251</v>
      </c>
      <c r="B172" s="3">
        <v>1352</v>
      </c>
      <c r="C172" s="24">
        <v>0</v>
      </c>
      <c r="D172" s="4">
        <v>46079</v>
      </c>
      <c r="E172" t="str">
        <f>VLOOKUP($A172,Sheet4!$A:$B,2,0)</f>
        <v>KL Original Vanilla Bar 12-6PK</v>
      </c>
      <c r="F172" s="3" t="s">
        <v>50</v>
      </c>
    </row>
    <row r="173" spans="1:6" x14ac:dyDescent="0.25">
      <c r="A173" s="3">
        <v>68689251</v>
      </c>
      <c r="B173" s="3">
        <v>1352</v>
      </c>
      <c r="C173" s="24">
        <v>0</v>
      </c>
      <c r="D173" s="4">
        <v>46076</v>
      </c>
      <c r="E173" t="str">
        <f>VLOOKUP($A173,Sheet4!$A:$B,2,0)</f>
        <v>KL Original Vanilla Bar 12-6PK</v>
      </c>
      <c r="F173" s="3" t="s">
        <v>50</v>
      </c>
    </row>
    <row r="174" spans="1:6" x14ac:dyDescent="0.25">
      <c r="A174" s="3">
        <v>68689251</v>
      </c>
      <c r="B174" s="3">
        <v>1352</v>
      </c>
      <c r="C174" s="24">
        <v>2244</v>
      </c>
      <c r="D174" s="4">
        <v>46090</v>
      </c>
      <c r="E174" t="str">
        <f>VLOOKUP($A174,Sheet4!$A:$B,2,0)</f>
        <v>KL Original Vanilla Bar 12-6PK</v>
      </c>
      <c r="F174" s="3" t="s">
        <v>19</v>
      </c>
    </row>
    <row r="175" spans="1:6" x14ac:dyDescent="0.25">
      <c r="A175" s="3">
        <v>68689251</v>
      </c>
      <c r="B175" s="3">
        <v>1352</v>
      </c>
      <c r="C175" s="24">
        <v>3714</v>
      </c>
      <c r="D175" s="4">
        <v>46091</v>
      </c>
      <c r="E175" t="str">
        <f>VLOOKUP($A175,Sheet4!$A:$B,2,0)</f>
        <v>KL Original Vanilla Bar 12-6PK</v>
      </c>
      <c r="F175" s="3" t="s">
        <v>19</v>
      </c>
    </row>
    <row r="176" spans="1:6" x14ac:dyDescent="0.25">
      <c r="A176" s="3">
        <v>68689251</v>
      </c>
      <c r="B176" s="3">
        <v>1352</v>
      </c>
      <c r="C176" s="24">
        <v>2508</v>
      </c>
      <c r="D176" s="4">
        <v>46091</v>
      </c>
      <c r="E176" t="str">
        <f>VLOOKUP($A176,Sheet4!$A:$B,2,0)</f>
        <v>KL Original Vanilla Bar 12-6PK</v>
      </c>
      <c r="F176" s="3" t="s">
        <v>19</v>
      </c>
    </row>
    <row r="177" spans="1:6" x14ac:dyDescent="0.25">
      <c r="A177" s="3">
        <v>68689251</v>
      </c>
      <c r="B177" s="3">
        <v>1352</v>
      </c>
      <c r="C177" s="24">
        <v>3729</v>
      </c>
      <c r="D177" s="4">
        <v>46092</v>
      </c>
      <c r="E177" t="str">
        <f>VLOOKUP($A177,Sheet4!$A:$B,2,0)</f>
        <v>KL Original Vanilla Bar 12-6PK</v>
      </c>
      <c r="F177" s="3" t="s">
        <v>19</v>
      </c>
    </row>
    <row r="178" spans="1:6" x14ac:dyDescent="0.25">
      <c r="A178" s="3">
        <v>68689251</v>
      </c>
      <c r="B178" s="3">
        <v>1352</v>
      </c>
      <c r="C178" s="24">
        <v>3108</v>
      </c>
      <c r="D178" s="4">
        <v>46092</v>
      </c>
      <c r="E178" t="str">
        <f>VLOOKUP($A178,Sheet4!$A:$B,2,0)</f>
        <v>KL Original Vanilla Bar 12-6PK</v>
      </c>
      <c r="F178" s="3" t="s">
        <v>19</v>
      </c>
    </row>
    <row r="179" spans="1:6" x14ac:dyDescent="0.25">
      <c r="A179" s="3">
        <v>68689251</v>
      </c>
      <c r="B179" s="3">
        <v>1352</v>
      </c>
      <c r="C179" s="24">
        <v>2726</v>
      </c>
      <c r="D179" s="4">
        <v>46093</v>
      </c>
      <c r="E179" t="str">
        <f>VLOOKUP($A179,Sheet4!$A:$B,2,0)</f>
        <v>KL Original Vanilla Bar 12-6PK</v>
      </c>
      <c r="F179" s="3" t="s">
        <v>19</v>
      </c>
    </row>
    <row r="180" spans="1:6" x14ac:dyDescent="0.25">
      <c r="A180" s="3">
        <v>68689251</v>
      </c>
      <c r="B180" s="3">
        <v>1352</v>
      </c>
      <c r="C180" s="24">
        <v>2376</v>
      </c>
      <c r="D180" s="4">
        <v>46094</v>
      </c>
      <c r="E180" t="str">
        <f>VLOOKUP($A180,Sheet4!$A:$B,2,0)</f>
        <v>KL Original Vanilla Bar 12-6PK</v>
      </c>
      <c r="F180" s="3" t="s">
        <v>19</v>
      </c>
    </row>
    <row r="181" spans="1:6" x14ac:dyDescent="0.25">
      <c r="A181" s="3">
        <v>68689251</v>
      </c>
      <c r="B181" s="3">
        <v>1352</v>
      </c>
      <c r="C181" s="24">
        <v>3810</v>
      </c>
      <c r="D181" s="4">
        <v>46095</v>
      </c>
      <c r="E181" t="str">
        <f>VLOOKUP($A181,Sheet4!$A:$B,2,0)</f>
        <v>KL Original Vanilla Bar 12-6PK</v>
      </c>
      <c r="F181" s="3" t="s">
        <v>19</v>
      </c>
    </row>
    <row r="182" spans="1:6" x14ac:dyDescent="0.25">
      <c r="A182" s="3">
        <v>68689251</v>
      </c>
      <c r="B182" s="3">
        <v>1352</v>
      </c>
      <c r="C182" s="24">
        <v>1320</v>
      </c>
      <c r="D182" s="4">
        <v>46095</v>
      </c>
      <c r="E182" t="str">
        <f>VLOOKUP($A182,Sheet4!$A:$B,2,0)</f>
        <v>KL Original Vanilla Bar 12-6PK</v>
      </c>
      <c r="F182" s="3" t="s">
        <v>19</v>
      </c>
    </row>
    <row r="183" spans="1:6" x14ac:dyDescent="0.25">
      <c r="A183" s="3">
        <v>68689251</v>
      </c>
      <c r="B183" s="3">
        <v>1352</v>
      </c>
      <c r="C183" s="24">
        <v>3738</v>
      </c>
      <c r="D183" s="4">
        <v>46096</v>
      </c>
      <c r="E183" t="str">
        <f>VLOOKUP($A183,Sheet4!$A:$B,2,0)</f>
        <v>KL Original Vanilla Bar 12-6PK</v>
      </c>
      <c r="F183" s="3" t="s">
        <v>19</v>
      </c>
    </row>
    <row r="184" spans="1:6" x14ac:dyDescent="0.25">
      <c r="A184" s="3">
        <v>68689251</v>
      </c>
      <c r="B184" s="3">
        <v>1352</v>
      </c>
      <c r="C184" s="24">
        <v>3300</v>
      </c>
      <c r="D184" s="4">
        <v>46096</v>
      </c>
      <c r="E184" t="str">
        <f>VLOOKUP($A184,Sheet4!$A:$B,2,0)</f>
        <v>KL Original Vanilla Bar 12-6PK</v>
      </c>
      <c r="F184" s="3" t="s">
        <v>19</v>
      </c>
    </row>
    <row r="185" spans="1:6" x14ac:dyDescent="0.25">
      <c r="A185" s="3">
        <v>68689251</v>
      </c>
      <c r="B185" s="3">
        <v>1352</v>
      </c>
      <c r="C185" s="24">
        <v>1034</v>
      </c>
      <c r="D185" s="4">
        <v>46097</v>
      </c>
      <c r="E185" t="str">
        <f>VLOOKUP($A185,Sheet4!$A:$B,2,0)</f>
        <v>KL Original Vanilla Bar 12-6PK</v>
      </c>
      <c r="F185" s="3" t="s">
        <v>19</v>
      </c>
    </row>
    <row r="186" spans="1:6" x14ac:dyDescent="0.25">
      <c r="A186" s="3">
        <v>68689251</v>
      </c>
      <c r="B186" s="3">
        <v>1352</v>
      </c>
      <c r="C186" s="24">
        <v>2508</v>
      </c>
      <c r="D186" s="4">
        <v>46097</v>
      </c>
      <c r="E186" t="str">
        <f>VLOOKUP($A186,Sheet4!$A:$B,2,0)</f>
        <v>KL Original Vanilla Bar 12-6PK</v>
      </c>
      <c r="F186" s="3" t="s">
        <v>19</v>
      </c>
    </row>
    <row r="187" spans="1:6" x14ac:dyDescent="0.25">
      <c r="A187" s="3">
        <v>68689251</v>
      </c>
      <c r="B187" s="3">
        <v>1352</v>
      </c>
      <c r="C187" s="24">
        <v>431</v>
      </c>
      <c r="D187" s="4">
        <v>46098</v>
      </c>
      <c r="E187" t="str">
        <f>VLOOKUP($A187,Sheet4!$A:$B,2,0)</f>
        <v>KL Original Vanilla Bar 12-6PK</v>
      </c>
      <c r="F187" s="3" t="s">
        <v>19</v>
      </c>
    </row>
    <row r="188" spans="1:6" x14ac:dyDescent="0.25">
      <c r="A188" s="3">
        <v>68689251</v>
      </c>
      <c r="B188" s="3">
        <v>1352</v>
      </c>
      <c r="C188" s="24">
        <v>4092</v>
      </c>
      <c r="D188" s="4">
        <v>46098</v>
      </c>
      <c r="E188" t="str">
        <f>VLOOKUP($A188,Sheet4!$A:$B,2,0)</f>
        <v>KL Original Vanilla Bar 12-6PK</v>
      </c>
      <c r="F188" s="3" t="s">
        <v>19</v>
      </c>
    </row>
    <row r="189" spans="1:6" x14ac:dyDescent="0.25">
      <c r="A189" s="3">
        <v>68689251</v>
      </c>
      <c r="B189" s="3">
        <v>1352</v>
      </c>
      <c r="C189" s="24">
        <v>3940</v>
      </c>
      <c r="D189" s="4">
        <v>46099</v>
      </c>
      <c r="E189" t="str">
        <f>VLOOKUP($A189,Sheet4!$A:$B,2,0)</f>
        <v>KL Original Vanilla Bar 12-6PK</v>
      </c>
      <c r="F189" s="3" t="s">
        <v>19</v>
      </c>
    </row>
    <row r="190" spans="1:6" x14ac:dyDescent="0.25">
      <c r="A190" s="3">
        <v>68689251</v>
      </c>
      <c r="B190" s="3">
        <v>1352</v>
      </c>
      <c r="C190" s="24">
        <v>1716</v>
      </c>
      <c r="D190" s="4">
        <v>46099</v>
      </c>
      <c r="E190" t="str">
        <f>VLOOKUP($A190,Sheet4!$A:$B,2,0)</f>
        <v>KL Original Vanilla Bar 12-6PK</v>
      </c>
      <c r="F190" s="3" t="s">
        <v>19</v>
      </c>
    </row>
    <row r="191" spans="1:6" x14ac:dyDescent="0.25">
      <c r="A191" s="3">
        <v>68689251</v>
      </c>
      <c r="B191" s="3">
        <v>1352</v>
      </c>
      <c r="C191" s="24">
        <v>4031</v>
      </c>
      <c r="D191" s="4">
        <v>46100</v>
      </c>
      <c r="E191" t="str">
        <f>VLOOKUP($A191,Sheet4!$A:$B,2,0)</f>
        <v>KL Original Vanilla Bar 12-6PK</v>
      </c>
      <c r="F191" s="3" t="s">
        <v>19</v>
      </c>
    </row>
    <row r="192" spans="1:6" x14ac:dyDescent="0.25">
      <c r="A192" s="3">
        <v>68689251</v>
      </c>
      <c r="B192" s="3">
        <v>1352</v>
      </c>
      <c r="C192" s="24">
        <v>924</v>
      </c>
      <c r="D192" s="4">
        <v>46101</v>
      </c>
      <c r="E192" t="str">
        <f>VLOOKUP($A192,Sheet4!$A:$B,2,0)</f>
        <v>KL Original Vanilla Bar 12-6PK</v>
      </c>
      <c r="F192" s="3" t="s">
        <v>19</v>
      </c>
    </row>
    <row r="193" spans="1:6" x14ac:dyDescent="0.25">
      <c r="A193" s="3">
        <v>68689251</v>
      </c>
      <c r="B193" s="3">
        <v>1352</v>
      </c>
      <c r="C193" s="24">
        <v>4231</v>
      </c>
      <c r="D193" s="4">
        <v>46102</v>
      </c>
      <c r="E193" t="str">
        <f>VLOOKUP($A193,Sheet4!$A:$B,2,0)</f>
        <v>KL Original Vanilla Bar 12-6PK</v>
      </c>
      <c r="F193" s="3" t="s">
        <v>19</v>
      </c>
    </row>
    <row r="194" spans="1:6" x14ac:dyDescent="0.25">
      <c r="A194" s="3">
        <v>68689251</v>
      </c>
      <c r="B194" s="3">
        <v>1352</v>
      </c>
      <c r="C194" s="24">
        <v>2904</v>
      </c>
      <c r="D194" s="4">
        <v>46102</v>
      </c>
      <c r="E194" t="str">
        <f>VLOOKUP($A194,Sheet4!$A:$B,2,0)</f>
        <v>KL Original Vanilla Bar 12-6PK</v>
      </c>
      <c r="F194" s="3" t="s">
        <v>19</v>
      </c>
    </row>
    <row r="195" spans="1:6" x14ac:dyDescent="0.25">
      <c r="A195" s="3">
        <v>68689251</v>
      </c>
      <c r="B195" s="3">
        <v>1352</v>
      </c>
      <c r="C195" s="24">
        <v>2810</v>
      </c>
      <c r="D195" s="4">
        <v>46103</v>
      </c>
      <c r="E195" t="str">
        <f>VLOOKUP($A195,Sheet4!$A:$B,2,0)</f>
        <v>KL Original Vanilla Bar 12-6PK</v>
      </c>
      <c r="F195" s="3" t="s">
        <v>19</v>
      </c>
    </row>
    <row r="196" spans="1:6" x14ac:dyDescent="0.25">
      <c r="A196" s="3">
        <v>68689251</v>
      </c>
      <c r="B196" s="3">
        <v>1352</v>
      </c>
      <c r="C196" s="24">
        <v>3036</v>
      </c>
      <c r="D196" s="4">
        <v>46103</v>
      </c>
      <c r="E196" t="str">
        <f>VLOOKUP($A196,Sheet4!$A:$B,2,0)</f>
        <v>KL Original Vanilla Bar 12-6PK</v>
      </c>
      <c r="F196" s="3" t="s">
        <v>19</v>
      </c>
    </row>
    <row r="197" spans="1:6" x14ac:dyDescent="0.25">
      <c r="A197" s="3">
        <v>68689251</v>
      </c>
      <c r="B197" s="3">
        <v>1352</v>
      </c>
      <c r="C197" s="24">
        <v>3964</v>
      </c>
      <c r="D197" s="4">
        <v>46104</v>
      </c>
      <c r="E197" t="str">
        <f>VLOOKUP($A197,Sheet4!$A:$B,2,0)</f>
        <v>KL Original Vanilla Bar 12-6PK</v>
      </c>
      <c r="F197" s="3" t="s">
        <v>19</v>
      </c>
    </row>
    <row r="198" spans="1:6" x14ac:dyDescent="0.25">
      <c r="A198" s="3">
        <v>68689251</v>
      </c>
      <c r="B198" s="3">
        <v>1352</v>
      </c>
      <c r="C198" s="24">
        <v>3564</v>
      </c>
      <c r="D198" s="4">
        <v>46104</v>
      </c>
      <c r="E198" t="str">
        <f>VLOOKUP($A198,Sheet4!$A:$B,2,0)</f>
        <v>KL Original Vanilla Bar 12-6PK</v>
      </c>
      <c r="F198" s="3" t="s">
        <v>19</v>
      </c>
    </row>
    <row r="199" spans="1:6" x14ac:dyDescent="0.25">
      <c r="A199" s="3">
        <v>68689251</v>
      </c>
      <c r="B199" s="3">
        <v>1352</v>
      </c>
      <c r="C199" s="24">
        <v>3353</v>
      </c>
      <c r="D199" s="4">
        <v>46105</v>
      </c>
      <c r="E199" t="str">
        <f>VLOOKUP($A199,Sheet4!$A:$B,2,0)</f>
        <v>KL Original Vanilla Bar 12-6PK</v>
      </c>
      <c r="F199" s="3" t="s">
        <v>19</v>
      </c>
    </row>
    <row r="200" spans="1:6" x14ac:dyDescent="0.25">
      <c r="A200" s="3">
        <v>68689251</v>
      </c>
      <c r="B200" s="3">
        <v>1352</v>
      </c>
      <c r="C200" s="24">
        <v>4092</v>
      </c>
      <c r="D200" s="4">
        <v>46076</v>
      </c>
      <c r="E200" t="str">
        <f>VLOOKUP($A200,Sheet4!$A:$B,2,0)</f>
        <v>KL Original Vanilla Bar 12-6PK</v>
      </c>
      <c r="F200" s="3" t="s">
        <v>50</v>
      </c>
    </row>
    <row r="201" spans="1:6" x14ac:dyDescent="0.25">
      <c r="A201" s="3">
        <v>68689251</v>
      </c>
      <c r="B201" s="3">
        <v>1352</v>
      </c>
      <c r="C201" s="24">
        <v>3549</v>
      </c>
      <c r="D201" s="4">
        <v>46076</v>
      </c>
      <c r="E201" t="str">
        <f>VLOOKUP($A201,Sheet4!$A:$B,2,0)</f>
        <v>KL Original Vanilla Bar 12-6PK</v>
      </c>
      <c r="F201" s="3" t="s">
        <v>50</v>
      </c>
    </row>
    <row r="202" spans="1:6" x14ac:dyDescent="0.25">
      <c r="A202" s="3">
        <v>68689251</v>
      </c>
      <c r="B202" s="3">
        <v>1352</v>
      </c>
      <c r="C202" s="24">
        <v>4125</v>
      </c>
      <c r="D202" s="4">
        <v>46077</v>
      </c>
      <c r="E202" t="str">
        <f>VLOOKUP($A202,Sheet4!$A:$B,2,0)</f>
        <v>KL Original Vanilla Bar 12-6PK</v>
      </c>
      <c r="F202" s="3" t="s">
        <v>50</v>
      </c>
    </row>
    <row r="203" spans="1:6" x14ac:dyDescent="0.25">
      <c r="A203" s="3">
        <v>68689251</v>
      </c>
      <c r="B203" s="3">
        <v>1352</v>
      </c>
      <c r="C203" s="24">
        <v>992</v>
      </c>
      <c r="D203" s="4">
        <v>46078</v>
      </c>
      <c r="E203" t="str">
        <f>VLOOKUP($A203,Sheet4!$A:$B,2,0)</f>
        <v>KL Original Vanilla Bar 12-6PK</v>
      </c>
      <c r="F203" s="3" t="s">
        <v>50</v>
      </c>
    </row>
    <row r="204" spans="1:6" x14ac:dyDescent="0.25">
      <c r="A204" s="3">
        <v>68689251</v>
      </c>
      <c r="B204" s="3">
        <v>1352</v>
      </c>
      <c r="C204" s="24">
        <v>2904</v>
      </c>
      <c r="D204" s="4">
        <v>46078</v>
      </c>
      <c r="E204" t="str">
        <f>VLOOKUP($A204,Sheet4!$A:$B,2,0)</f>
        <v>KL Original Vanilla Bar 12-6PK</v>
      </c>
      <c r="F204" s="3" t="s">
        <v>50</v>
      </c>
    </row>
    <row r="205" spans="1:6" x14ac:dyDescent="0.25">
      <c r="A205" s="3">
        <v>68689251</v>
      </c>
      <c r="B205" s="3">
        <v>1352</v>
      </c>
      <c r="C205" s="24">
        <v>4892</v>
      </c>
      <c r="D205" s="4">
        <v>46079</v>
      </c>
      <c r="E205" t="str">
        <f>VLOOKUP($A205,Sheet4!$A:$B,2,0)</f>
        <v>KL Original Vanilla Bar 12-6PK</v>
      </c>
      <c r="F205" s="3" t="s">
        <v>50</v>
      </c>
    </row>
    <row r="206" spans="1:6" x14ac:dyDescent="0.25">
      <c r="A206" s="3">
        <v>68689251</v>
      </c>
      <c r="B206" s="3">
        <v>1352</v>
      </c>
      <c r="C206" s="24">
        <v>3564</v>
      </c>
      <c r="D206" s="4">
        <v>46080</v>
      </c>
      <c r="E206" t="str">
        <f>VLOOKUP($A206,Sheet4!$A:$B,2,0)</f>
        <v>KL Original Vanilla Bar 12-6PK</v>
      </c>
      <c r="F206" s="3" t="s">
        <v>50</v>
      </c>
    </row>
    <row r="207" spans="1:6" x14ac:dyDescent="0.25">
      <c r="A207" s="3">
        <v>68689251</v>
      </c>
      <c r="B207" s="3">
        <v>1352</v>
      </c>
      <c r="C207" s="24">
        <v>2644</v>
      </c>
      <c r="D207" s="4">
        <v>46081</v>
      </c>
      <c r="E207" t="str">
        <f>VLOOKUP($A207,Sheet4!$A:$B,2,0)</f>
        <v>KL Original Vanilla Bar 12-6PK</v>
      </c>
      <c r="F207" s="3" t="s">
        <v>50</v>
      </c>
    </row>
    <row r="208" spans="1:6" x14ac:dyDescent="0.25">
      <c r="A208" s="3">
        <v>68689251</v>
      </c>
      <c r="B208" s="3">
        <v>1352</v>
      </c>
      <c r="C208" s="24">
        <v>132</v>
      </c>
      <c r="D208" s="4">
        <v>46086</v>
      </c>
      <c r="E208" t="str">
        <f>VLOOKUP($A208,Sheet4!$A:$B,2,0)</f>
        <v>KL Original Vanilla Bar 12-6PK</v>
      </c>
      <c r="F208" s="3" t="s">
        <v>50</v>
      </c>
    </row>
    <row r="209" spans="1:6" x14ac:dyDescent="0.25">
      <c r="A209" s="3">
        <v>68689251</v>
      </c>
      <c r="B209" s="3">
        <v>1352</v>
      </c>
      <c r="C209" s="24">
        <v>2112</v>
      </c>
      <c r="D209" s="4">
        <v>46081</v>
      </c>
      <c r="E209" t="str">
        <f>VLOOKUP($A209,Sheet4!$A:$B,2,0)</f>
        <v>KL Original Vanilla Bar 12-6PK</v>
      </c>
      <c r="F209" s="3" t="s">
        <v>50</v>
      </c>
    </row>
    <row r="210" spans="1:6" x14ac:dyDescent="0.25">
      <c r="A210" s="3">
        <v>68689251</v>
      </c>
      <c r="B210" s="3">
        <v>1352</v>
      </c>
      <c r="C210" s="24">
        <v>2314</v>
      </c>
      <c r="D210" s="4">
        <v>46082</v>
      </c>
      <c r="E210" t="str">
        <f>VLOOKUP($A210,Sheet4!$A:$B,2,0)</f>
        <v>KL Original Vanilla Bar 12-6PK</v>
      </c>
      <c r="F210" s="3" t="s">
        <v>50</v>
      </c>
    </row>
    <row r="211" spans="1:6" x14ac:dyDescent="0.25">
      <c r="A211" s="3">
        <v>68689251</v>
      </c>
      <c r="B211" s="3">
        <v>1352</v>
      </c>
      <c r="C211" s="24">
        <v>90</v>
      </c>
      <c r="D211" s="4">
        <v>46080</v>
      </c>
      <c r="E211" t="str">
        <f>VLOOKUP($A211,Sheet4!$A:$B,2,0)</f>
        <v>KL Original Vanilla Bar 12-6PK</v>
      </c>
      <c r="F211" s="3" t="s">
        <v>50</v>
      </c>
    </row>
    <row r="212" spans="1:6" x14ac:dyDescent="0.25">
      <c r="A212" s="3">
        <v>68689251</v>
      </c>
      <c r="B212" s="3">
        <v>1352</v>
      </c>
      <c r="C212" s="24">
        <v>3168</v>
      </c>
      <c r="D212" s="4">
        <v>46082</v>
      </c>
      <c r="E212" t="str">
        <f>VLOOKUP($A212,Sheet4!$A:$B,2,0)</f>
        <v>KL Original Vanilla Bar 12-6PK</v>
      </c>
      <c r="F212" s="3" t="s">
        <v>50</v>
      </c>
    </row>
    <row r="213" spans="1:6" x14ac:dyDescent="0.25">
      <c r="A213" s="3">
        <v>68689251</v>
      </c>
      <c r="B213" s="3">
        <v>1352</v>
      </c>
      <c r="C213" s="24">
        <v>4846</v>
      </c>
      <c r="D213" s="4">
        <v>46083</v>
      </c>
      <c r="E213" t="str">
        <f>VLOOKUP($A213,Sheet4!$A:$B,2,0)</f>
        <v>KL Original Vanilla Bar 12-6PK</v>
      </c>
      <c r="F213" s="3" t="s">
        <v>50</v>
      </c>
    </row>
    <row r="214" spans="1:6" x14ac:dyDescent="0.25">
      <c r="A214" s="3">
        <v>68689251</v>
      </c>
      <c r="B214" s="3">
        <v>1352</v>
      </c>
      <c r="C214" s="24">
        <v>3564</v>
      </c>
      <c r="D214" s="4">
        <v>46079</v>
      </c>
      <c r="E214" t="str">
        <f>VLOOKUP($A214,Sheet4!$A:$B,2,0)</f>
        <v>KL Original Vanilla Bar 12-6PK</v>
      </c>
      <c r="F214" s="3" t="s">
        <v>50</v>
      </c>
    </row>
    <row r="215" spans="1:6" x14ac:dyDescent="0.25">
      <c r="A215" s="3">
        <v>68689251</v>
      </c>
      <c r="B215" s="3">
        <v>1352</v>
      </c>
      <c r="C215" s="24">
        <v>4858</v>
      </c>
      <c r="D215" s="4">
        <v>46080</v>
      </c>
      <c r="E215" t="str">
        <f>VLOOKUP($A215,Sheet4!$A:$B,2,0)</f>
        <v>KL Original Vanilla Bar 12-6PK</v>
      </c>
      <c r="F215" s="3" t="s">
        <v>50</v>
      </c>
    </row>
    <row r="216" spans="1:6" x14ac:dyDescent="0.25">
      <c r="A216" s="3">
        <v>68689251</v>
      </c>
      <c r="B216" s="3">
        <v>1352</v>
      </c>
      <c r="C216" s="24">
        <v>3564</v>
      </c>
      <c r="D216" s="4">
        <v>46083</v>
      </c>
      <c r="E216" t="str">
        <f>VLOOKUP($A216,Sheet4!$A:$B,2,0)</f>
        <v>KL Original Vanilla Bar 12-6PK</v>
      </c>
      <c r="F216" s="3" t="s">
        <v>50</v>
      </c>
    </row>
    <row r="217" spans="1:6" x14ac:dyDescent="0.25">
      <c r="A217" s="3">
        <v>68689251</v>
      </c>
      <c r="B217" s="3">
        <v>1352</v>
      </c>
      <c r="C217" s="24">
        <v>5358</v>
      </c>
      <c r="D217" s="4">
        <v>46084</v>
      </c>
      <c r="E217" t="str">
        <f>VLOOKUP($A217,Sheet4!$A:$B,2,0)</f>
        <v>KL Original Vanilla Bar 12-6PK</v>
      </c>
      <c r="F217" s="3" t="s">
        <v>50</v>
      </c>
    </row>
    <row r="218" spans="1:6" x14ac:dyDescent="0.25">
      <c r="A218" s="3">
        <v>68689251</v>
      </c>
      <c r="B218" s="3">
        <v>1352</v>
      </c>
      <c r="C218" s="24">
        <v>1769</v>
      </c>
      <c r="D218" s="4">
        <v>46087</v>
      </c>
      <c r="E218" t="str">
        <f>VLOOKUP($A218,Sheet4!$A:$B,2,0)</f>
        <v>KL Original Vanilla Bar 12-6PK</v>
      </c>
      <c r="F218" s="3" t="s">
        <v>15</v>
      </c>
    </row>
    <row r="219" spans="1:6" x14ac:dyDescent="0.25">
      <c r="A219" s="3">
        <v>68689251</v>
      </c>
      <c r="B219" s="3">
        <v>1352</v>
      </c>
      <c r="C219" s="24">
        <v>2904</v>
      </c>
      <c r="D219" s="4">
        <v>46087</v>
      </c>
      <c r="E219" t="str">
        <f>VLOOKUP($A219,Sheet4!$A:$B,2,0)</f>
        <v>KL Original Vanilla Bar 12-6PK</v>
      </c>
      <c r="F219" s="3" t="s">
        <v>15</v>
      </c>
    </row>
    <row r="220" spans="1:6" x14ac:dyDescent="0.25">
      <c r="A220" s="3">
        <v>68689251</v>
      </c>
      <c r="B220" s="3">
        <v>1352</v>
      </c>
      <c r="C220" s="24">
        <v>3940</v>
      </c>
      <c r="D220" s="4">
        <v>46088</v>
      </c>
      <c r="E220" t="str">
        <f>VLOOKUP($A220,Sheet4!$A:$B,2,0)</f>
        <v>KL Original Vanilla Bar 12-6PK</v>
      </c>
      <c r="F220" s="3" t="s">
        <v>15</v>
      </c>
    </row>
    <row r="221" spans="1:6" x14ac:dyDescent="0.25">
      <c r="A221" s="3">
        <v>68689251</v>
      </c>
      <c r="B221" s="3">
        <v>1352</v>
      </c>
      <c r="C221" s="24">
        <v>1980</v>
      </c>
      <c r="D221" s="4">
        <v>46088</v>
      </c>
      <c r="E221" t="str">
        <f>VLOOKUP($A221,Sheet4!$A:$B,2,0)</f>
        <v>KL Original Vanilla Bar 12-6PK</v>
      </c>
      <c r="F221" s="3" t="s">
        <v>15</v>
      </c>
    </row>
    <row r="222" spans="1:6" x14ac:dyDescent="0.25">
      <c r="A222" s="3">
        <v>68689251</v>
      </c>
      <c r="B222" s="3">
        <v>1352</v>
      </c>
      <c r="C222" s="24">
        <v>2921</v>
      </c>
      <c r="D222" s="4">
        <v>46089</v>
      </c>
      <c r="E222" t="str">
        <f>VLOOKUP($A222,Sheet4!$A:$B,2,0)</f>
        <v>KL Original Vanilla Bar 12-6PK</v>
      </c>
      <c r="F222" s="3" t="s">
        <v>15</v>
      </c>
    </row>
    <row r="223" spans="1:6" x14ac:dyDescent="0.25">
      <c r="A223" s="3">
        <v>68689251</v>
      </c>
      <c r="B223" s="3">
        <v>1352</v>
      </c>
      <c r="C223" s="24">
        <v>3432</v>
      </c>
      <c r="D223" s="4">
        <v>46089</v>
      </c>
      <c r="E223" t="str">
        <f>VLOOKUP($A223,Sheet4!$A:$B,2,0)</f>
        <v>KL Original Vanilla Bar 12-6PK</v>
      </c>
      <c r="F223" s="3" t="s">
        <v>15</v>
      </c>
    </row>
    <row r="224" spans="1:6" x14ac:dyDescent="0.25">
      <c r="A224" s="3">
        <v>68689251</v>
      </c>
      <c r="B224" s="3">
        <v>1352</v>
      </c>
      <c r="C224" s="24">
        <v>4237</v>
      </c>
      <c r="D224" s="4">
        <v>46090</v>
      </c>
      <c r="E224" t="str">
        <f>VLOOKUP($A224,Sheet4!$A:$B,2,0)</f>
        <v>KL Original Vanilla Bar 12-6PK</v>
      </c>
      <c r="F224" s="3" t="s">
        <v>15</v>
      </c>
    </row>
    <row r="225" spans="1:6" x14ac:dyDescent="0.25">
      <c r="A225" s="3">
        <v>68689251</v>
      </c>
      <c r="B225" s="3">
        <v>1352</v>
      </c>
      <c r="C225" s="24">
        <v>1130</v>
      </c>
      <c r="D225" s="4">
        <v>46093</v>
      </c>
      <c r="E225" t="str">
        <f>VLOOKUP($A225,Sheet4!$A:$B,2,0)</f>
        <v>KL Original Vanilla Bar 12-6PK</v>
      </c>
      <c r="F225" s="3" t="s">
        <v>19</v>
      </c>
    </row>
    <row r="226" spans="1:6" x14ac:dyDescent="0.25">
      <c r="A226" s="3">
        <v>68689251</v>
      </c>
      <c r="B226" s="3">
        <v>1352</v>
      </c>
      <c r="C226" s="24">
        <v>1056</v>
      </c>
      <c r="D226" s="4">
        <v>46089</v>
      </c>
      <c r="E226" t="str">
        <f>VLOOKUP($A226,Sheet4!$A:$B,2,0)</f>
        <v>KL Original Vanilla Bar 12-6PK</v>
      </c>
      <c r="F226" s="3" t="s">
        <v>19</v>
      </c>
    </row>
    <row r="227" spans="1:6" x14ac:dyDescent="0.25">
      <c r="A227" s="3">
        <v>68689251</v>
      </c>
      <c r="B227" s="3">
        <v>1352</v>
      </c>
      <c r="C227" s="24">
        <v>1999</v>
      </c>
      <c r="D227" s="4">
        <v>46090</v>
      </c>
      <c r="E227" t="str">
        <f>VLOOKUP($A227,Sheet4!$A:$B,2,0)</f>
        <v>KL Original Vanilla Bar 12-6PK</v>
      </c>
      <c r="F227" s="3" t="s">
        <v>19</v>
      </c>
    </row>
    <row r="228" spans="1:6" x14ac:dyDescent="0.25">
      <c r="A228" s="3">
        <v>68689251</v>
      </c>
      <c r="B228" s="3">
        <v>1352</v>
      </c>
      <c r="C228" s="24">
        <v>264</v>
      </c>
      <c r="D228" s="4">
        <v>46090</v>
      </c>
      <c r="E228" t="str">
        <f>VLOOKUP($A228,Sheet4!$A:$B,2,0)</f>
        <v>KL Original Vanilla Bar 12-6PK</v>
      </c>
      <c r="F228" s="3" t="s">
        <v>15</v>
      </c>
    </row>
    <row r="229" spans="1:6" x14ac:dyDescent="0.25">
      <c r="A229" s="3">
        <v>68689251</v>
      </c>
      <c r="B229" s="3">
        <v>1352</v>
      </c>
      <c r="C229" s="24">
        <v>2273</v>
      </c>
      <c r="D229" s="4">
        <v>46091</v>
      </c>
      <c r="E229" t="str">
        <f>VLOOKUP($A229,Sheet4!$A:$B,2,0)</f>
        <v>KL Original Vanilla Bar 12-6PK</v>
      </c>
      <c r="F229" s="3" t="s">
        <v>15</v>
      </c>
    </row>
    <row r="230" spans="1:6" x14ac:dyDescent="0.25">
      <c r="A230" s="3">
        <v>68689251</v>
      </c>
      <c r="B230" s="3">
        <v>1352</v>
      </c>
      <c r="C230" s="24">
        <v>2282</v>
      </c>
      <c r="D230" s="4">
        <v>46094</v>
      </c>
      <c r="E230" t="str">
        <f>VLOOKUP($A230,Sheet4!$A:$B,2,0)</f>
        <v>KL Original Vanilla Bar 12-6PK</v>
      </c>
      <c r="F230" s="3" t="s">
        <v>19</v>
      </c>
    </row>
    <row r="231" spans="1:6" x14ac:dyDescent="0.25">
      <c r="A231" s="3">
        <v>68689251</v>
      </c>
      <c r="B231" s="3">
        <v>1352</v>
      </c>
      <c r="C231" s="24">
        <v>1848</v>
      </c>
      <c r="D231" s="4">
        <v>46100</v>
      </c>
      <c r="E231" t="str">
        <f>VLOOKUP($A231,Sheet4!$A:$B,2,0)</f>
        <v>KL Original Vanilla Bar 12-6PK</v>
      </c>
      <c r="F231" s="3" t="s">
        <v>19</v>
      </c>
    </row>
    <row r="232" spans="1:6" x14ac:dyDescent="0.25">
      <c r="A232" s="3">
        <v>68689251</v>
      </c>
      <c r="B232" s="3">
        <v>1352</v>
      </c>
      <c r="C232" s="24">
        <v>3514</v>
      </c>
      <c r="D232" s="4">
        <v>46101</v>
      </c>
      <c r="E232" t="str">
        <f>VLOOKUP($A232,Sheet4!$A:$B,2,0)</f>
        <v>KL Original Vanilla Bar 12-6PK</v>
      </c>
      <c r="F232" s="3" t="s">
        <v>19</v>
      </c>
    </row>
    <row r="233" spans="1:6" x14ac:dyDescent="0.25">
      <c r="A233" s="3">
        <v>68689251</v>
      </c>
      <c r="B233" s="3">
        <v>1352</v>
      </c>
      <c r="C233" s="24">
        <v>14</v>
      </c>
      <c r="D233" s="4">
        <v>46103</v>
      </c>
      <c r="E233" t="str">
        <f>VLOOKUP($A233,Sheet4!$A:$B,2,0)</f>
        <v>KL Original Vanilla Bar 12-6PK</v>
      </c>
      <c r="F233" s="3" t="s">
        <v>19</v>
      </c>
    </row>
    <row r="234" spans="1:6" x14ac:dyDescent="0.25">
      <c r="A234" s="3">
        <v>68709233</v>
      </c>
      <c r="B234" s="3">
        <v>1352</v>
      </c>
      <c r="C234" s="24">
        <v>4110</v>
      </c>
      <c r="D234" s="4">
        <v>46102</v>
      </c>
      <c r="E234" t="str">
        <f>VLOOKUP($A234,Sheet4!$A:$B,2,0)</f>
        <v>KL SAB RF NSA Vanilla Bar 12-6PK</v>
      </c>
      <c r="F234" s="3" t="s">
        <v>50</v>
      </c>
    </row>
    <row r="235" spans="1:6" x14ac:dyDescent="0.25">
      <c r="A235" s="3">
        <v>68709233</v>
      </c>
      <c r="B235" s="3">
        <v>1352</v>
      </c>
      <c r="C235" s="24">
        <v>3394</v>
      </c>
      <c r="D235" s="4">
        <v>46103</v>
      </c>
      <c r="E235" t="str">
        <f>VLOOKUP($A235,Sheet4!$A:$B,2,0)</f>
        <v>KL SAB RF NSA Vanilla Bar 12-6PK</v>
      </c>
      <c r="F235" s="3" t="s">
        <v>50</v>
      </c>
    </row>
    <row r="236" spans="1:6" x14ac:dyDescent="0.25">
      <c r="A236" s="3">
        <v>68709233</v>
      </c>
      <c r="B236" s="3">
        <v>1352</v>
      </c>
      <c r="C236" s="24">
        <v>2904</v>
      </c>
      <c r="D236" s="4">
        <v>46103</v>
      </c>
      <c r="E236" t="str">
        <f>VLOOKUP($A236,Sheet4!$A:$B,2,0)</f>
        <v>KL SAB RF NSA Vanilla Bar 12-6PK</v>
      </c>
      <c r="F236" s="3" t="s">
        <v>50</v>
      </c>
    </row>
    <row r="237" spans="1:6" x14ac:dyDescent="0.25">
      <c r="A237" s="3">
        <v>68709233</v>
      </c>
      <c r="B237" s="3">
        <v>1352</v>
      </c>
      <c r="C237" s="24">
        <v>4089</v>
      </c>
      <c r="D237" s="4">
        <v>46104</v>
      </c>
      <c r="E237" t="str">
        <f>VLOOKUP($A237,Sheet4!$A:$B,2,0)</f>
        <v>KL SAB RF NSA Vanilla Bar 12-6PK</v>
      </c>
      <c r="F237" s="3" t="s">
        <v>50</v>
      </c>
    </row>
    <row r="238" spans="1:6" x14ac:dyDescent="0.25">
      <c r="A238" s="3">
        <v>68709233</v>
      </c>
      <c r="B238" s="3">
        <v>1352</v>
      </c>
      <c r="C238" s="24">
        <v>3300</v>
      </c>
      <c r="D238" s="4">
        <v>46104</v>
      </c>
      <c r="E238" t="str">
        <f>VLOOKUP($A238,Sheet4!$A:$B,2,0)</f>
        <v>KL SAB RF NSA Vanilla Bar 12-6PK</v>
      </c>
      <c r="F238" s="3" t="s">
        <v>15</v>
      </c>
    </row>
    <row r="239" spans="1:6" x14ac:dyDescent="0.25">
      <c r="A239" s="3">
        <v>68709233</v>
      </c>
      <c r="B239" s="3">
        <v>1352</v>
      </c>
      <c r="C239" s="24">
        <v>3887</v>
      </c>
      <c r="D239" s="4">
        <v>46105</v>
      </c>
      <c r="E239" t="str">
        <f>VLOOKUP($A239,Sheet4!$A:$B,2,0)</f>
        <v>KL SAB RF NSA Vanilla Bar 12-6PK</v>
      </c>
      <c r="F239" s="3" t="s">
        <v>15</v>
      </c>
    </row>
    <row r="240" spans="1:6" x14ac:dyDescent="0.25">
      <c r="A240" s="3">
        <v>68709233</v>
      </c>
      <c r="B240" s="3">
        <v>1352</v>
      </c>
      <c r="C240" s="24">
        <v>1955</v>
      </c>
      <c r="D240" s="4">
        <v>46105</v>
      </c>
      <c r="E240" t="str">
        <f>VLOOKUP($A240,Sheet4!$A:$B,2,0)</f>
        <v>KL SAB RF NSA Vanilla Bar 12-6PK</v>
      </c>
      <c r="F240" s="3" t="s">
        <v>15</v>
      </c>
    </row>
    <row r="241" spans="1:6" x14ac:dyDescent="0.25">
      <c r="A241" s="3">
        <v>68709233</v>
      </c>
      <c r="B241" s="3">
        <v>1352</v>
      </c>
      <c r="C241" s="24">
        <v>1946</v>
      </c>
      <c r="D241" s="4">
        <v>46099</v>
      </c>
      <c r="E241" t="str">
        <f>VLOOKUP($A241,Sheet4!$A:$B,2,0)</f>
        <v>KL SAB RF NSA Vanilla Bar 12-6PK</v>
      </c>
      <c r="F241" s="3" t="s">
        <v>50</v>
      </c>
    </row>
    <row r="242" spans="1:6" x14ac:dyDescent="0.25">
      <c r="A242" s="3">
        <v>68709233</v>
      </c>
      <c r="B242" s="3">
        <v>1352</v>
      </c>
      <c r="C242" s="24">
        <v>3036</v>
      </c>
      <c r="D242" s="4">
        <v>46099</v>
      </c>
      <c r="E242" t="str">
        <f>VLOOKUP($A242,Sheet4!$A:$B,2,0)</f>
        <v>KL SAB RF NSA Vanilla Bar 12-6PK</v>
      </c>
      <c r="F242" s="3" t="s">
        <v>50</v>
      </c>
    </row>
    <row r="243" spans="1:6" x14ac:dyDescent="0.25">
      <c r="A243" s="3">
        <v>68709233</v>
      </c>
      <c r="B243" s="3">
        <v>1352</v>
      </c>
      <c r="C243" s="24">
        <v>3854</v>
      </c>
      <c r="D243" s="4">
        <v>46100</v>
      </c>
      <c r="E243" t="str">
        <f>VLOOKUP($A243,Sheet4!$A:$B,2,0)</f>
        <v>KL SAB RF NSA Vanilla Bar 12-6PK</v>
      </c>
      <c r="F243" s="3" t="s">
        <v>50</v>
      </c>
    </row>
    <row r="244" spans="1:6" x14ac:dyDescent="0.25">
      <c r="A244" s="3">
        <v>68709233</v>
      </c>
      <c r="B244" s="3">
        <v>1352</v>
      </c>
      <c r="C244" s="24">
        <v>3168</v>
      </c>
      <c r="D244" s="4">
        <v>46104</v>
      </c>
      <c r="E244" t="str">
        <f>VLOOKUP($A244,Sheet4!$A:$B,2,0)</f>
        <v>KL SAB RF NSA Vanilla Bar 12-6PK</v>
      </c>
      <c r="F244" s="3" t="s">
        <v>50</v>
      </c>
    </row>
    <row r="245" spans="1:6" x14ac:dyDescent="0.25">
      <c r="A245" s="3">
        <v>68709233</v>
      </c>
      <c r="B245" s="3">
        <v>1352</v>
      </c>
      <c r="C245" s="24">
        <v>252</v>
      </c>
      <c r="D245" s="4">
        <v>46105</v>
      </c>
      <c r="E245" t="str">
        <f>VLOOKUP($A245,Sheet4!$A:$B,2,0)</f>
        <v>KL SAB RF NSA Vanilla Bar 12-6PK</v>
      </c>
      <c r="F245" s="3" t="s">
        <v>50</v>
      </c>
    </row>
    <row r="246" spans="1:6" x14ac:dyDescent="0.25">
      <c r="A246" s="3">
        <v>68709233</v>
      </c>
      <c r="B246" s="3">
        <v>1352</v>
      </c>
      <c r="C246" s="24">
        <v>1716</v>
      </c>
      <c r="D246" s="4">
        <v>46105</v>
      </c>
      <c r="E246" t="str">
        <f>VLOOKUP($A246,Sheet4!$A:$B,2,0)</f>
        <v>KL SAB RF NSA Vanilla Bar 12-6PK</v>
      </c>
      <c r="F246" s="3" t="s">
        <v>50</v>
      </c>
    </row>
    <row r="247" spans="1:6" x14ac:dyDescent="0.25">
      <c r="A247" s="3">
        <v>68709233</v>
      </c>
      <c r="B247" s="3">
        <v>1352</v>
      </c>
      <c r="C247" s="24">
        <v>2640</v>
      </c>
      <c r="D247" s="4">
        <v>46101</v>
      </c>
      <c r="E247" t="str">
        <f>VLOOKUP($A247,Sheet4!$A:$B,2,0)</f>
        <v>KL SAB RF NSA Vanilla Bar 12-6PK</v>
      </c>
      <c r="F247" s="3" t="s">
        <v>50</v>
      </c>
    </row>
    <row r="248" spans="1:6" x14ac:dyDescent="0.25">
      <c r="A248" s="3">
        <v>68709233</v>
      </c>
      <c r="B248" s="3">
        <v>1352</v>
      </c>
      <c r="C248" s="24">
        <v>855</v>
      </c>
      <c r="D248" s="4">
        <v>46102</v>
      </c>
      <c r="E248" t="str">
        <f>VLOOKUP($A248,Sheet4!$A:$B,2,0)</f>
        <v>KL SAB RF NSA Vanilla Bar 12-6PK</v>
      </c>
      <c r="F248" s="3" t="s">
        <v>50</v>
      </c>
    </row>
    <row r="249" spans="1:6" x14ac:dyDescent="0.25">
      <c r="A249" s="3">
        <v>68709233</v>
      </c>
      <c r="B249" s="3">
        <v>1352</v>
      </c>
      <c r="C249" s="24">
        <v>528</v>
      </c>
      <c r="D249" s="4">
        <v>46097</v>
      </c>
      <c r="E249" t="str">
        <f>VLOOKUP($A249,Sheet4!$A:$B,2,0)</f>
        <v>KL SAB RF NSA Vanilla Bar 12-6PK</v>
      </c>
      <c r="F249" s="3" t="s">
        <v>15</v>
      </c>
    </row>
    <row r="250" spans="1:6" x14ac:dyDescent="0.25">
      <c r="A250" s="3">
        <v>68709233</v>
      </c>
      <c r="B250" s="3">
        <v>1352</v>
      </c>
      <c r="C250" s="24">
        <v>3620</v>
      </c>
      <c r="D250" s="4">
        <v>46098</v>
      </c>
      <c r="E250" t="str">
        <f>VLOOKUP($A250,Sheet4!$A:$B,2,0)</f>
        <v>KL SAB RF NSA Vanilla Bar 12-6PK</v>
      </c>
      <c r="F250" s="3" t="s">
        <v>15</v>
      </c>
    </row>
    <row r="251" spans="1:6" x14ac:dyDescent="0.25">
      <c r="A251" s="3">
        <v>68709233</v>
      </c>
      <c r="B251" s="3">
        <v>1352</v>
      </c>
      <c r="C251" s="24">
        <v>3696</v>
      </c>
      <c r="D251" s="4">
        <v>46098</v>
      </c>
      <c r="E251" t="str">
        <f>VLOOKUP($A251,Sheet4!$A:$B,2,0)</f>
        <v>KL SAB RF NSA Vanilla Bar 12-6PK</v>
      </c>
      <c r="F251" s="3" t="s">
        <v>15</v>
      </c>
    </row>
    <row r="252" spans="1:6" x14ac:dyDescent="0.25">
      <c r="A252" s="3">
        <v>68709233</v>
      </c>
      <c r="B252" s="3">
        <v>1352</v>
      </c>
      <c r="C252" s="24">
        <v>2772</v>
      </c>
      <c r="D252" s="4">
        <v>46099</v>
      </c>
      <c r="E252" t="str">
        <f>VLOOKUP($A252,Sheet4!$A:$B,2,0)</f>
        <v>KL SAB RF NSA Vanilla Bar 12-6PK</v>
      </c>
      <c r="F252" s="3" t="s">
        <v>15</v>
      </c>
    </row>
    <row r="253" spans="1:6" x14ac:dyDescent="0.25">
      <c r="A253" s="3">
        <v>68709233</v>
      </c>
      <c r="B253" s="3">
        <v>1352</v>
      </c>
      <c r="C253" s="24">
        <v>2376</v>
      </c>
      <c r="D253" s="4">
        <v>46099</v>
      </c>
      <c r="E253" t="str">
        <f>VLOOKUP($A253,Sheet4!$A:$B,2,0)</f>
        <v>KL SAB RF NSA Vanilla Bar 12-6PK</v>
      </c>
      <c r="F253" s="3" t="s">
        <v>15</v>
      </c>
    </row>
    <row r="254" spans="1:6" x14ac:dyDescent="0.25">
      <c r="A254" s="3">
        <v>68709233</v>
      </c>
      <c r="B254" s="3">
        <v>1352</v>
      </c>
      <c r="C254" s="24">
        <v>4234</v>
      </c>
      <c r="D254" s="4">
        <v>46100</v>
      </c>
      <c r="E254" t="str">
        <f>VLOOKUP($A254,Sheet4!$A:$B,2,0)</f>
        <v>KL SAB RF NSA Vanilla Bar 12-6PK</v>
      </c>
      <c r="F254" s="3" t="s">
        <v>15</v>
      </c>
    </row>
    <row r="255" spans="1:6" x14ac:dyDescent="0.25">
      <c r="A255" s="3">
        <v>68709233</v>
      </c>
      <c r="B255" s="3">
        <v>1352</v>
      </c>
      <c r="C255" s="24">
        <v>2376</v>
      </c>
      <c r="D255" s="4">
        <v>46100</v>
      </c>
      <c r="E255" t="str">
        <f>VLOOKUP($A255,Sheet4!$A:$B,2,0)</f>
        <v>KL SAB RF NSA Vanilla Bar 12-6PK</v>
      </c>
      <c r="F255" s="3" t="s">
        <v>15</v>
      </c>
    </row>
    <row r="256" spans="1:6" x14ac:dyDescent="0.25">
      <c r="A256" s="3">
        <v>68709233</v>
      </c>
      <c r="B256" s="3">
        <v>1352</v>
      </c>
      <c r="C256" s="24">
        <v>1959</v>
      </c>
      <c r="D256" s="4">
        <v>46101</v>
      </c>
      <c r="E256" t="str">
        <f>VLOOKUP($A256,Sheet4!$A:$B,2,0)</f>
        <v>KL SAB RF NSA Vanilla Bar 12-6PK</v>
      </c>
      <c r="F256" s="3" t="s">
        <v>15</v>
      </c>
    </row>
    <row r="257" spans="1:6" x14ac:dyDescent="0.25">
      <c r="A257" s="3">
        <v>68709233</v>
      </c>
      <c r="B257" s="3">
        <v>1352</v>
      </c>
      <c r="C257" s="24">
        <v>597</v>
      </c>
      <c r="D257" s="4">
        <v>46101</v>
      </c>
      <c r="E257" t="str">
        <f>VLOOKUP($A257,Sheet4!$A:$B,2,0)</f>
        <v>KL SAB RF NSA Vanilla Bar 12-6PK</v>
      </c>
      <c r="F257" s="3" t="s">
        <v>15</v>
      </c>
    </row>
    <row r="258" spans="1:6" x14ac:dyDescent="0.25">
      <c r="A258" s="3">
        <v>68709233</v>
      </c>
      <c r="B258" s="3">
        <v>1352</v>
      </c>
      <c r="C258" s="24">
        <v>3036</v>
      </c>
      <c r="D258" s="4">
        <v>46102</v>
      </c>
      <c r="E258" t="str">
        <f>VLOOKUP($A258,Sheet4!$A:$B,2,0)</f>
        <v>KL SAB RF NSA Vanilla Bar 12-6PK</v>
      </c>
      <c r="F258" s="3" t="s">
        <v>15</v>
      </c>
    </row>
    <row r="259" spans="1:6" x14ac:dyDescent="0.25">
      <c r="A259" s="3">
        <v>68709233</v>
      </c>
      <c r="B259" s="3">
        <v>1352</v>
      </c>
      <c r="C259" s="24">
        <v>4241</v>
      </c>
      <c r="D259" s="4">
        <v>46103</v>
      </c>
      <c r="E259" t="str">
        <f>VLOOKUP($A259,Sheet4!$A:$B,2,0)</f>
        <v>KL SAB RF NSA Vanilla Bar 12-6PK</v>
      </c>
      <c r="F259" s="3" t="s">
        <v>15</v>
      </c>
    </row>
    <row r="260" spans="1:6" x14ac:dyDescent="0.25">
      <c r="A260" s="3">
        <v>68709233</v>
      </c>
      <c r="B260" s="3">
        <v>1352</v>
      </c>
      <c r="C260" s="24">
        <v>3432</v>
      </c>
      <c r="D260" s="4">
        <v>46103</v>
      </c>
      <c r="E260" t="str">
        <f>VLOOKUP($A260,Sheet4!$A:$B,2,0)</f>
        <v>KL SAB RF NSA Vanilla Bar 12-6PK</v>
      </c>
      <c r="F260" s="3" t="s">
        <v>15</v>
      </c>
    </row>
    <row r="261" spans="1:6" x14ac:dyDescent="0.25">
      <c r="A261" s="3">
        <v>68709233</v>
      </c>
      <c r="B261" s="3">
        <v>1352</v>
      </c>
      <c r="C261" s="24">
        <v>4863</v>
      </c>
      <c r="D261" s="4">
        <v>46104</v>
      </c>
      <c r="E261" t="str">
        <f>VLOOKUP($A261,Sheet4!$A:$B,2,0)</f>
        <v>KL SAB RF NSA Vanilla Bar 12-6PK</v>
      </c>
      <c r="F261" s="3" t="s">
        <v>15</v>
      </c>
    </row>
    <row r="262" spans="1:6" x14ac:dyDescent="0.25">
      <c r="A262" s="3">
        <v>68709233</v>
      </c>
      <c r="B262" s="3">
        <v>1352</v>
      </c>
      <c r="C262" s="24">
        <v>3168</v>
      </c>
      <c r="D262" s="4">
        <v>46100</v>
      </c>
      <c r="E262" t="str">
        <f>VLOOKUP($A262,Sheet4!$A:$B,2,0)</f>
        <v>KL SAB RF NSA Vanilla Bar 12-6PK</v>
      </c>
      <c r="F262" s="3" t="s">
        <v>50</v>
      </c>
    </row>
    <row r="263" spans="1:6" x14ac:dyDescent="0.25">
      <c r="A263" s="3">
        <v>68709233</v>
      </c>
      <c r="B263" s="3">
        <v>1352</v>
      </c>
      <c r="C263" s="24">
        <v>4181</v>
      </c>
      <c r="D263" s="4">
        <v>46101</v>
      </c>
      <c r="E263" t="str">
        <f>VLOOKUP($A263,Sheet4!$A:$B,2,0)</f>
        <v>KL SAB RF NSA Vanilla Bar 12-6PK</v>
      </c>
      <c r="F263" s="3" t="s">
        <v>50</v>
      </c>
    </row>
    <row r="264" spans="1:6" x14ac:dyDescent="0.25">
      <c r="A264" s="3">
        <v>68709233</v>
      </c>
      <c r="B264" s="3">
        <v>1352</v>
      </c>
      <c r="C264" s="24">
        <v>264</v>
      </c>
      <c r="D264" s="4">
        <v>46101</v>
      </c>
      <c r="E264" t="str">
        <f>VLOOKUP($A264,Sheet4!$A:$B,2,0)</f>
        <v>KL SAB RF NSA Vanilla Bar 12-6PK</v>
      </c>
      <c r="F264" s="3" t="s">
        <v>15</v>
      </c>
    </row>
    <row r="265" spans="1:6" x14ac:dyDescent="0.25">
      <c r="A265" s="3">
        <v>68709233</v>
      </c>
      <c r="B265" s="3">
        <v>1352</v>
      </c>
      <c r="C265" s="24">
        <v>3918</v>
      </c>
      <c r="D265" s="4">
        <v>46102</v>
      </c>
      <c r="E265" t="str">
        <f>VLOOKUP($A265,Sheet4!$A:$B,2,0)</f>
        <v>KL SAB RF NSA Vanilla Bar 12-6PK</v>
      </c>
      <c r="F265" s="3" t="s">
        <v>15</v>
      </c>
    </row>
    <row r="266" spans="1:6" x14ac:dyDescent="0.25">
      <c r="A266" s="3">
        <v>68709237</v>
      </c>
      <c r="B266" s="3">
        <v>1352</v>
      </c>
      <c r="C266" s="24">
        <v>155</v>
      </c>
      <c r="D266" s="4">
        <v>46079</v>
      </c>
      <c r="E266" t="str">
        <f>VLOOKUP($A266,Sheet4!$A:$B,2,0)</f>
        <v>KL Chocolate/Chocolate Bar 12-6PK</v>
      </c>
      <c r="F266" s="3" t="s">
        <v>19</v>
      </c>
    </row>
    <row r="267" spans="1:6" x14ac:dyDescent="0.25">
      <c r="A267" s="3">
        <v>68710277</v>
      </c>
      <c r="B267" s="3">
        <v>1352</v>
      </c>
      <c r="C267" s="24">
        <v>2267</v>
      </c>
      <c r="D267" s="4">
        <v>46085</v>
      </c>
      <c r="E267" t="str">
        <f>VLOOKUP($A267,Sheet4!$A:$B,2,0)</f>
        <v>KL SAB RF NSA Krunch Bar 12-6PK</v>
      </c>
      <c r="F267" s="3" t="s">
        <v>50</v>
      </c>
    </row>
    <row r="268" spans="1:6" x14ac:dyDescent="0.25">
      <c r="A268" s="3">
        <v>68710277</v>
      </c>
      <c r="B268" s="3">
        <v>1352</v>
      </c>
      <c r="C268" s="24">
        <v>2508</v>
      </c>
      <c r="D268" s="4">
        <v>46085</v>
      </c>
      <c r="E268" t="str">
        <f>VLOOKUP($A268,Sheet4!$A:$B,2,0)</f>
        <v>KL SAB RF NSA Krunch Bar 12-6PK</v>
      </c>
      <c r="F268" s="3" t="s">
        <v>50</v>
      </c>
    </row>
    <row r="269" spans="1:6" x14ac:dyDescent="0.25">
      <c r="A269" s="3">
        <v>68710277</v>
      </c>
      <c r="B269" s="3">
        <v>1352</v>
      </c>
      <c r="C269" s="24">
        <v>4612</v>
      </c>
      <c r="D269" s="4">
        <v>46086</v>
      </c>
      <c r="E269" t="str">
        <f>VLOOKUP($A269,Sheet4!$A:$B,2,0)</f>
        <v>KL SAB RF NSA Krunch Bar 12-6PK</v>
      </c>
      <c r="F269" s="3" t="s">
        <v>50</v>
      </c>
    </row>
    <row r="270" spans="1:6" x14ac:dyDescent="0.25">
      <c r="A270" s="3">
        <v>68710277</v>
      </c>
      <c r="B270" s="3">
        <v>1352</v>
      </c>
      <c r="C270" s="24">
        <v>2244</v>
      </c>
      <c r="D270" s="4">
        <v>46086</v>
      </c>
      <c r="E270" t="str">
        <f>VLOOKUP($A270,Sheet4!$A:$B,2,0)</f>
        <v>KL SAB RF NSA Krunch Bar 12-6PK</v>
      </c>
      <c r="F270" s="3" t="s">
        <v>50</v>
      </c>
    </row>
    <row r="271" spans="1:6" x14ac:dyDescent="0.25">
      <c r="A271" s="3">
        <v>68710277</v>
      </c>
      <c r="B271" s="3">
        <v>1352</v>
      </c>
      <c r="C271" s="24">
        <v>2315</v>
      </c>
      <c r="D271" s="4">
        <v>46087</v>
      </c>
      <c r="E271" t="str">
        <f>VLOOKUP($A271,Sheet4!$A:$B,2,0)</f>
        <v>KL SAB RF NSA Krunch Bar 12-6PK</v>
      </c>
      <c r="F271" s="3" t="s">
        <v>50</v>
      </c>
    </row>
    <row r="272" spans="1:6" x14ac:dyDescent="0.25">
      <c r="A272" s="3">
        <v>68710277</v>
      </c>
      <c r="B272" s="3">
        <v>1352</v>
      </c>
      <c r="C272" s="24">
        <v>1848</v>
      </c>
      <c r="D272" s="4">
        <v>46087</v>
      </c>
      <c r="E272" t="str">
        <f>VLOOKUP($A272,Sheet4!$A:$B,2,0)</f>
        <v>KL SAB RF NSA Krunch Bar 12-6PK</v>
      </c>
      <c r="F272" s="3" t="s">
        <v>50</v>
      </c>
    </row>
    <row r="273" spans="1:6" x14ac:dyDescent="0.25">
      <c r="A273" s="3">
        <v>68710277</v>
      </c>
      <c r="B273" s="3">
        <v>1352</v>
      </c>
      <c r="C273" s="24">
        <v>1247</v>
      </c>
      <c r="D273" s="4">
        <v>46088</v>
      </c>
      <c r="E273" t="str">
        <f>VLOOKUP($A273,Sheet4!$A:$B,2,0)</f>
        <v>KL SAB RF NSA Krunch Bar 12-6PK</v>
      </c>
      <c r="F273" s="3" t="s">
        <v>50</v>
      </c>
    </row>
    <row r="274" spans="1:6" x14ac:dyDescent="0.25">
      <c r="A274" s="3">
        <v>68710277</v>
      </c>
      <c r="B274" s="3">
        <v>1352</v>
      </c>
      <c r="C274" s="24">
        <v>2508</v>
      </c>
      <c r="D274" s="4">
        <v>46088</v>
      </c>
      <c r="E274" t="str">
        <f>VLOOKUP($A274,Sheet4!$A:$B,2,0)</f>
        <v>KL SAB RF NSA Krunch Bar 12-6PK</v>
      </c>
      <c r="F274" s="3" t="s">
        <v>50</v>
      </c>
    </row>
    <row r="275" spans="1:6" x14ac:dyDescent="0.25">
      <c r="A275" s="3">
        <v>68710277</v>
      </c>
      <c r="B275" s="3">
        <v>1352</v>
      </c>
      <c r="C275" s="24">
        <v>3205</v>
      </c>
      <c r="D275" s="4">
        <v>46089</v>
      </c>
      <c r="E275" t="str">
        <f>VLOOKUP($A275,Sheet4!$A:$B,2,0)</f>
        <v>KL SAB RF NSA Krunch Bar 12-6PK</v>
      </c>
      <c r="F275" s="3" t="s">
        <v>50</v>
      </c>
    </row>
    <row r="276" spans="1:6" x14ac:dyDescent="0.25">
      <c r="A276" s="3">
        <v>68710277</v>
      </c>
      <c r="B276" s="3">
        <v>1352</v>
      </c>
      <c r="C276" s="24">
        <v>2640</v>
      </c>
      <c r="D276" s="4">
        <v>46089</v>
      </c>
      <c r="E276" t="str">
        <f>VLOOKUP($A276,Sheet4!$A:$B,2,0)</f>
        <v>KL SAB RF NSA Krunch Bar 12-6PK</v>
      </c>
      <c r="F276" s="3" t="s">
        <v>50</v>
      </c>
    </row>
    <row r="277" spans="1:6" x14ac:dyDescent="0.25">
      <c r="A277" s="3">
        <v>68710277</v>
      </c>
      <c r="B277" s="3">
        <v>1352</v>
      </c>
      <c r="C277" s="24">
        <v>3118</v>
      </c>
      <c r="D277" s="4">
        <v>46090</v>
      </c>
      <c r="E277" t="str">
        <f>VLOOKUP($A277,Sheet4!$A:$B,2,0)</f>
        <v>KL SAB RF NSA Krunch Bar 12-6PK</v>
      </c>
      <c r="F277" s="3" t="s">
        <v>50</v>
      </c>
    </row>
    <row r="278" spans="1:6" x14ac:dyDescent="0.25">
      <c r="A278" s="3">
        <v>68710277</v>
      </c>
      <c r="B278" s="3">
        <v>1352</v>
      </c>
      <c r="C278" s="24">
        <v>2904</v>
      </c>
      <c r="D278" s="4">
        <v>46090</v>
      </c>
      <c r="E278" t="str">
        <f>VLOOKUP($A278,Sheet4!$A:$B,2,0)</f>
        <v>KL SAB RF NSA Krunch Bar 12-6PK</v>
      </c>
      <c r="F278" s="3" t="s">
        <v>50</v>
      </c>
    </row>
    <row r="279" spans="1:6" x14ac:dyDescent="0.25">
      <c r="A279" s="3">
        <v>68710277</v>
      </c>
      <c r="B279" s="3">
        <v>1352</v>
      </c>
      <c r="C279" s="24">
        <v>1503</v>
      </c>
      <c r="D279" s="4">
        <v>46091</v>
      </c>
      <c r="E279" t="str">
        <f>VLOOKUP($A279,Sheet4!$A:$B,2,0)</f>
        <v>KL SAB RF NSA Krunch Bar 12-6PK</v>
      </c>
      <c r="F279" s="3" t="s">
        <v>50</v>
      </c>
    </row>
    <row r="280" spans="1:6" x14ac:dyDescent="0.25">
      <c r="A280" s="3">
        <v>68710277</v>
      </c>
      <c r="B280" s="3">
        <v>1352</v>
      </c>
      <c r="C280" s="24">
        <v>2640</v>
      </c>
      <c r="D280" s="4">
        <v>46091</v>
      </c>
      <c r="E280" t="str">
        <f>VLOOKUP($A280,Sheet4!$A:$B,2,0)</f>
        <v>KL SAB RF NSA Krunch Bar 12-6PK</v>
      </c>
      <c r="F280" s="3" t="s">
        <v>50</v>
      </c>
    </row>
    <row r="281" spans="1:6" x14ac:dyDescent="0.25">
      <c r="A281" s="3">
        <v>68710277</v>
      </c>
      <c r="B281" s="3">
        <v>1352</v>
      </c>
      <c r="C281" s="24">
        <v>3622</v>
      </c>
      <c r="D281" s="4">
        <v>46092</v>
      </c>
      <c r="E281" t="str">
        <f>VLOOKUP($A281,Sheet4!$A:$B,2,0)</f>
        <v>KL SAB RF NSA Krunch Bar 12-6PK</v>
      </c>
      <c r="F281" s="3" t="s">
        <v>50</v>
      </c>
    </row>
    <row r="282" spans="1:6" x14ac:dyDescent="0.25">
      <c r="A282" s="3">
        <v>68710277</v>
      </c>
      <c r="B282" s="3">
        <v>1352</v>
      </c>
      <c r="C282" s="24">
        <v>2772</v>
      </c>
      <c r="D282" s="4">
        <v>46092</v>
      </c>
      <c r="E282" t="str">
        <f>VLOOKUP($A282,Sheet4!$A:$B,2,0)</f>
        <v>KL SAB RF NSA Krunch Bar 12-6PK</v>
      </c>
      <c r="F282" s="3" t="s">
        <v>50</v>
      </c>
    </row>
    <row r="283" spans="1:6" x14ac:dyDescent="0.25">
      <c r="A283" s="3">
        <v>68710277</v>
      </c>
      <c r="B283" s="3">
        <v>1352</v>
      </c>
      <c r="C283" s="24">
        <v>3755</v>
      </c>
      <c r="D283" s="4">
        <v>46093</v>
      </c>
      <c r="E283" t="str">
        <f>VLOOKUP($A283,Sheet4!$A:$B,2,0)</f>
        <v>KL SAB RF NSA Krunch Bar 12-6PK</v>
      </c>
      <c r="F283" s="3" t="s">
        <v>50</v>
      </c>
    </row>
    <row r="284" spans="1:6" x14ac:dyDescent="0.25">
      <c r="A284" s="3">
        <v>68710277</v>
      </c>
      <c r="B284" s="3">
        <v>1352</v>
      </c>
      <c r="C284" s="24">
        <v>2772</v>
      </c>
      <c r="D284" s="4">
        <v>46093</v>
      </c>
      <c r="E284" t="str">
        <f>VLOOKUP($A284,Sheet4!$A:$B,2,0)</f>
        <v>KL SAB RF NSA Krunch Bar 12-6PK</v>
      </c>
      <c r="F284" s="3" t="s">
        <v>50</v>
      </c>
    </row>
    <row r="285" spans="1:6" x14ac:dyDescent="0.25">
      <c r="A285" s="3">
        <v>68710277</v>
      </c>
      <c r="B285" s="3">
        <v>1352</v>
      </c>
      <c r="C285" s="24">
        <v>2611</v>
      </c>
      <c r="D285" s="4">
        <v>46094</v>
      </c>
      <c r="E285" t="str">
        <f>VLOOKUP($A285,Sheet4!$A:$B,2,0)</f>
        <v>KL SAB RF NSA Krunch Bar 12-6PK</v>
      </c>
      <c r="F285" s="3" t="s">
        <v>50</v>
      </c>
    </row>
    <row r="286" spans="1:6" x14ac:dyDescent="0.25">
      <c r="A286" s="3">
        <v>68710277</v>
      </c>
      <c r="B286" s="3">
        <v>1352</v>
      </c>
      <c r="C286" s="24">
        <v>1716</v>
      </c>
      <c r="D286" s="4">
        <v>46094</v>
      </c>
      <c r="E286" t="str">
        <f>VLOOKUP($A286,Sheet4!$A:$B,2,0)</f>
        <v>KL SAB RF NSA Krunch Bar 12-6PK</v>
      </c>
      <c r="F286" s="3" t="s">
        <v>50</v>
      </c>
    </row>
    <row r="287" spans="1:6" x14ac:dyDescent="0.25">
      <c r="A287" s="3">
        <v>68710277</v>
      </c>
      <c r="B287" s="3">
        <v>1352</v>
      </c>
      <c r="C287" s="24">
        <v>2957</v>
      </c>
      <c r="D287" s="4">
        <v>46095</v>
      </c>
      <c r="E287" t="str">
        <f>VLOOKUP($A287,Sheet4!$A:$B,2,0)</f>
        <v>KL SAB RF NSA Krunch Bar 12-6PK</v>
      </c>
      <c r="F287" s="3" t="s">
        <v>50</v>
      </c>
    </row>
    <row r="288" spans="1:6" x14ac:dyDescent="0.25">
      <c r="A288" s="3">
        <v>68710277</v>
      </c>
      <c r="B288" s="3">
        <v>1352</v>
      </c>
      <c r="C288" s="24">
        <v>2269</v>
      </c>
      <c r="D288" s="4">
        <v>46095</v>
      </c>
      <c r="E288" t="str">
        <f>VLOOKUP($A288,Sheet4!$A:$B,2,0)</f>
        <v>KL SAB RF NSA Krunch Bar 12-6PK</v>
      </c>
      <c r="F288" s="3" t="s">
        <v>50</v>
      </c>
    </row>
    <row r="289" spans="1:6" x14ac:dyDescent="0.25">
      <c r="A289" s="3">
        <v>68710277</v>
      </c>
      <c r="B289" s="3">
        <v>1352</v>
      </c>
      <c r="C289" s="24">
        <v>3506</v>
      </c>
      <c r="D289" s="4">
        <v>46096</v>
      </c>
      <c r="E289" t="str">
        <f>VLOOKUP($A289,Sheet4!$A:$B,2,0)</f>
        <v>KL SAB RF NSA Krunch Bar 12-6PK</v>
      </c>
      <c r="F289" s="3" t="s">
        <v>50</v>
      </c>
    </row>
    <row r="290" spans="1:6" x14ac:dyDescent="0.25">
      <c r="A290" s="3">
        <v>68710277</v>
      </c>
      <c r="B290" s="3">
        <v>1352</v>
      </c>
      <c r="C290" s="24">
        <v>2244</v>
      </c>
      <c r="D290" s="4">
        <v>46096</v>
      </c>
      <c r="E290" t="str">
        <f>VLOOKUP($A290,Sheet4!$A:$B,2,0)</f>
        <v>KL SAB RF NSA Krunch Bar 12-6PK</v>
      </c>
      <c r="F290" s="3" t="s">
        <v>50</v>
      </c>
    </row>
    <row r="291" spans="1:6" x14ac:dyDescent="0.25">
      <c r="A291" s="3">
        <v>68710277</v>
      </c>
      <c r="B291" s="3">
        <v>1352</v>
      </c>
      <c r="C291" s="24">
        <v>2537</v>
      </c>
      <c r="D291" s="4">
        <v>46097</v>
      </c>
      <c r="E291" t="str">
        <f>VLOOKUP($A291,Sheet4!$A:$B,2,0)</f>
        <v>KL SAB RF NSA Krunch Bar 12-6PK</v>
      </c>
      <c r="F291" s="3" t="s">
        <v>50</v>
      </c>
    </row>
    <row r="292" spans="1:6" x14ac:dyDescent="0.25">
      <c r="A292" s="3">
        <v>68710277</v>
      </c>
      <c r="B292" s="3">
        <v>1352</v>
      </c>
      <c r="C292" s="24">
        <v>1917</v>
      </c>
      <c r="D292" s="4">
        <v>46097</v>
      </c>
      <c r="E292" t="str">
        <f>VLOOKUP($A292,Sheet4!$A:$B,2,0)</f>
        <v>KL SAB RF NSA Krunch Bar 12-6PK</v>
      </c>
      <c r="F292" s="3" t="s">
        <v>50</v>
      </c>
    </row>
    <row r="293" spans="1:6" x14ac:dyDescent="0.25">
      <c r="A293" s="3">
        <v>68710277</v>
      </c>
      <c r="B293" s="3">
        <v>1352</v>
      </c>
      <c r="C293" s="24">
        <v>7</v>
      </c>
      <c r="D293" s="4">
        <v>46098</v>
      </c>
      <c r="E293" t="str">
        <f>VLOOKUP($A293,Sheet4!$A:$B,2,0)</f>
        <v>KL SAB RF NSA Krunch Bar 12-6PK</v>
      </c>
      <c r="F293" s="3" t="s">
        <v>50</v>
      </c>
    </row>
    <row r="294" spans="1:6" x14ac:dyDescent="0.25">
      <c r="A294" s="3">
        <v>68710285</v>
      </c>
      <c r="B294" s="3">
        <v>1352</v>
      </c>
      <c r="C294" s="24">
        <v>1584</v>
      </c>
      <c r="D294" s="4">
        <v>46091</v>
      </c>
      <c r="E294" t="str">
        <f>VLOOKUP($A294,Sheet4!$A:$B,2,0)</f>
        <v>KL Krunch Bar 12-6PK</v>
      </c>
      <c r="F294" s="3" t="s">
        <v>15</v>
      </c>
    </row>
    <row r="295" spans="1:6" x14ac:dyDescent="0.25">
      <c r="A295" s="3">
        <v>68710285</v>
      </c>
      <c r="B295" s="3">
        <v>1352</v>
      </c>
      <c r="C295" s="24">
        <v>3307</v>
      </c>
      <c r="D295" s="4">
        <v>46092</v>
      </c>
      <c r="E295" t="str">
        <f>VLOOKUP($A295,Sheet4!$A:$B,2,0)</f>
        <v>KL Krunch Bar 12-6PK</v>
      </c>
      <c r="F295" s="3" t="s">
        <v>15</v>
      </c>
    </row>
    <row r="296" spans="1:6" x14ac:dyDescent="0.25">
      <c r="A296" s="3">
        <v>68710285</v>
      </c>
      <c r="B296" s="3">
        <v>1352</v>
      </c>
      <c r="C296" s="24">
        <v>2376</v>
      </c>
      <c r="D296" s="4">
        <v>46092</v>
      </c>
      <c r="E296" t="str">
        <f>VLOOKUP($A296,Sheet4!$A:$B,2,0)</f>
        <v>KL Krunch Bar 12-6PK</v>
      </c>
      <c r="F296" s="3" t="s">
        <v>15</v>
      </c>
    </row>
    <row r="297" spans="1:6" x14ac:dyDescent="0.25">
      <c r="A297" s="3">
        <v>68710285</v>
      </c>
      <c r="B297" s="3">
        <v>1352</v>
      </c>
      <c r="C297" s="24">
        <v>4124</v>
      </c>
      <c r="D297" s="4">
        <v>46093</v>
      </c>
      <c r="E297" t="str">
        <f>VLOOKUP($A297,Sheet4!$A:$B,2,0)</f>
        <v>KL Krunch Bar 12-6PK</v>
      </c>
      <c r="F297" s="3" t="s">
        <v>15</v>
      </c>
    </row>
    <row r="298" spans="1:6" x14ac:dyDescent="0.25">
      <c r="A298" s="3">
        <v>68710285</v>
      </c>
      <c r="B298" s="3">
        <v>1352</v>
      </c>
      <c r="C298" s="24">
        <v>2376</v>
      </c>
      <c r="D298" s="4">
        <v>46093</v>
      </c>
      <c r="E298" t="str">
        <f>VLOOKUP($A298,Sheet4!$A:$B,2,0)</f>
        <v>KL Krunch Bar 12-6PK</v>
      </c>
      <c r="F298" s="3" t="s">
        <v>15</v>
      </c>
    </row>
    <row r="299" spans="1:6" x14ac:dyDescent="0.25">
      <c r="A299" s="3">
        <v>68710285</v>
      </c>
      <c r="B299" s="3">
        <v>1352</v>
      </c>
      <c r="C299" s="24">
        <v>3270</v>
      </c>
      <c r="D299" s="4">
        <v>46094</v>
      </c>
      <c r="E299" t="str">
        <f>VLOOKUP($A299,Sheet4!$A:$B,2,0)</f>
        <v>KL Krunch Bar 12-6PK</v>
      </c>
      <c r="F299" s="3" t="s">
        <v>15</v>
      </c>
    </row>
    <row r="300" spans="1:6" x14ac:dyDescent="0.25">
      <c r="A300" s="3">
        <v>68710285</v>
      </c>
      <c r="B300" s="3">
        <v>1352</v>
      </c>
      <c r="C300" s="24">
        <v>1716</v>
      </c>
      <c r="D300" s="4">
        <v>46094</v>
      </c>
      <c r="E300" t="str">
        <f>VLOOKUP($A300,Sheet4!$A:$B,2,0)</f>
        <v>KL Krunch Bar 12-6PK</v>
      </c>
      <c r="F300" s="3" t="s">
        <v>15</v>
      </c>
    </row>
    <row r="301" spans="1:6" x14ac:dyDescent="0.25">
      <c r="A301" s="3">
        <v>68710285</v>
      </c>
      <c r="B301" s="3">
        <v>1352</v>
      </c>
      <c r="C301" s="24">
        <v>2772</v>
      </c>
      <c r="D301" s="4">
        <v>46095</v>
      </c>
      <c r="E301" t="str">
        <f>VLOOKUP($A301,Sheet4!$A:$B,2,0)</f>
        <v>KL Krunch Bar 12-6PK</v>
      </c>
      <c r="F301" s="3" t="s">
        <v>15</v>
      </c>
    </row>
    <row r="302" spans="1:6" x14ac:dyDescent="0.25">
      <c r="A302" s="3">
        <v>68710285</v>
      </c>
      <c r="B302" s="3">
        <v>1352</v>
      </c>
      <c r="C302" s="24">
        <v>3878</v>
      </c>
      <c r="D302" s="4">
        <v>46096</v>
      </c>
      <c r="E302" t="str">
        <f>VLOOKUP($A302,Sheet4!$A:$B,2,0)</f>
        <v>KL Krunch Bar 12-6PK</v>
      </c>
      <c r="F302" s="3" t="s">
        <v>15</v>
      </c>
    </row>
    <row r="303" spans="1:6" x14ac:dyDescent="0.25">
      <c r="A303" s="3">
        <v>68710285</v>
      </c>
      <c r="B303" s="3">
        <v>1352</v>
      </c>
      <c r="C303" s="24">
        <v>3036</v>
      </c>
      <c r="D303" s="4">
        <v>46096</v>
      </c>
      <c r="E303" t="str">
        <f>VLOOKUP($A303,Sheet4!$A:$B,2,0)</f>
        <v>KL Krunch Bar 12-6PK</v>
      </c>
      <c r="F303" s="3" t="s">
        <v>15</v>
      </c>
    </row>
    <row r="304" spans="1:6" x14ac:dyDescent="0.25">
      <c r="A304" s="3">
        <v>68710285</v>
      </c>
      <c r="B304" s="3">
        <v>1352</v>
      </c>
      <c r="C304" s="24">
        <v>4653</v>
      </c>
      <c r="D304" s="4">
        <v>46097</v>
      </c>
      <c r="E304" t="str">
        <f>VLOOKUP($A304,Sheet4!$A:$B,2,0)</f>
        <v>KL Krunch Bar 12-6PK</v>
      </c>
      <c r="F304" s="3" t="s">
        <v>15</v>
      </c>
    </row>
    <row r="305" spans="1:6" x14ac:dyDescent="0.25">
      <c r="A305" s="3">
        <v>68710285</v>
      </c>
      <c r="B305" s="3">
        <v>1352</v>
      </c>
      <c r="C305" s="24">
        <v>132</v>
      </c>
      <c r="D305" s="4">
        <v>46098</v>
      </c>
      <c r="E305" t="str">
        <f>VLOOKUP($A305,Sheet4!$A:$B,2,0)</f>
        <v>KL Krunch Bar 12-6PK</v>
      </c>
      <c r="F305" s="3" t="s">
        <v>15</v>
      </c>
    </row>
    <row r="306" spans="1:6" x14ac:dyDescent="0.25">
      <c r="A306" s="3">
        <v>68710285</v>
      </c>
      <c r="B306" s="3">
        <v>1352</v>
      </c>
      <c r="C306" s="24">
        <v>74</v>
      </c>
      <c r="D306" s="4">
        <v>46094</v>
      </c>
      <c r="E306" t="str">
        <f>VLOOKUP($A306,Sheet4!$A:$B,2,0)</f>
        <v>KL Krunch Bar 12-6PK</v>
      </c>
      <c r="F306" s="3" t="s">
        <v>15</v>
      </c>
    </row>
    <row r="307" spans="1:6" x14ac:dyDescent="0.25">
      <c r="A307" s="3">
        <v>68710285</v>
      </c>
      <c r="B307" s="3">
        <v>1352</v>
      </c>
      <c r="C307" s="24">
        <v>3093</v>
      </c>
      <c r="D307" s="4">
        <v>46095</v>
      </c>
      <c r="E307" t="str">
        <f>VLOOKUP($A307,Sheet4!$A:$B,2,0)</f>
        <v>KL Krunch Bar 12-6PK</v>
      </c>
      <c r="F307" s="3" t="s">
        <v>15</v>
      </c>
    </row>
    <row r="308" spans="1:6" x14ac:dyDescent="0.25">
      <c r="A308" s="3">
        <v>68737750</v>
      </c>
      <c r="B308" s="3">
        <v>1352</v>
      </c>
      <c r="C308" s="24">
        <v>8463</v>
      </c>
      <c r="D308" s="4">
        <v>46089</v>
      </c>
      <c r="E308" t="str">
        <f>VLOOKUP($A308,Sheet4!$A:$B,2,0)</f>
        <v>BR CO-B Reeses 6 1.5QT</v>
      </c>
      <c r="F308" s="3" t="s">
        <v>35</v>
      </c>
    </row>
    <row r="309" spans="1:6" x14ac:dyDescent="0.25">
      <c r="A309" s="3">
        <v>68737750</v>
      </c>
      <c r="B309" s="3">
        <v>1352</v>
      </c>
      <c r="C309" s="24">
        <v>5104</v>
      </c>
      <c r="D309" s="4">
        <v>46089</v>
      </c>
      <c r="E309" t="str">
        <f>VLOOKUP($A309,Sheet4!$A:$B,2,0)</f>
        <v>BR CO-B Reeses 6 1.5QT</v>
      </c>
      <c r="F309" s="3" t="s">
        <v>35</v>
      </c>
    </row>
    <row r="310" spans="1:6" x14ac:dyDescent="0.25">
      <c r="A310" s="3">
        <v>68737750</v>
      </c>
      <c r="B310" s="3">
        <v>1352</v>
      </c>
      <c r="C310" s="24">
        <v>9413</v>
      </c>
      <c r="D310" s="4">
        <v>46090</v>
      </c>
      <c r="E310" t="str">
        <f>VLOOKUP($A310,Sheet4!$A:$B,2,0)</f>
        <v>BR CO-B Reeses 6 1.5QT</v>
      </c>
      <c r="F310" s="3" t="s">
        <v>35</v>
      </c>
    </row>
    <row r="311" spans="1:6" x14ac:dyDescent="0.25">
      <c r="A311" s="3">
        <v>68737750</v>
      </c>
      <c r="B311" s="3">
        <v>1352</v>
      </c>
      <c r="C311" s="24">
        <v>5702</v>
      </c>
      <c r="D311" s="4">
        <v>46090</v>
      </c>
      <c r="E311" t="str">
        <f>VLOOKUP($A311,Sheet4!$A:$B,2,0)</f>
        <v>BR CO-B Reeses 6 1.5QT</v>
      </c>
      <c r="F311" s="3" t="s">
        <v>35</v>
      </c>
    </row>
    <row r="312" spans="1:6" x14ac:dyDescent="0.25">
      <c r="A312" s="3">
        <v>68737750</v>
      </c>
      <c r="B312" s="3">
        <v>1352</v>
      </c>
      <c r="C312" s="24">
        <v>8569</v>
      </c>
      <c r="D312" s="4">
        <v>46091</v>
      </c>
      <c r="E312" t="str">
        <f>VLOOKUP($A312,Sheet4!$A:$B,2,0)</f>
        <v>BR CO-B Reeses 6 1.5QT</v>
      </c>
      <c r="F312" s="3" t="s">
        <v>35</v>
      </c>
    </row>
    <row r="313" spans="1:6" x14ac:dyDescent="0.25">
      <c r="A313" s="3">
        <v>68737750</v>
      </c>
      <c r="B313" s="3">
        <v>1352</v>
      </c>
      <c r="C313" s="24">
        <v>176</v>
      </c>
      <c r="D313" s="4">
        <v>46092</v>
      </c>
      <c r="E313" t="str">
        <f>VLOOKUP($A313,Sheet4!$A:$B,2,0)</f>
        <v>BR CO-B Reeses 6 1.5QT</v>
      </c>
      <c r="F313" s="3" t="s">
        <v>35</v>
      </c>
    </row>
    <row r="314" spans="1:6" x14ac:dyDescent="0.25">
      <c r="A314" s="3">
        <v>68737750</v>
      </c>
      <c r="B314" s="3">
        <v>1352</v>
      </c>
      <c r="C314" s="24">
        <v>6225</v>
      </c>
      <c r="D314" s="4">
        <v>46091</v>
      </c>
      <c r="E314" t="str">
        <f>VLOOKUP($A314,Sheet4!$A:$B,2,0)</f>
        <v>BR CO-B Reeses 6 1.5QT</v>
      </c>
      <c r="F314" s="3" t="s">
        <v>35</v>
      </c>
    </row>
    <row r="315" spans="1:6" x14ac:dyDescent="0.25">
      <c r="A315" s="3">
        <v>68737750</v>
      </c>
      <c r="B315" s="3">
        <v>1352</v>
      </c>
      <c r="C315" s="24">
        <v>9622</v>
      </c>
      <c r="D315" s="4">
        <v>46092</v>
      </c>
      <c r="E315" t="str">
        <f>VLOOKUP($A315,Sheet4!$A:$B,2,0)</f>
        <v>BR CO-B Reeses 6 1.5QT</v>
      </c>
      <c r="F315" s="3" t="s">
        <v>35</v>
      </c>
    </row>
    <row r="316" spans="1:6" x14ac:dyDescent="0.25">
      <c r="A316" s="3">
        <v>68737750</v>
      </c>
      <c r="B316" s="3">
        <v>1352</v>
      </c>
      <c r="C316" s="24">
        <v>1417</v>
      </c>
      <c r="D316" s="4">
        <v>46092</v>
      </c>
      <c r="E316" t="str">
        <f>VLOOKUP($A316,Sheet4!$A:$B,2,0)</f>
        <v>BR CO-B Reeses 6 1.5QT</v>
      </c>
      <c r="F316" s="3" t="s">
        <v>35</v>
      </c>
    </row>
    <row r="317" spans="1:6" x14ac:dyDescent="0.25">
      <c r="A317" s="3">
        <v>68737750</v>
      </c>
      <c r="B317" s="3">
        <v>1352</v>
      </c>
      <c r="C317" s="24">
        <v>6160</v>
      </c>
      <c r="D317" s="4">
        <v>46093</v>
      </c>
      <c r="E317" t="str">
        <f>VLOOKUP($A317,Sheet4!$A:$B,2,0)</f>
        <v>BR CO-B Reeses 6 1.5QT</v>
      </c>
      <c r="F317" s="3" t="s">
        <v>35</v>
      </c>
    </row>
    <row r="318" spans="1:6" x14ac:dyDescent="0.25">
      <c r="A318" s="3">
        <v>68737750</v>
      </c>
      <c r="B318" s="3">
        <v>1352</v>
      </c>
      <c r="C318" s="24">
        <v>9906</v>
      </c>
      <c r="D318" s="4">
        <v>46094</v>
      </c>
      <c r="E318" t="str">
        <f>VLOOKUP($A318,Sheet4!$A:$B,2,0)</f>
        <v>BR CO-B Reeses 6 1.5QT</v>
      </c>
      <c r="F318" s="3" t="s">
        <v>35</v>
      </c>
    </row>
    <row r="319" spans="1:6" x14ac:dyDescent="0.25">
      <c r="A319" s="3">
        <v>68737750</v>
      </c>
      <c r="B319" s="3">
        <v>1352</v>
      </c>
      <c r="C319" s="24">
        <v>5335</v>
      </c>
      <c r="D319" s="4">
        <v>46094</v>
      </c>
      <c r="E319" t="str">
        <f>VLOOKUP($A319,Sheet4!$A:$B,2,0)</f>
        <v>BR CO-B Reeses 6 1.5QT</v>
      </c>
      <c r="F319" s="3" t="s">
        <v>35</v>
      </c>
    </row>
    <row r="320" spans="1:6" x14ac:dyDescent="0.25">
      <c r="A320" s="3">
        <v>68737750</v>
      </c>
      <c r="B320" s="3">
        <v>1352</v>
      </c>
      <c r="C320" s="24">
        <v>9593</v>
      </c>
      <c r="D320" s="4">
        <v>46095</v>
      </c>
      <c r="E320" t="str">
        <f>VLOOKUP($A320,Sheet4!$A:$B,2,0)</f>
        <v>BR CO-B Reeses 6 1.5QT</v>
      </c>
      <c r="F320" s="3" t="s">
        <v>35</v>
      </c>
    </row>
    <row r="321" spans="1:6" x14ac:dyDescent="0.25">
      <c r="A321" s="3">
        <v>68737750</v>
      </c>
      <c r="B321" s="3">
        <v>1352</v>
      </c>
      <c r="C321" s="24">
        <v>5175</v>
      </c>
      <c r="D321" s="4">
        <v>46095</v>
      </c>
      <c r="E321" t="str">
        <f>VLOOKUP($A321,Sheet4!$A:$B,2,0)</f>
        <v>BR CO-B Reeses 6 1.5QT</v>
      </c>
      <c r="F321" s="3" t="s">
        <v>35</v>
      </c>
    </row>
    <row r="322" spans="1:6" x14ac:dyDescent="0.25">
      <c r="A322" s="3">
        <v>68737750</v>
      </c>
      <c r="B322" s="3">
        <v>1352</v>
      </c>
      <c r="C322" s="24">
        <v>3696</v>
      </c>
      <c r="D322" s="4">
        <v>46093</v>
      </c>
      <c r="E322" t="str">
        <f>VLOOKUP($A322,Sheet4!$A:$B,2,0)</f>
        <v>BR CO-B Reeses 6 1.5QT</v>
      </c>
      <c r="F322" s="3" t="s">
        <v>35</v>
      </c>
    </row>
    <row r="323" spans="1:6" x14ac:dyDescent="0.25">
      <c r="A323" s="3">
        <v>68741714</v>
      </c>
      <c r="B323" s="3">
        <v>1352</v>
      </c>
      <c r="C323" s="24">
        <v>1575</v>
      </c>
      <c r="D323" s="4">
        <v>46097</v>
      </c>
      <c r="E323" t="str">
        <f>VLOOKUP($A323,Sheet4!$A:$B,2,0)</f>
        <v>GH Strawberry Shortcake 1-24BK</v>
      </c>
      <c r="F323" s="3" t="s">
        <v>48</v>
      </c>
    </row>
    <row r="324" spans="1:6" x14ac:dyDescent="0.25">
      <c r="A324" s="3">
        <v>68741714</v>
      </c>
      <c r="B324" s="3">
        <v>1352</v>
      </c>
      <c r="C324" s="24">
        <v>3307</v>
      </c>
      <c r="D324" s="4">
        <v>46098</v>
      </c>
      <c r="E324" t="str">
        <f>VLOOKUP($A324,Sheet4!$A:$B,2,0)</f>
        <v>GH Strawberry Shortcake 1-24BK</v>
      </c>
      <c r="F324" s="3" t="s">
        <v>48</v>
      </c>
    </row>
    <row r="325" spans="1:6" x14ac:dyDescent="0.25">
      <c r="A325" s="3">
        <v>68741714</v>
      </c>
      <c r="B325" s="3">
        <v>1352</v>
      </c>
      <c r="C325" s="24">
        <v>2949</v>
      </c>
      <c r="D325" s="4">
        <v>46098</v>
      </c>
      <c r="E325" t="str">
        <f>VLOOKUP($A325,Sheet4!$A:$B,2,0)</f>
        <v>GH Strawberry Shortcake 1-24BK</v>
      </c>
      <c r="F325" s="3" t="s">
        <v>48</v>
      </c>
    </row>
    <row r="326" spans="1:6" x14ac:dyDescent="0.25">
      <c r="A326" s="3">
        <v>68741714</v>
      </c>
      <c r="B326" s="3">
        <v>1352</v>
      </c>
      <c r="C326" s="24">
        <v>4949</v>
      </c>
      <c r="D326" s="4">
        <v>46099</v>
      </c>
      <c r="E326" t="str">
        <f>VLOOKUP($A326,Sheet4!$A:$B,2,0)</f>
        <v>GH Strawberry Shortcake 1-24BK</v>
      </c>
      <c r="F326" s="3" t="s">
        <v>48</v>
      </c>
    </row>
    <row r="327" spans="1:6" x14ac:dyDescent="0.25">
      <c r="A327" s="3">
        <v>68741714</v>
      </c>
      <c r="B327" s="3">
        <v>1352</v>
      </c>
      <c r="C327" s="24">
        <v>3375</v>
      </c>
      <c r="D327" s="4">
        <v>46099</v>
      </c>
      <c r="E327" t="str">
        <f>VLOOKUP($A327,Sheet4!$A:$B,2,0)</f>
        <v>GH Strawberry Shortcake 1-24BK</v>
      </c>
      <c r="F327" s="3" t="s">
        <v>48</v>
      </c>
    </row>
    <row r="328" spans="1:6" x14ac:dyDescent="0.25">
      <c r="A328" s="3">
        <v>68741714</v>
      </c>
      <c r="B328" s="3">
        <v>1352</v>
      </c>
      <c r="C328" s="24">
        <v>4097</v>
      </c>
      <c r="D328" s="4">
        <v>46100</v>
      </c>
      <c r="E328" t="str">
        <f>VLOOKUP($A328,Sheet4!$A:$B,2,0)</f>
        <v>GH Strawberry Shortcake 1-24BK</v>
      </c>
      <c r="F328" s="3" t="s">
        <v>48</v>
      </c>
    </row>
    <row r="329" spans="1:6" x14ac:dyDescent="0.25">
      <c r="A329" s="3">
        <v>68741714</v>
      </c>
      <c r="B329" s="3">
        <v>1352</v>
      </c>
      <c r="C329" s="24">
        <v>3375</v>
      </c>
      <c r="D329" s="4">
        <v>46100</v>
      </c>
      <c r="E329" t="str">
        <f>VLOOKUP($A329,Sheet4!$A:$B,2,0)</f>
        <v>GH Strawberry Shortcake 1-24BK</v>
      </c>
      <c r="F329" s="3" t="s">
        <v>48</v>
      </c>
    </row>
    <row r="330" spans="1:6" x14ac:dyDescent="0.25">
      <c r="A330" s="3">
        <v>68741714</v>
      </c>
      <c r="B330" s="3">
        <v>1352</v>
      </c>
      <c r="C330" s="24">
        <v>4488</v>
      </c>
      <c r="D330" s="4">
        <v>46101</v>
      </c>
      <c r="E330" t="str">
        <f>VLOOKUP($A330,Sheet4!$A:$B,2,0)</f>
        <v>GH Strawberry Shortcake 1-24BK</v>
      </c>
      <c r="F330" s="3" t="s">
        <v>48</v>
      </c>
    </row>
    <row r="331" spans="1:6" x14ac:dyDescent="0.25">
      <c r="A331" s="3">
        <v>68741714</v>
      </c>
      <c r="B331" s="3">
        <v>1352</v>
      </c>
      <c r="C331" s="24">
        <v>3600</v>
      </c>
      <c r="D331" s="4">
        <v>46101</v>
      </c>
      <c r="E331" t="str">
        <f>VLOOKUP($A331,Sheet4!$A:$B,2,0)</f>
        <v>GH Strawberry Shortcake 1-24BK</v>
      </c>
      <c r="F331" s="3" t="s">
        <v>48</v>
      </c>
    </row>
    <row r="332" spans="1:6" x14ac:dyDescent="0.25">
      <c r="A332" s="3">
        <v>68741714</v>
      </c>
      <c r="B332" s="3">
        <v>1352</v>
      </c>
      <c r="C332" s="24">
        <v>223</v>
      </c>
      <c r="D332" s="4">
        <v>46102</v>
      </c>
      <c r="E332" t="str">
        <f>VLOOKUP($A332,Sheet4!$A:$B,2,0)</f>
        <v>GH Strawberry Shortcake 1-24BK</v>
      </c>
      <c r="F332" s="3" t="s">
        <v>48</v>
      </c>
    </row>
    <row r="333" spans="1:6" x14ac:dyDescent="0.25">
      <c r="A333" s="3">
        <v>68741714</v>
      </c>
      <c r="B333" s="3">
        <v>1352</v>
      </c>
      <c r="C333" s="24">
        <v>1349</v>
      </c>
      <c r="D333" s="4">
        <v>46090</v>
      </c>
      <c r="E333" t="str">
        <f>VLOOKUP($A333,Sheet4!$A:$B,2,0)</f>
        <v>GH Strawberry Shortcake 1-24BK</v>
      </c>
      <c r="F333" s="3" t="s">
        <v>48</v>
      </c>
    </row>
    <row r="334" spans="1:6" x14ac:dyDescent="0.25">
      <c r="A334" s="3">
        <v>68741714</v>
      </c>
      <c r="B334" s="3">
        <v>1352</v>
      </c>
      <c r="C334" s="24">
        <v>4419</v>
      </c>
      <c r="D334" s="4">
        <v>46091</v>
      </c>
      <c r="E334" t="str">
        <f>VLOOKUP($A334,Sheet4!$A:$B,2,0)</f>
        <v>GH Strawberry Shortcake 1-24BK</v>
      </c>
      <c r="F334" s="3" t="s">
        <v>48</v>
      </c>
    </row>
    <row r="335" spans="1:6" x14ac:dyDescent="0.25">
      <c r="A335" s="3">
        <v>68741714</v>
      </c>
      <c r="B335" s="3">
        <v>1352</v>
      </c>
      <c r="C335" s="24">
        <v>2250</v>
      </c>
      <c r="D335" s="4">
        <v>46091</v>
      </c>
      <c r="E335" t="str">
        <f>VLOOKUP($A335,Sheet4!$A:$B,2,0)</f>
        <v>GH Strawberry Shortcake 1-24BK</v>
      </c>
      <c r="F335" s="3" t="s">
        <v>48</v>
      </c>
    </row>
    <row r="336" spans="1:6" x14ac:dyDescent="0.25">
      <c r="A336" s="3">
        <v>68741714</v>
      </c>
      <c r="B336" s="3">
        <v>1352</v>
      </c>
      <c r="C336" s="24">
        <v>4449</v>
      </c>
      <c r="D336" s="4">
        <v>46092</v>
      </c>
      <c r="E336" t="str">
        <f>VLOOKUP($A336,Sheet4!$A:$B,2,0)</f>
        <v>GH Strawberry Shortcake 1-24BK</v>
      </c>
      <c r="F336" s="3" t="s">
        <v>48</v>
      </c>
    </row>
    <row r="337" spans="1:6" x14ac:dyDescent="0.25">
      <c r="A337" s="3">
        <v>68741714</v>
      </c>
      <c r="B337" s="3">
        <v>1352</v>
      </c>
      <c r="C337" s="24">
        <v>2475</v>
      </c>
      <c r="D337" s="4">
        <v>46092</v>
      </c>
      <c r="E337" t="str">
        <f>VLOOKUP($A337,Sheet4!$A:$B,2,0)</f>
        <v>GH Strawberry Shortcake 1-24BK</v>
      </c>
      <c r="F337" s="3" t="s">
        <v>48</v>
      </c>
    </row>
    <row r="338" spans="1:6" x14ac:dyDescent="0.25">
      <c r="A338" s="3">
        <v>68741714</v>
      </c>
      <c r="B338" s="3">
        <v>1352</v>
      </c>
      <c r="C338" s="24">
        <v>4786</v>
      </c>
      <c r="D338" s="4">
        <v>46093</v>
      </c>
      <c r="E338" t="str">
        <f>VLOOKUP($A338,Sheet4!$A:$B,2,0)</f>
        <v>GH Strawberry Shortcake 1-24BK</v>
      </c>
      <c r="F338" s="3" t="s">
        <v>48</v>
      </c>
    </row>
    <row r="339" spans="1:6" x14ac:dyDescent="0.25">
      <c r="A339" s="3">
        <v>68741714</v>
      </c>
      <c r="B339" s="3">
        <v>1352</v>
      </c>
      <c r="C339" s="24">
        <v>3600</v>
      </c>
      <c r="D339" s="4">
        <v>46093</v>
      </c>
      <c r="E339" t="str">
        <f>VLOOKUP($A339,Sheet4!$A:$B,2,0)</f>
        <v>GH Strawberry Shortcake 1-24BK</v>
      </c>
      <c r="F339" s="3" t="s">
        <v>48</v>
      </c>
    </row>
    <row r="340" spans="1:6" x14ac:dyDescent="0.25">
      <c r="A340" s="3">
        <v>68741714</v>
      </c>
      <c r="B340" s="3">
        <v>1352</v>
      </c>
      <c r="C340" s="24">
        <v>4681</v>
      </c>
      <c r="D340" s="4">
        <v>46094</v>
      </c>
      <c r="E340" t="str">
        <f>VLOOKUP($A340,Sheet4!$A:$B,2,0)</f>
        <v>GH Strawberry Shortcake 1-24BK</v>
      </c>
      <c r="F340" s="3" t="s">
        <v>48</v>
      </c>
    </row>
    <row r="341" spans="1:6" x14ac:dyDescent="0.25">
      <c r="A341" s="3">
        <v>68741714</v>
      </c>
      <c r="B341" s="3">
        <v>1352</v>
      </c>
      <c r="C341" s="24">
        <v>3825</v>
      </c>
      <c r="D341" s="4">
        <v>46094</v>
      </c>
      <c r="E341" t="str">
        <f>VLOOKUP($A341,Sheet4!$A:$B,2,0)</f>
        <v>GH Strawberry Shortcake 1-24BK</v>
      </c>
      <c r="F341" s="3" t="s">
        <v>48</v>
      </c>
    </row>
    <row r="342" spans="1:6" x14ac:dyDescent="0.25">
      <c r="A342" s="3">
        <v>68741714</v>
      </c>
      <c r="B342" s="3">
        <v>1352</v>
      </c>
      <c r="C342" s="24">
        <v>1994</v>
      </c>
      <c r="D342" s="4">
        <v>46095</v>
      </c>
      <c r="E342" t="str">
        <f>VLOOKUP($A342,Sheet4!$A:$B,2,0)</f>
        <v>GH Strawberry Shortcake 1-24BK</v>
      </c>
      <c r="F342" s="3" t="s">
        <v>48</v>
      </c>
    </row>
    <row r="343" spans="1:6" x14ac:dyDescent="0.25">
      <c r="A343" s="3">
        <v>68741742</v>
      </c>
      <c r="B343" s="3">
        <v>1352</v>
      </c>
      <c r="C343" s="24">
        <v>0</v>
      </c>
      <c r="D343" s="4">
        <v>46079</v>
      </c>
      <c r="E343" t="str">
        <f>VLOOKUP($A343,Sheet4!$A:$B,2,0)</f>
        <v>GH Strawberry Shortcake Bar 8-6PK</v>
      </c>
      <c r="F343" s="3" t="s">
        <v>41</v>
      </c>
    </row>
    <row r="344" spans="1:6" x14ac:dyDescent="0.25">
      <c r="A344" s="3">
        <v>68741742</v>
      </c>
      <c r="B344" s="3">
        <v>1352</v>
      </c>
      <c r="C344" s="24">
        <v>1386</v>
      </c>
      <c r="D344" s="4">
        <v>46084</v>
      </c>
      <c r="E344" t="str">
        <f>VLOOKUP($A344,Sheet4!$A:$B,2,0)</f>
        <v>GH Strawberry Shortcake Bar 8-6PK</v>
      </c>
      <c r="F344" s="3" t="s">
        <v>41</v>
      </c>
    </row>
    <row r="345" spans="1:6" x14ac:dyDescent="0.25">
      <c r="A345" s="3">
        <v>68741742</v>
      </c>
      <c r="B345" s="3">
        <v>1352</v>
      </c>
      <c r="C345" s="24">
        <v>3348</v>
      </c>
      <c r="D345" s="4">
        <v>46085</v>
      </c>
      <c r="E345" t="str">
        <f>VLOOKUP($A345,Sheet4!$A:$B,2,0)</f>
        <v>GH Strawberry Shortcake Bar 8-6PK</v>
      </c>
      <c r="F345" s="3" t="s">
        <v>41</v>
      </c>
    </row>
    <row r="346" spans="1:6" x14ac:dyDescent="0.25">
      <c r="A346" s="3">
        <v>68741742</v>
      </c>
      <c r="B346" s="3">
        <v>1352</v>
      </c>
      <c r="C346" s="24">
        <v>1540</v>
      </c>
      <c r="D346" s="4">
        <v>46085</v>
      </c>
      <c r="E346" t="str">
        <f>VLOOKUP($A346,Sheet4!$A:$B,2,0)</f>
        <v>GH Strawberry Shortcake Bar 8-6PK</v>
      </c>
      <c r="F346" s="3" t="s">
        <v>41</v>
      </c>
    </row>
    <row r="347" spans="1:6" x14ac:dyDescent="0.25">
      <c r="A347" s="3">
        <v>68741742</v>
      </c>
      <c r="B347" s="3">
        <v>1352</v>
      </c>
      <c r="C347" s="24">
        <v>4107</v>
      </c>
      <c r="D347" s="4">
        <v>46086</v>
      </c>
      <c r="E347" t="str">
        <f>VLOOKUP($A347,Sheet4!$A:$B,2,0)</f>
        <v>GH Strawberry Shortcake Bar 8-6PK</v>
      </c>
      <c r="F347" s="3" t="s">
        <v>41</v>
      </c>
    </row>
    <row r="348" spans="1:6" x14ac:dyDescent="0.25">
      <c r="A348" s="3">
        <v>68741742</v>
      </c>
      <c r="B348" s="3">
        <v>1352</v>
      </c>
      <c r="C348" s="24">
        <v>154</v>
      </c>
      <c r="D348" s="4">
        <v>46093</v>
      </c>
      <c r="E348" t="str">
        <f>VLOOKUP($A348,Sheet4!$A:$B,2,0)</f>
        <v>GH Strawberry Shortcake Bar 8-6PK</v>
      </c>
      <c r="F348" s="3" t="s">
        <v>41</v>
      </c>
    </row>
    <row r="349" spans="1:6" x14ac:dyDescent="0.25">
      <c r="A349" s="3">
        <v>68741742</v>
      </c>
      <c r="B349" s="3">
        <v>1352</v>
      </c>
      <c r="C349" s="24">
        <v>2772</v>
      </c>
      <c r="D349" s="4">
        <v>46086</v>
      </c>
      <c r="E349" t="str">
        <f>VLOOKUP($A349,Sheet4!$A:$B,2,0)</f>
        <v>GH Strawberry Shortcake Bar 8-6PK</v>
      </c>
      <c r="F349" s="3" t="s">
        <v>41</v>
      </c>
    </row>
    <row r="350" spans="1:6" x14ac:dyDescent="0.25">
      <c r="A350" s="3">
        <v>68741742</v>
      </c>
      <c r="B350" s="3">
        <v>1352</v>
      </c>
      <c r="C350" s="24">
        <v>3233</v>
      </c>
      <c r="D350" s="4">
        <v>46087</v>
      </c>
      <c r="E350" t="str">
        <f>VLOOKUP($A350,Sheet4!$A:$B,2,0)</f>
        <v>GH Strawberry Shortcake Bar 8-6PK</v>
      </c>
      <c r="F350" s="3" t="s">
        <v>41</v>
      </c>
    </row>
    <row r="351" spans="1:6" x14ac:dyDescent="0.25">
      <c r="A351" s="3">
        <v>68741742</v>
      </c>
      <c r="B351" s="3">
        <v>1352</v>
      </c>
      <c r="C351" s="24">
        <v>2090</v>
      </c>
      <c r="D351" s="4">
        <v>46087</v>
      </c>
      <c r="E351" t="str">
        <f>VLOOKUP($A351,Sheet4!$A:$B,2,0)</f>
        <v>GH Strawberry Shortcake Bar 8-6PK</v>
      </c>
      <c r="F351" s="3" t="s">
        <v>41</v>
      </c>
    </row>
    <row r="352" spans="1:6" x14ac:dyDescent="0.25">
      <c r="A352" s="3">
        <v>68741742</v>
      </c>
      <c r="B352" s="3">
        <v>1352</v>
      </c>
      <c r="C352" s="24">
        <v>28</v>
      </c>
      <c r="D352" s="4">
        <v>46088</v>
      </c>
      <c r="E352" t="str">
        <f>VLOOKUP($A352,Sheet4!$A:$B,2,0)</f>
        <v>GH Strawberry Shortcake Bar 8-6PK</v>
      </c>
      <c r="F352" s="3" t="s">
        <v>41</v>
      </c>
    </row>
    <row r="353" spans="1:6" x14ac:dyDescent="0.25">
      <c r="A353" s="3">
        <v>68741742</v>
      </c>
      <c r="B353" s="3">
        <v>1352</v>
      </c>
      <c r="C353" s="24">
        <v>770</v>
      </c>
      <c r="D353" s="4">
        <v>46083</v>
      </c>
      <c r="E353" t="str">
        <f>VLOOKUP($A353,Sheet4!$A:$B,2,0)</f>
        <v>GH Strawberry Shortcake Bar 8-6PK</v>
      </c>
      <c r="F353" s="3" t="s">
        <v>41</v>
      </c>
    </row>
    <row r="354" spans="1:6" x14ac:dyDescent="0.25">
      <c r="A354" s="3">
        <v>68741742</v>
      </c>
      <c r="B354" s="3">
        <v>1352</v>
      </c>
      <c r="C354" s="24">
        <v>1130</v>
      </c>
      <c r="D354" s="4">
        <v>46084</v>
      </c>
      <c r="E354" t="str">
        <f>VLOOKUP($A354,Sheet4!$A:$B,2,0)</f>
        <v>GH Strawberry Shortcake Bar 8-6PK</v>
      </c>
      <c r="F354" s="3" t="s">
        <v>41</v>
      </c>
    </row>
    <row r="355" spans="1:6" x14ac:dyDescent="0.25">
      <c r="A355" s="3">
        <v>68741742</v>
      </c>
      <c r="B355" s="3">
        <v>1352</v>
      </c>
      <c r="C355" s="24">
        <v>1232</v>
      </c>
      <c r="D355" s="4">
        <v>46090</v>
      </c>
      <c r="E355" t="str">
        <f>VLOOKUP($A355,Sheet4!$A:$B,2,0)</f>
        <v>GH Strawberry Shortcake Bar 8-6PK</v>
      </c>
      <c r="F355" s="3" t="s">
        <v>41</v>
      </c>
    </row>
    <row r="356" spans="1:6" x14ac:dyDescent="0.25">
      <c r="A356" s="3">
        <v>68741742</v>
      </c>
      <c r="B356" s="3">
        <v>1352</v>
      </c>
      <c r="C356" s="24">
        <v>2665</v>
      </c>
      <c r="D356" s="4">
        <v>46091</v>
      </c>
      <c r="E356" t="str">
        <f>VLOOKUP($A356,Sheet4!$A:$B,2,0)</f>
        <v>GH Strawberry Shortcake Bar 8-6PK</v>
      </c>
      <c r="F356" s="3" t="s">
        <v>41</v>
      </c>
    </row>
    <row r="357" spans="1:6" x14ac:dyDescent="0.25">
      <c r="A357" s="3">
        <v>68741742</v>
      </c>
      <c r="B357" s="3">
        <v>1352</v>
      </c>
      <c r="C357" s="24">
        <v>2926</v>
      </c>
      <c r="D357" s="4">
        <v>46091</v>
      </c>
      <c r="E357" t="str">
        <f>VLOOKUP($A357,Sheet4!$A:$B,2,0)</f>
        <v>GH Strawberry Shortcake Bar 8-6PK</v>
      </c>
      <c r="F357" s="3" t="s">
        <v>41</v>
      </c>
    </row>
    <row r="358" spans="1:6" x14ac:dyDescent="0.25">
      <c r="A358" s="3">
        <v>68741742</v>
      </c>
      <c r="B358" s="3">
        <v>1352</v>
      </c>
      <c r="C358" s="24">
        <v>3155</v>
      </c>
      <c r="D358" s="4">
        <v>46092</v>
      </c>
      <c r="E358" t="str">
        <f>VLOOKUP($A358,Sheet4!$A:$B,2,0)</f>
        <v>GH Strawberry Shortcake Bar 8-6PK</v>
      </c>
      <c r="F358" s="3" t="s">
        <v>41</v>
      </c>
    </row>
    <row r="359" spans="1:6" x14ac:dyDescent="0.25">
      <c r="A359" s="3">
        <v>68741742</v>
      </c>
      <c r="B359" s="3">
        <v>1352</v>
      </c>
      <c r="C359" s="24">
        <v>2310</v>
      </c>
      <c r="D359" s="4">
        <v>46092</v>
      </c>
      <c r="E359" t="str">
        <f>VLOOKUP($A359,Sheet4!$A:$B,2,0)</f>
        <v>GH Strawberry Shortcake Bar 8-6PK</v>
      </c>
      <c r="F359" s="3" t="s">
        <v>41</v>
      </c>
    </row>
    <row r="360" spans="1:6" x14ac:dyDescent="0.25">
      <c r="A360" s="3">
        <v>68741742</v>
      </c>
      <c r="B360" s="3">
        <v>1352</v>
      </c>
      <c r="C360" s="24">
        <v>3052</v>
      </c>
      <c r="D360" s="4">
        <v>46093</v>
      </c>
      <c r="E360" t="str">
        <f>VLOOKUP($A360,Sheet4!$A:$B,2,0)</f>
        <v>GH Strawberry Shortcake Bar 8-6PK</v>
      </c>
      <c r="F360" s="3" t="s">
        <v>41</v>
      </c>
    </row>
    <row r="361" spans="1:6" x14ac:dyDescent="0.25">
      <c r="A361" s="3">
        <v>68741742</v>
      </c>
      <c r="B361" s="3">
        <v>1352</v>
      </c>
      <c r="C361" s="24">
        <v>2464</v>
      </c>
      <c r="D361" s="4">
        <v>46094</v>
      </c>
      <c r="E361" t="str">
        <f>VLOOKUP($A361,Sheet4!$A:$B,2,0)</f>
        <v>GH Strawberry Shortcake Bar 8-6PK</v>
      </c>
      <c r="F361" s="3" t="s">
        <v>41</v>
      </c>
    </row>
    <row r="362" spans="1:6" x14ac:dyDescent="0.25">
      <c r="A362" s="3">
        <v>68741742</v>
      </c>
      <c r="B362" s="3">
        <v>1352</v>
      </c>
      <c r="C362" s="24">
        <v>565</v>
      </c>
      <c r="D362" s="4">
        <v>46095</v>
      </c>
      <c r="E362" t="str">
        <f>VLOOKUP($A362,Sheet4!$A:$B,2,0)</f>
        <v>GH Strawberry Shortcake Bar 8-6PK</v>
      </c>
      <c r="F362" s="3" t="s">
        <v>41</v>
      </c>
    </row>
    <row r="363" spans="1:6" x14ac:dyDescent="0.25">
      <c r="A363" s="3">
        <v>68741742</v>
      </c>
      <c r="B363" s="3">
        <v>1352</v>
      </c>
      <c r="C363" s="24">
        <v>2002</v>
      </c>
      <c r="D363" s="4">
        <v>46093</v>
      </c>
      <c r="E363" t="str">
        <f>VLOOKUP($A363,Sheet4!$A:$B,2,0)</f>
        <v>GH Strawberry Shortcake Bar 8-6PK</v>
      </c>
      <c r="F363" s="3" t="s">
        <v>41</v>
      </c>
    </row>
    <row r="364" spans="1:6" x14ac:dyDescent="0.25">
      <c r="A364" s="3">
        <v>68741742</v>
      </c>
      <c r="B364" s="3">
        <v>1352</v>
      </c>
      <c r="C364" s="24">
        <v>2921</v>
      </c>
      <c r="D364" s="4">
        <v>46094</v>
      </c>
      <c r="E364" t="str">
        <f>VLOOKUP($A364,Sheet4!$A:$B,2,0)</f>
        <v>GH Strawberry Shortcake Bar 8-6PK</v>
      </c>
      <c r="F364" s="3" t="s">
        <v>41</v>
      </c>
    </row>
    <row r="365" spans="1:6" x14ac:dyDescent="0.25">
      <c r="A365" s="3">
        <v>68817792</v>
      </c>
      <c r="B365" s="3">
        <v>1352</v>
      </c>
      <c r="C365" s="24">
        <v>3674</v>
      </c>
      <c r="D365" s="4">
        <v>46085</v>
      </c>
      <c r="E365" t="str">
        <f>VLOOKUP($A365,Sheet4!$A:$B,2,0)</f>
        <v>BR HA Strawberry 6 1.5QT</v>
      </c>
      <c r="F365" s="3" t="s">
        <v>23</v>
      </c>
    </row>
    <row r="366" spans="1:6" x14ac:dyDescent="0.25">
      <c r="A366" s="3">
        <v>68817792</v>
      </c>
      <c r="B366" s="3">
        <v>1352</v>
      </c>
      <c r="C366" s="24">
        <v>5140</v>
      </c>
      <c r="D366" s="4">
        <v>46086</v>
      </c>
      <c r="E366" t="str">
        <f>VLOOKUP($A366,Sheet4!$A:$B,2,0)</f>
        <v>BR HA Strawberry 6 1.5QT</v>
      </c>
      <c r="F366" s="3" t="s">
        <v>23</v>
      </c>
    </row>
    <row r="367" spans="1:6" x14ac:dyDescent="0.25">
      <c r="A367" s="3">
        <v>68817792</v>
      </c>
      <c r="B367" s="3">
        <v>1352</v>
      </c>
      <c r="C367" s="24">
        <v>1057</v>
      </c>
      <c r="D367" s="4">
        <v>46085</v>
      </c>
      <c r="E367" t="str">
        <f>VLOOKUP($A367,Sheet4!$A:$B,2,0)</f>
        <v>BR HA Strawberry 6 1.5QT</v>
      </c>
      <c r="F367" s="3" t="s">
        <v>23</v>
      </c>
    </row>
    <row r="368" spans="1:6" x14ac:dyDescent="0.25">
      <c r="A368" s="3">
        <v>68817793</v>
      </c>
      <c r="B368" s="3">
        <v>1352</v>
      </c>
      <c r="C368" s="24">
        <v>1309</v>
      </c>
      <c r="D368" s="4">
        <v>46080</v>
      </c>
      <c r="E368" t="str">
        <f>VLOOKUP($A368,Sheet4!$A:$B,2,0)</f>
        <v>BR Mint CHOC Chip 6 1.5QT</v>
      </c>
      <c r="F368" s="3" t="s">
        <v>25</v>
      </c>
    </row>
    <row r="369" spans="1:6" x14ac:dyDescent="0.25">
      <c r="A369" s="3">
        <v>68817793</v>
      </c>
      <c r="B369" s="3">
        <v>1352</v>
      </c>
      <c r="C369" s="24">
        <v>10232</v>
      </c>
      <c r="D369" s="4">
        <v>46081</v>
      </c>
      <c r="E369" t="str">
        <f>VLOOKUP($A369,Sheet4!$A:$B,2,0)</f>
        <v>BR Mint CHOC Chip 6 1.5QT</v>
      </c>
      <c r="F369" s="3" t="s">
        <v>25</v>
      </c>
    </row>
    <row r="370" spans="1:6" x14ac:dyDescent="0.25">
      <c r="A370" s="3">
        <v>68817793</v>
      </c>
      <c r="B370" s="3">
        <v>1352</v>
      </c>
      <c r="C370" s="24">
        <v>8272</v>
      </c>
      <c r="D370" s="4">
        <v>46081</v>
      </c>
      <c r="E370" t="str">
        <f>VLOOKUP($A370,Sheet4!$A:$B,2,0)</f>
        <v>BR Mint CHOC Chip 6 1.5QT</v>
      </c>
      <c r="F370" s="3" t="s">
        <v>25</v>
      </c>
    </row>
    <row r="371" spans="1:6" x14ac:dyDescent="0.25">
      <c r="A371" s="3">
        <v>68817793</v>
      </c>
      <c r="B371" s="3">
        <v>1352</v>
      </c>
      <c r="C371" s="24">
        <v>4918</v>
      </c>
      <c r="D371" s="4">
        <v>46082</v>
      </c>
      <c r="E371" t="str">
        <f>VLOOKUP($A371,Sheet4!$A:$B,2,0)</f>
        <v>BR Mint CHOC Chip 6 1.5QT</v>
      </c>
      <c r="F371" s="3" t="s">
        <v>25</v>
      </c>
    </row>
    <row r="372" spans="1:6" x14ac:dyDescent="0.25">
      <c r="A372" s="3">
        <v>68817793</v>
      </c>
      <c r="B372" s="3">
        <v>1352</v>
      </c>
      <c r="C372" s="24">
        <v>176</v>
      </c>
      <c r="D372" s="4">
        <v>46083</v>
      </c>
      <c r="E372" t="str">
        <f>VLOOKUP($A372,Sheet4!$A:$B,2,0)</f>
        <v>BR Mint CHOC Chip 6 1.5QT</v>
      </c>
      <c r="F372" s="3" t="s">
        <v>25</v>
      </c>
    </row>
    <row r="373" spans="1:6" x14ac:dyDescent="0.25">
      <c r="A373" s="3">
        <v>68817793</v>
      </c>
      <c r="B373" s="3">
        <v>1352</v>
      </c>
      <c r="C373" s="24">
        <v>2992</v>
      </c>
      <c r="D373" s="4">
        <v>46082</v>
      </c>
      <c r="E373" t="str">
        <f>VLOOKUP($A373,Sheet4!$A:$B,2,0)</f>
        <v>BR Mint CHOC Chip 6 1.5QT</v>
      </c>
      <c r="F373" s="3" t="s">
        <v>25</v>
      </c>
    </row>
    <row r="374" spans="1:6" x14ac:dyDescent="0.25">
      <c r="A374" s="3">
        <v>68817793</v>
      </c>
      <c r="B374" s="3">
        <v>1352</v>
      </c>
      <c r="C374" s="24">
        <v>7533</v>
      </c>
      <c r="D374" s="4">
        <v>46083</v>
      </c>
      <c r="E374" t="str">
        <f>VLOOKUP($A374,Sheet4!$A:$B,2,0)</f>
        <v>BR Mint CHOC Chip 6 1.5QT</v>
      </c>
      <c r="F374" s="3" t="s">
        <v>25</v>
      </c>
    </row>
    <row r="375" spans="1:6" x14ac:dyDescent="0.25">
      <c r="A375" s="3">
        <v>68817793</v>
      </c>
      <c r="B375" s="3">
        <v>1352</v>
      </c>
      <c r="C375" s="24">
        <v>4048</v>
      </c>
      <c r="D375" s="4">
        <v>46083</v>
      </c>
      <c r="E375" t="str">
        <f>VLOOKUP($A375,Sheet4!$A:$B,2,0)</f>
        <v>BR Mint CHOC Chip 6 1.5QT</v>
      </c>
      <c r="F375" s="3" t="s">
        <v>25</v>
      </c>
    </row>
    <row r="376" spans="1:6" x14ac:dyDescent="0.25">
      <c r="A376" s="3">
        <v>68817793</v>
      </c>
      <c r="B376" s="3">
        <v>1352</v>
      </c>
      <c r="C376" s="24">
        <v>3369</v>
      </c>
      <c r="D376" s="4">
        <v>46084</v>
      </c>
      <c r="E376" t="str">
        <f>VLOOKUP($A376,Sheet4!$A:$B,2,0)</f>
        <v>BR Mint CHOC Chip 6 1.5QT</v>
      </c>
      <c r="F376" s="3" t="s">
        <v>25</v>
      </c>
    </row>
    <row r="377" spans="1:6" x14ac:dyDescent="0.25">
      <c r="A377" s="3">
        <v>68817793</v>
      </c>
      <c r="B377" s="3">
        <v>1352</v>
      </c>
      <c r="C377" s="24">
        <v>4981</v>
      </c>
      <c r="D377" s="4">
        <v>46100</v>
      </c>
      <c r="E377" t="str">
        <f>VLOOKUP($A377,Sheet4!$A:$B,2,0)</f>
        <v>BR Mint CHOC Chip 6 1.5QT</v>
      </c>
      <c r="F377" s="3" t="s">
        <v>23</v>
      </c>
    </row>
    <row r="378" spans="1:6" x14ac:dyDescent="0.25">
      <c r="A378" s="3">
        <v>68817793</v>
      </c>
      <c r="B378" s="3">
        <v>1352</v>
      </c>
      <c r="C378" s="24">
        <v>8770</v>
      </c>
      <c r="D378" s="4">
        <v>46101</v>
      </c>
      <c r="E378" t="str">
        <f>VLOOKUP($A378,Sheet4!$A:$B,2,0)</f>
        <v>BR Mint CHOC Chip 6 1.5QT</v>
      </c>
      <c r="F378" s="3" t="s">
        <v>23</v>
      </c>
    </row>
    <row r="379" spans="1:6" x14ac:dyDescent="0.25">
      <c r="A379" s="3">
        <v>68817793</v>
      </c>
      <c r="B379" s="3">
        <v>1352</v>
      </c>
      <c r="C379" s="24">
        <v>5796</v>
      </c>
      <c r="D379" s="4">
        <v>46101</v>
      </c>
      <c r="E379" t="str">
        <f>VLOOKUP($A379,Sheet4!$A:$B,2,0)</f>
        <v>BR Mint CHOC Chip 6 1.5QT</v>
      </c>
      <c r="F379" s="3" t="s">
        <v>23</v>
      </c>
    </row>
    <row r="380" spans="1:6" x14ac:dyDescent="0.25">
      <c r="A380" s="3">
        <v>68817793</v>
      </c>
      <c r="B380" s="3">
        <v>1352</v>
      </c>
      <c r="C380" s="24">
        <v>9126</v>
      </c>
      <c r="D380" s="4">
        <v>46102</v>
      </c>
      <c r="E380" t="str">
        <f>VLOOKUP($A380,Sheet4!$A:$B,2,0)</f>
        <v>BR Mint CHOC Chip 6 1.5QT</v>
      </c>
      <c r="F380" s="3" t="s">
        <v>23</v>
      </c>
    </row>
    <row r="381" spans="1:6" x14ac:dyDescent="0.25">
      <c r="A381" s="3">
        <v>68817793</v>
      </c>
      <c r="B381" s="3">
        <v>1352</v>
      </c>
      <c r="C381" s="24">
        <v>6149</v>
      </c>
      <c r="D381" s="4">
        <v>46102</v>
      </c>
      <c r="E381" t="str">
        <f>VLOOKUP($A381,Sheet4!$A:$B,2,0)</f>
        <v>BR Mint CHOC Chip 6 1.5QT</v>
      </c>
      <c r="F381" s="3" t="s">
        <v>23</v>
      </c>
    </row>
    <row r="382" spans="1:6" x14ac:dyDescent="0.25">
      <c r="A382" s="3">
        <v>68817793</v>
      </c>
      <c r="B382" s="3">
        <v>1352</v>
      </c>
      <c r="C382" s="24">
        <v>6899</v>
      </c>
      <c r="D382" s="4">
        <v>46103</v>
      </c>
      <c r="E382" t="str">
        <f>VLOOKUP($A382,Sheet4!$A:$B,2,0)</f>
        <v>BR Mint CHOC Chip 6 1.5QT</v>
      </c>
      <c r="F382" s="3" t="s">
        <v>23</v>
      </c>
    </row>
    <row r="383" spans="1:6" x14ac:dyDescent="0.25">
      <c r="A383" s="3">
        <v>68817793</v>
      </c>
      <c r="B383" s="3">
        <v>1352</v>
      </c>
      <c r="C383" s="24">
        <v>4928</v>
      </c>
      <c r="D383" s="4">
        <v>46103</v>
      </c>
      <c r="E383" t="str">
        <f>VLOOKUP($A383,Sheet4!$A:$B,2,0)</f>
        <v>BR Mint CHOC Chip 6 1.5QT</v>
      </c>
      <c r="F383" s="3" t="s">
        <v>23</v>
      </c>
    </row>
    <row r="384" spans="1:6" x14ac:dyDescent="0.25">
      <c r="A384" s="3">
        <v>68817793</v>
      </c>
      <c r="B384" s="3">
        <v>1352</v>
      </c>
      <c r="C384" s="24">
        <v>8783</v>
      </c>
      <c r="D384" s="4">
        <v>46104</v>
      </c>
      <c r="E384" t="str">
        <f>VLOOKUP($A384,Sheet4!$A:$B,2,0)</f>
        <v>BR Mint CHOC Chip 6 1.5QT</v>
      </c>
      <c r="F384" s="3" t="s">
        <v>23</v>
      </c>
    </row>
    <row r="385" spans="1:6" x14ac:dyDescent="0.25">
      <c r="A385" s="3">
        <v>68817793</v>
      </c>
      <c r="B385" s="3">
        <v>1352</v>
      </c>
      <c r="C385" s="24">
        <v>5217</v>
      </c>
      <c r="D385" s="4">
        <v>46104</v>
      </c>
      <c r="E385" t="str">
        <f>VLOOKUP($A385,Sheet4!$A:$B,2,0)</f>
        <v>BR Mint CHOC Chip 6 1.5QT</v>
      </c>
      <c r="F385" s="3" t="s">
        <v>23</v>
      </c>
    </row>
    <row r="386" spans="1:6" x14ac:dyDescent="0.25">
      <c r="A386" s="3">
        <v>68817793</v>
      </c>
      <c r="B386" s="3">
        <v>1352</v>
      </c>
      <c r="C386" s="24">
        <v>2303</v>
      </c>
      <c r="D386" s="4">
        <v>46105</v>
      </c>
      <c r="E386" t="str">
        <f>VLOOKUP($A386,Sheet4!$A:$B,2,0)</f>
        <v>BR Mint CHOC Chip 6 1.5QT</v>
      </c>
      <c r="F386" s="3" t="s">
        <v>23</v>
      </c>
    </row>
    <row r="387" spans="1:6" x14ac:dyDescent="0.25">
      <c r="A387" s="3">
        <v>68817796</v>
      </c>
      <c r="B387" s="3">
        <v>1352</v>
      </c>
      <c r="C387" s="24">
        <v>5238</v>
      </c>
      <c r="D387" s="4">
        <v>46094</v>
      </c>
      <c r="E387" t="str">
        <f>VLOOKUP($A387,Sheet4!$A:$B,2,0)</f>
        <v>BR XCRMY Vanilla 6 1.5QT</v>
      </c>
      <c r="F387" s="3" t="s">
        <v>8</v>
      </c>
    </row>
    <row r="388" spans="1:6" x14ac:dyDescent="0.25">
      <c r="A388" s="3">
        <v>68817796</v>
      </c>
      <c r="B388" s="3">
        <v>1352</v>
      </c>
      <c r="C388" s="24">
        <v>11352</v>
      </c>
      <c r="D388" s="4">
        <v>46095</v>
      </c>
      <c r="E388" t="str">
        <f>VLOOKUP($A388,Sheet4!$A:$B,2,0)</f>
        <v>BR XCRMY Vanilla 6 1.5QT</v>
      </c>
      <c r="F388" s="3" t="s">
        <v>8</v>
      </c>
    </row>
    <row r="389" spans="1:6" x14ac:dyDescent="0.25">
      <c r="A389" s="3">
        <v>68817796</v>
      </c>
      <c r="B389" s="3">
        <v>1352</v>
      </c>
      <c r="C389" s="24">
        <v>6686</v>
      </c>
      <c r="D389" s="4">
        <v>46093</v>
      </c>
      <c r="E389" t="str">
        <f>VLOOKUP($A389,Sheet4!$A:$B,2,0)</f>
        <v>BR XCRMY Vanilla 6 1.5QT</v>
      </c>
      <c r="F389" s="3" t="s">
        <v>8</v>
      </c>
    </row>
    <row r="390" spans="1:6" x14ac:dyDescent="0.25">
      <c r="A390" s="3">
        <v>68817796</v>
      </c>
      <c r="B390" s="3">
        <v>1352</v>
      </c>
      <c r="C390" s="24">
        <v>10110</v>
      </c>
      <c r="D390" s="4">
        <v>46094</v>
      </c>
      <c r="E390" t="str">
        <f>VLOOKUP($A390,Sheet4!$A:$B,2,0)</f>
        <v>BR XCRMY Vanilla 6 1.5QT</v>
      </c>
      <c r="F390" s="3" t="s">
        <v>8</v>
      </c>
    </row>
    <row r="391" spans="1:6" x14ac:dyDescent="0.25">
      <c r="A391" s="3">
        <v>68817796</v>
      </c>
      <c r="B391" s="3">
        <v>1352</v>
      </c>
      <c r="C391" s="24">
        <v>8308</v>
      </c>
      <c r="D391" s="4">
        <v>46097</v>
      </c>
      <c r="E391" t="str">
        <f>VLOOKUP($A391,Sheet4!$A:$B,2,0)</f>
        <v>BR XCRMY Vanilla 6 1.5QT</v>
      </c>
      <c r="F391" s="3" t="s">
        <v>8</v>
      </c>
    </row>
    <row r="392" spans="1:6" x14ac:dyDescent="0.25">
      <c r="A392" s="3">
        <v>68817796</v>
      </c>
      <c r="B392" s="3">
        <v>1352</v>
      </c>
      <c r="C392" s="24">
        <v>9315</v>
      </c>
      <c r="D392" s="4">
        <v>46092</v>
      </c>
      <c r="E392" t="str">
        <f>VLOOKUP($A392,Sheet4!$A:$B,2,0)</f>
        <v>BR XCRMY Vanilla 6 1.5QT</v>
      </c>
      <c r="F392" s="3" t="s">
        <v>8</v>
      </c>
    </row>
    <row r="393" spans="1:6" x14ac:dyDescent="0.25">
      <c r="A393" s="3">
        <v>68817796</v>
      </c>
      <c r="B393" s="3">
        <v>1352</v>
      </c>
      <c r="C393" s="24">
        <v>8258</v>
      </c>
      <c r="D393" s="4">
        <v>46093</v>
      </c>
      <c r="E393" t="str">
        <f>VLOOKUP($A393,Sheet4!$A:$B,2,0)</f>
        <v>BR XCRMY Vanilla 6 1.5QT</v>
      </c>
      <c r="F393" s="3" t="s">
        <v>8</v>
      </c>
    </row>
    <row r="394" spans="1:6" x14ac:dyDescent="0.25">
      <c r="A394" s="3">
        <v>68817796</v>
      </c>
      <c r="B394" s="3">
        <v>1352</v>
      </c>
      <c r="C394" s="24">
        <v>154</v>
      </c>
      <c r="D394" s="4">
        <v>46105</v>
      </c>
      <c r="E394" t="str">
        <f>VLOOKUP($A394,Sheet4!$A:$B,2,0)</f>
        <v>BR XCRMY Vanilla 6 1.5QT</v>
      </c>
      <c r="F394" s="3" t="s">
        <v>8</v>
      </c>
    </row>
    <row r="395" spans="1:6" x14ac:dyDescent="0.25">
      <c r="A395" s="3">
        <v>68817796</v>
      </c>
      <c r="B395" s="3">
        <v>1352</v>
      </c>
      <c r="C395" s="24">
        <v>352</v>
      </c>
      <c r="D395" s="4">
        <v>46095</v>
      </c>
      <c r="E395" t="str">
        <f>VLOOKUP($A395,Sheet4!$A:$B,2,0)</f>
        <v>BR XCRMY Vanilla 6 1.5QT</v>
      </c>
      <c r="F395" s="3" t="s">
        <v>8</v>
      </c>
    </row>
    <row r="396" spans="1:6" x14ac:dyDescent="0.25">
      <c r="A396" s="3">
        <v>68817796</v>
      </c>
      <c r="B396" s="3">
        <v>1352</v>
      </c>
      <c r="C396" s="24">
        <v>7415</v>
      </c>
      <c r="D396" s="4">
        <v>46096</v>
      </c>
      <c r="E396" t="str">
        <f>VLOOKUP($A396,Sheet4!$A:$B,2,0)</f>
        <v>BR XCRMY Vanilla 6 1.5QT</v>
      </c>
      <c r="F396" s="3" t="s">
        <v>8</v>
      </c>
    </row>
    <row r="397" spans="1:6" x14ac:dyDescent="0.25">
      <c r="A397" s="3">
        <v>68817796</v>
      </c>
      <c r="B397" s="3">
        <v>1352</v>
      </c>
      <c r="C397" s="24">
        <v>5632</v>
      </c>
      <c r="D397" s="4">
        <v>46097</v>
      </c>
      <c r="E397" t="str">
        <f>VLOOKUP($A397,Sheet4!$A:$B,2,0)</f>
        <v>BR XCRMY Vanilla 6 1.5QT</v>
      </c>
      <c r="F397" s="3" t="s">
        <v>8</v>
      </c>
    </row>
    <row r="398" spans="1:6" x14ac:dyDescent="0.25">
      <c r="A398" s="3">
        <v>68817796</v>
      </c>
      <c r="B398" s="3">
        <v>1352</v>
      </c>
      <c r="C398" s="24">
        <v>3629</v>
      </c>
      <c r="D398" s="4">
        <v>46098</v>
      </c>
      <c r="E398" t="str">
        <f>VLOOKUP($A398,Sheet4!$A:$B,2,0)</f>
        <v>BR XCRMY Vanilla 6 1.5QT</v>
      </c>
      <c r="F398" s="3" t="s">
        <v>8</v>
      </c>
    </row>
    <row r="399" spans="1:6" x14ac:dyDescent="0.25">
      <c r="A399" s="3">
        <v>68817799</v>
      </c>
      <c r="B399" s="3">
        <v>1352</v>
      </c>
      <c r="C399" s="24">
        <v>11</v>
      </c>
      <c r="D399" s="4">
        <v>46079</v>
      </c>
      <c r="E399" t="str">
        <f>VLOOKUP($A399,Sheet4!$A:$B,2,0)</f>
        <v>BR Strawberry 6 1.5QT</v>
      </c>
      <c r="F399" s="3" t="s">
        <v>23</v>
      </c>
    </row>
    <row r="400" spans="1:6" x14ac:dyDescent="0.25">
      <c r="A400" s="3">
        <v>68817799</v>
      </c>
      <c r="B400" s="3">
        <v>1352</v>
      </c>
      <c r="C400" s="24">
        <v>9126</v>
      </c>
      <c r="D400" s="4">
        <v>46091</v>
      </c>
      <c r="E400" t="str">
        <f>VLOOKUP($A400,Sheet4!$A:$B,2,0)</f>
        <v>BR Strawberry 6 1.5QT</v>
      </c>
      <c r="F400" s="3" t="s">
        <v>23</v>
      </c>
    </row>
    <row r="401" spans="1:6" x14ac:dyDescent="0.25">
      <c r="A401" s="3">
        <v>68817799</v>
      </c>
      <c r="B401" s="3">
        <v>1352</v>
      </c>
      <c r="C401" s="24">
        <v>8847</v>
      </c>
      <c r="D401" s="4">
        <v>46092</v>
      </c>
      <c r="E401" t="str">
        <f>VLOOKUP($A401,Sheet4!$A:$B,2,0)</f>
        <v>BR Strawberry 6 1.5QT</v>
      </c>
      <c r="F401" s="3" t="s">
        <v>23</v>
      </c>
    </row>
    <row r="402" spans="1:6" x14ac:dyDescent="0.25">
      <c r="A402" s="3">
        <v>68817799</v>
      </c>
      <c r="B402" s="3">
        <v>1352</v>
      </c>
      <c r="C402" s="24">
        <v>5280</v>
      </c>
      <c r="D402" s="4">
        <v>46092</v>
      </c>
      <c r="E402" t="str">
        <f>VLOOKUP($A402,Sheet4!$A:$B,2,0)</f>
        <v>BR Strawberry 6 1.5QT</v>
      </c>
      <c r="F402" s="3" t="s">
        <v>23</v>
      </c>
    </row>
    <row r="403" spans="1:6" x14ac:dyDescent="0.25">
      <c r="A403" s="3">
        <v>68817799</v>
      </c>
      <c r="B403" s="3">
        <v>1352</v>
      </c>
      <c r="C403" s="24">
        <v>7870</v>
      </c>
      <c r="D403" s="4">
        <v>46093</v>
      </c>
      <c r="E403" t="str">
        <f>VLOOKUP($A403,Sheet4!$A:$B,2,0)</f>
        <v>BR Strawberry 6 1.5QT</v>
      </c>
      <c r="F403" s="3" t="s">
        <v>23</v>
      </c>
    </row>
    <row r="404" spans="1:6" x14ac:dyDescent="0.25">
      <c r="A404" s="3">
        <v>68817799</v>
      </c>
      <c r="B404" s="3">
        <v>1352</v>
      </c>
      <c r="C404" s="24">
        <v>5104</v>
      </c>
      <c r="D404" s="4">
        <v>46093</v>
      </c>
      <c r="E404" t="str">
        <f>VLOOKUP($A404,Sheet4!$A:$B,2,0)</f>
        <v>BR Strawberry 6 1.5QT</v>
      </c>
      <c r="F404" s="3" t="s">
        <v>23</v>
      </c>
    </row>
    <row r="405" spans="1:6" x14ac:dyDescent="0.25">
      <c r="A405" s="3">
        <v>68817799</v>
      </c>
      <c r="B405" s="3">
        <v>1352</v>
      </c>
      <c r="C405" s="24">
        <v>9675</v>
      </c>
      <c r="D405" s="4">
        <v>46094</v>
      </c>
      <c r="E405" t="str">
        <f>VLOOKUP($A405,Sheet4!$A:$B,2,0)</f>
        <v>BR Strawberry 6 1.5QT</v>
      </c>
      <c r="F405" s="3" t="s">
        <v>23</v>
      </c>
    </row>
    <row r="406" spans="1:6" x14ac:dyDescent="0.25">
      <c r="A406" s="3">
        <v>68817799</v>
      </c>
      <c r="B406" s="3">
        <v>1352</v>
      </c>
      <c r="C406" s="24">
        <v>5335</v>
      </c>
      <c r="D406" s="4">
        <v>46094</v>
      </c>
      <c r="E406" t="str">
        <f>VLOOKUP($A406,Sheet4!$A:$B,2,0)</f>
        <v>BR Strawberry 6 1.5QT</v>
      </c>
      <c r="F406" s="3" t="s">
        <v>23</v>
      </c>
    </row>
    <row r="407" spans="1:6" x14ac:dyDescent="0.25">
      <c r="A407" s="3">
        <v>68817799</v>
      </c>
      <c r="B407" s="3">
        <v>1352</v>
      </c>
      <c r="C407" s="24">
        <v>3208</v>
      </c>
      <c r="D407" s="4">
        <v>46095</v>
      </c>
      <c r="E407" t="str">
        <f>VLOOKUP($A407,Sheet4!$A:$B,2,0)</f>
        <v>BR Strawberry 6 1.5QT</v>
      </c>
      <c r="F407" s="3" t="s">
        <v>23</v>
      </c>
    </row>
    <row r="408" spans="1:6" x14ac:dyDescent="0.25">
      <c r="A408" s="3">
        <v>68817799</v>
      </c>
      <c r="B408" s="3">
        <v>1352</v>
      </c>
      <c r="C408" s="24">
        <v>3979</v>
      </c>
      <c r="D408" s="4">
        <v>46095</v>
      </c>
      <c r="E408" t="str">
        <f>VLOOKUP($A408,Sheet4!$A:$B,2,0)</f>
        <v>BR Strawberry 6 1.5QT</v>
      </c>
      <c r="F408" s="3" t="s">
        <v>23</v>
      </c>
    </row>
    <row r="409" spans="1:6" x14ac:dyDescent="0.25">
      <c r="A409" s="3">
        <v>68817799</v>
      </c>
      <c r="B409" s="3">
        <v>1352</v>
      </c>
      <c r="C409" s="24">
        <v>4850</v>
      </c>
      <c r="D409" s="4">
        <v>46086</v>
      </c>
      <c r="E409" t="str">
        <f>VLOOKUP($A409,Sheet4!$A:$B,2,0)</f>
        <v>BR Strawberry 6 1.5QT</v>
      </c>
      <c r="F409" s="3" t="s">
        <v>23</v>
      </c>
    </row>
    <row r="410" spans="1:6" x14ac:dyDescent="0.25">
      <c r="A410" s="3">
        <v>68817799</v>
      </c>
      <c r="B410" s="3">
        <v>1352</v>
      </c>
      <c r="C410" s="24">
        <v>8500</v>
      </c>
      <c r="D410" s="4">
        <v>46087</v>
      </c>
      <c r="E410" t="str">
        <f>VLOOKUP($A410,Sheet4!$A:$B,2,0)</f>
        <v>BR Strawberry 6 1.5QT</v>
      </c>
      <c r="F410" s="3" t="s">
        <v>23</v>
      </c>
    </row>
    <row r="411" spans="1:6" x14ac:dyDescent="0.25">
      <c r="A411" s="3">
        <v>68817799</v>
      </c>
      <c r="B411" s="3">
        <v>1352</v>
      </c>
      <c r="C411" s="24">
        <v>5555</v>
      </c>
      <c r="D411" s="4">
        <v>46087</v>
      </c>
      <c r="E411" t="str">
        <f>VLOOKUP($A411,Sheet4!$A:$B,2,0)</f>
        <v>BR Strawberry 6 1.5QT</v>
      </c>
      <c r="F411" s="3" t="s">
        <v>23</v>
      </c>
    </row>
    <row r="412" spans="1:6" x14ac:dyDescent="0.25">
      <c r="A412" s="3">
        <v>68817799</v>
      </c>
      <c r="B412" s="3">
        <v>1352</v>
      </c>
      <c r="C412" s="24">
        <v>7349</v>
      </c>
      <c r="D412" s="4">
        <v>46088</v>
      </c>
      <c r="E412" t="str">
        <f>VLOOKUP($A412,Sheet4!$A:$B,2,0)</f>
        <v>BR Strawberry 6 1.5QT</v>
      </c>
      <c r="F412" s="3" t="s">
        <v>23</v>
      </c>
    </row>
    <row r="413" spans="1:6" x14ac:dyDescent="0.25">
      <c r="A413" s="3">
        <v>68817799</v>
      </c>
      <c r="B413" s="3">
        <v>1352</v>
      </c>
      <c r="C413" s="24">
        <v>4199</v>
      </c>
      <c r="D413" s="4">
        <v>46088</v>
      </c>
      <c r="E413" t="str">
        <f>VLOOKUP($A413,Sheet4!$A:$B,2,0)</f>
        <v>BR Strawberry 6 1.5QT</v>
      </c>
      <c r="F413" s="3" t="s">
        <v>23</v>
      </c>
    </row>
    <row r="414" spans="1:6" x14ac:dyDescent="0.25">
      <c r="A414" s="3">
        <v>68817799</v>
      </c>
      <c r="B414" s="3">
        <v>1352</v>
      </c>
      <c r="C414" s="24">
        <v>9750</v>
      </c>
      <c r="D414" s="4">
        <v>46089</v>
      </c>
      <c r="E414" t="str">
        <f>VLOOKUP($A414,Sheet4!$A:$B,2,0)</f>
        <v>BR Strawberry 6 1.5QT</v>
      </c>
      <c r="F414" s="3" t="s">
        <v>23</v>
      </c>
    </row>
    <row r="415" spans="1:6" x14ac:dyDescent="0.25">
      <c r="A415" s="3">
        <v>68817799</v>
      </c>
      <c r="B415" s="3">
        <v>1352</v>
      </c>
      <c r="C415" s="24">
        <v>176</v>
      </c>
      <c r="D415" s="4">
        <v>46090</v>
      </c>
      <c r="E415" t="str">
        <f>VLOOKUP($A415,Sheet4!$A:$B,2,0)</f>
        <v>BR Strawberry 6 1.5QT</v>
      </c>
      <c r="F415" s="3" t="s">
        <v>23</v>
      </c>
    </row>
    <row r="416" spans="1:6" x14ac:dyDescent="0.25">
      <c r="A416" s="3">
        <v>68817799</v>
      </c>
      <c r="B416" s="3">
        <v>1352</v>
      </c>
      <c r="C416" s="24">
        <v>4400</v>
      </c>
      <c r="D416" s="4">
        <v>46089</v>
      </c>
      <c r="E416" t="str">
        <f>VLOOKUP($A416,Sheet4!$A:$B,2,0)</f>
        <v>BR Strawberry 6 1.5QT</v>
      </c>
      <c r="F416" s="3" t="s">
        <v>23</v>
      </c>
    </row>
    <row r="417" spans="1:6" x14ac:dyDescent="0.25">
      <c r="A417" s="3">
        <v>68817799</v>
      </c>
      <c r="B417" s="3">
        <v>1352</v>
      </c>
      <c r="C417" s="24">
        <v>4222</v>
      </c>
      <c r="D417" s="4">
        <v>46090</v>
      </c>
      <c r="E417" t="str">
        <f>VLOOKUP($A417,Sheet4!$A:$B,2,0)</f>
        <v>BR Strawberry 6 1.5QT</v>
      </c>
      <c r="F417" s="3" t="s">
        <v>23</v>
      </c>
    </row>
    <row r="418" spans="1:6" x14ac:dyDescent="0.25">
      <c r="A418" s="3">
        <v>68817800</v>
      </c>
      <c r="B418" s="3">
        <v>1352</v>
      </c>
      <c r="C418" s="24">
        <v>4165</v>
      </c>
      <c r="D418" s="4">
        <v>46079</v>
      </c>
      <c r="E418" t="str">
        <f>VLOOKUP($A418,Sheet4!$A:$B,2,0)</f>
        <v>BR Coffee 6 1.5QT</v>
      </c>
      <c r="F418" s="3" t="s">
        <v>8</v>
      </c>
    </row>
    <row r="419" spans="1:6" x14ac:dyDescent="0.25">
      <c r="A419" s="3">
        <v>68817800</v>
      </c>
      <c r="B419" s="3">
        <v>1352</v>
      </c>
      <c r="C419" s="24">
        <v>6057</v>
      </c>
      <c r="D419" s="4">
        <v>46080</v>
      </c>
      <c r="E419" t="str">
        <f>VLOOKUP($A419,Sheet4!$A:$B,2,0)</f>
        <v>BR Coffee 6 1.5QT</v>
      </c>
      <c r="F419" s="3" t="s">
        <v>8</v>
      </c>
    </row>
    <row r="420" spans="1:6" x14ac:dyDescent="0.25">
      <c r="A420" s="3">
        <v>68817800</v>
      </c>
      <c r="B420" s="3">
        <v>1352</v>
      </c>
      <c r="C420" s="24">
        <v>6665</v>
      </c>
      <c r="D420" s="4">
        <v>46078</v>
      </c>
      <c r="E420" t="str">
        <f>VLOOKUP($A420,Sheet4!$A:$B,2,0)</f>
        <v>BR Coffee 6 1.5QT</v>
      </c>
      <c r="F420" s="3" t="s">
        <v>8</v>
      </c>
    </row>
    <row r="421" spans="1:6" x14ac:dyDescent="0.25">
      <c r="A421" s="3">
        <v>68817800</v>
      </c>
      <c r="B421" s="3">
        <v>1352</v>
      </c>
      <c r="C421" s="24">
        <v>6</v>
      </c>
      <c r="D421" s="4">
        <v>46079</v>
      </c>
      <c r="E421" t="str">
        <f>VLOOKUP($A421,Sheet4!$A:$B,2,0)</f>
        <v>BR Coffee 6 1.5QT</v>
      </c>
      <c r="F421" s="3" t="s">
        <v>8</v>
      </c>
    </row>
    <row r="422" spans="1:6" x14ac:dyDescent="0.25">
      <c r="A422" s="3">
        <v>68817800</v>
      </c>
      <c r="B422" s="3">
        <v>1352</v>
      </c>
      <c r="C422" s="24">
        <v>5010</v>
      </c>
      <c r="D422" s="4">
        <v>46078</v>
      </c>
      <c r="E422" t="str">
        <f>VLOOKUP($A422,Sheet4!$A:$B,2,0)</f>
        <v>BR Coffee 6 1.5QT</v>
      </c>
      <c r="F422" s="3" t="s">
        <v>8</v>
      </c>
    </row>
    <row r="423" spans="1:6" x14ac:dyDescent="0.25">
      <c r="A423" s="3">
        <v>68817800</v>
      </c>
      <c r="B423" s="3">
        <v>1352</v>
      </c>
      <c r="C423" s="24">
        <v>9025</v>
      </c>
      <c r="D423" s="4">
        <v>46079</v>
      </c>
      <c r="E423" t="str">
        <f>VLOOKUP($A423,Sheet4!$A:$B,2,0)</f>
        <v>BR Coffee 6 1.5QT</v>
      </c>
      <c r="F423" s="3" t="s">
        <v>8</v>
      </c>
    </row>
    <row r="424" spans="1:6" x14ac:dyDescent="0.25">
      <c r="A424" s="3">
        <v>68817801</v>
      </c>
      <c r="B424" s="3">
        <v>1352</v>
      </c>
      <c r="C424" s="24">
        <v>7561</v>
      </c>
      <c r="D424" s="4">
        <v>46088</v>
      </c>
      <c r="E424" t="str">
        <f>VLOOKUP($A424,Sheet4!$A:$B,2,0)</f>
        <v>BR XCRMY Chocolate 6 1.5QT</v>
      </c>
      <c r="F424" s="3" t="s">
        <v>8</v>
      </c>
    </row>
    <row r="425" spans="1:6" x14ac:dyDescent="0.25">
      <c r="A425" s="3">
        <v>68817801</v>
      </c>
      <c r="B425" s="3">
        <v>1352</v>
      </c>
      <c r="C425" s="24">
        <v>7534</v>
      </c>
      <c r="D425" s="4">
        <v>46089</v>
      </c>
      <c r="E425" t="str">
        <f>VLOOKUP($A425,Sheet4!$A:$B,2,0)</f>
        <v>BR XCRMY Chocolate 6 1.5QT</v>
      </c>
      <c r="F425" s="3" t="s">
        <v>8</v>
      </c>
    </row>
    <row r="426" spans="1:6" x14ac:dyDescent="0.25">
      <c r="A426" s="3">
        <v>68817801</v>
      </c>
      <c r="B426" s="3">
        <v>1352</v>
      </c>
      <c r="C426" s="24">
        <v>4752</v>
      </c>
      <c r="D426" s="4">
        <v>46089</v>
      </c>
      <c r="E426" t="str">
        <f>VLOOKUP($A426,Sheet4!$A:$B,2,0)</f>
        <v>BR XCRMY Chocolate 6 1.5QT</v>
      </c>
      <c r="F426" s="3" t="s">
        <v>8</v>
      </c>
    </row>
    <row r="427" spans="1:6" x14ac:dyDescent="0.25">
      <c r="A427" s="3">
        <v>68817801</v>
      </c>
      <c r="B427" s="3">
        <v>1352</v>
      </c>
      <c r="C427" s="24">
        <v>5928</v>
      </c>
      <c r="D427" s="4">
        <v>46090</v>
      </c>
      <c r="E427" t="str">
        <f>VLOOKUP($A427,Sheet4!$A:$B,2,0)</f>
        <v>BR XCRMY Chocolate 6 1.5QT</v>
      </c>
      <c r="F427" s="3" t="s">
        <v>8</v>
      </c>
    </row>
    <row r="428" spans="1:6" x14ac:dyDescent="0.25">
      <c r="A428" s="3">
        <v>68850683</v>
      </c>
      <c r="B428" s="3">
        <v>1352</v>
      </c>
      <c r="C428" s="24">
        <v>3435</v>
      </c>
      <c r="D428" s="4">
        <v>46105</v>
      </c>
      <c r="E428" t="str">
        <f>VLOOKUP($A428,Sheet4!$A:$B,2,0)</f>
        <v>BR Homemade Vanilla 6-1.5QT</v>
      </c>
      <c r="F428" s="3" t="s">
        <v>8</v>
      </c>
    </row>
    <row r="429" spans="1:6" x14ac:dyDescent="0.25">
      <c r="A429" s="3">
        <v>68850683</v>
      </c>
      <c r="B429" s="3">
        <v>1352</v>
      </c>
      <c r="C429" s="24">
        <v>704</v>
      </c>
      <c r="D429" s="4">
        <v>46104</v>
      </c>
      <c r="E429" t="str">
        <f>VLOOKUP($A429,Sheet4!$A:$B,2,0)</f>
        <v>BR Homemade Vanilla 6-1.5QT</v>
      </c>
      <c r="F429" s="3" t="s">
        <v>8</v>
      </c>
    </row>
    <row r="430" spans="1:6" x14ac:dyDescent="0.25">
      <c r="A430" s="3">
        <v>68850683</v>
      </c>
      <c r="B430" s="3">
        <v>1352</v>
      </c>
      <c r="C430" s="24">
        <v>9449</v>
      </c>
      <c r="D430" s="4">
        <v>46105</v>
      </c>
      <c r="E430" t="str">
        <f>VLOOKUP($A430,Sheet4!$A:$B,2,0)</f>
        <v>BR Homemade Vanilla 6-1.5QT</v>
      </c>
      <c r="F430" s="3" t="s">
        <v>8</v>
      </c>
    </row>
    <row r="431" spans="1:6" x14ac:dyDescent="0.25">
      <c r="A431" s="3">
        <v>68850684</v>
      </c>
      <c r="B431" s="3">
        <v>1352</v>
      </c>
      <c r="C431" s="24">
        <v>7382</v>
      </c>
      <c r="D431" s="4">
        <v>46078</v>
      </c>
      <c r="E431" t="str">
        <f>VLOOKUP($A431,Sheet4!$A:$B,2,0)</f>
        <v>BR French Vanilla 6-1.5QT</v>
      </c>
      <c r="F431" s="3" t="s">
        <v>23</v>
      </c>
    </row>
    <row r="432" spans="1:6" x14ac:dyDescent="0.25">
      <c r="A432" s="3">
        <v>68850684</v>
      </c>
      <c r="B432" s="3">
        <v>1352</v>
      </c>
      <c r="C432" s="24">
        <v>8049</v>
      </c>
      <c r="D432" s="4">
        <v>46079</v>
      </c>
      <c r="E432" t="str">
        <f>VLOOKUP($A432,Sheet4!$A:$B,2,0)</f>
        <v>BR French Vanilla 6-1.5QT</v>
      </c>
      <c r="F432" s="3" t="s">
        <v>23</v>
      </c>
    </row>
    <row r="433" spans="1:6" x14ac:dyDescent="0.25">
      <c r="A433" s="3">
        <v>68850684</v>
      </c>
      <c r="B433" s="3">
        <v>1352</v>
      </c>
      <c r="C433" s="24">
        <v>166</v>
      </c>
      <c r="D433" s="4">
        <v>46084</v>
      </c>
      <c r="E433" t="str">
        <f>VLOOKUP($A433,Sheet4!$A:$B,2,0)</f>
        <v>BR French Vanilla 6-1.5QT</v>
      </c>
      <c r="F433" s="3" t="s">
        <v>23</v>
      </c>
    </row>
    <row r="434" spans="1:6" x14ac:dyDescent="0.25">
      <c r="A434" s="3">
        <v>68850684</v>
      </c>
      <c r="B434" s="3">
        <v>1352</v>
      </c>
      <c r="C434" s="24">
        <v>0</v>
      </c>
      <c r="D434" s="4">
        <v>46085</v>
      </c>
      <c r="E434" t="str">
        <f>VLOOKUP($A434,Sheet4!$A:$B,2,0)</f>
        <v>BR French Vanilla 6-1.5QT</v>
      </c>
      <c r="F434" s="3" t="s">
        <v>23</v>
      </c>
    </row>
    <row r="435" spans="1:6" x14ac:dyDescent="0.25">
      <c r="A435" s="3">
        <v>68850684</v>
      </c>
      <c r="B435" s="3">
        <v>1352</v>
      </c>
      <c r="C435" s="24">
        <v>3872</v>
      </c>
      <c r="D435" s="4">
        <v>46079</v>
      </c>
      <c r="E435" t="str">
        <f>VLOOKUP($A435,Sheet4!$A:$B,2,0)</f>
        <v>BR French Vanilla 6-1.5QT</v>
      </c>
      <c r="F435" s="3" t="s">
        <v>23</v>
      </c>
    </row>
    <row r="436" spans="1:6" x14ac:dyDescent="0.25">
      <c r="A436" s="3">
        <v>68850684</v>
      </c>
      <c r="B436" s="3">
        <v>1352</v>
      </c>
      <c r="C436" s="24">
        <v>586</v>
      </c>
      <c r="D436" s="4">
        <v>46080</v>
      </c>
      <c r="E436" t="str">
        <f>VLOOKUP($A436,Sheet4!$A:$B,2,0)</f>
        <v>BR French Vanilla 6-1.5QT</v>
      </c>
      <c r="F436" s="3" t="s">
        <v>23</v>
      </c>
    </row>
    <row r="437" spans="1:6" x14ac:dyDescent="0.25">
      <c r="A437" s="3">
        <v>68851104</v>
      </c>
      <c r="B437" s="3">
        <v>1352</v>
      </c>
      <c r="C437" s="24">
        <v>6442</v>
      </c>
      <c r="D437" s="4">
        <v>46081</v>
      </c>
      <c r="E437" t="str">
        <f>VLOOKUP($A437,Sheet4!$A:$B,2,0)</f>
        <v>BR Chocolate 6-1.5QT</v>
      </c>
      <c r="F437" s="3" t="s">
        <v>8</v>
      </c>
    </row>
    <row r="438" spans="1:6" x14ac:dyDescent="0.25">
      <c r="A438" s="3">
        <v>68851104</v>
      </c>
      <c r="B438" s="3">
        <v>1352</v>
      </c>
      <c r="C438" s="24">
        <v>4785</v>
      </c>
      <c r="D438" s="4">
        <v>46082</v>
      </c>
      <c r="E438" t="str">
        <f>VLOOKUP($A438,Sheet4!$A:$B,2,0)</f>
        <v>BR Chocolate 6-1.5QT</v>
      </c>
      <c r="F438" s="3" t="s">
        <v>8</v>
      </c>
    </row>
    <row r="439" spans="1:6" x14ac:dyDescent="0.25">
      <c r="A439" s="3">
        <v>68851104</v>
      </c>
      <c r="B439" s="3">
        <v>1352</v>
      </c>
      <c r="C439" s="24">
        <v>2390</v>
      </c>
      <c r="D439" s="4">
        <v>46082</v>
      </c>
      <c r="E439" t="str">
        <f>VLOOKUP($A439,Sheet4!$A:$B,2,0)</f>
        <v>BR Chocolate 6-1.5QT</v>
      </c>
      <c r="F439" s="3" t="s">
        <v>8</v>
      </c>
    </row>
    <row r="440" spans="1:6" x14ac:dyDescent="0.25">
      <c r="A440" s="3">
        <v>68851104</v>
      </c>
      <c r="B440" s="3">
        <v>1352</v>
      </c>
      <c r="C440" s="24">
        <v>8624</v>
      </c>
      <c r="D440" s="4">
        <v>46083</v>
      </c>
      <c r="E440" t="str">
        <f>VLOOKUP($A440,Sheet4!$A:$B,2,0)</f>
        <v>BR Chocolate 6-1.5QT</v>
      </c>
      <c r="F440" s="3" t="s">
        <v>8</v>
      </c>
    </row>
    <row r="441" spans="1:6" x14ac:dyDescent="0.25">
      <c r="A441" s="3">
        <v>68851104</v>
      </c>
      <c r="B441" s="3">
        <v>1352</v>
      </c>
      <c r="C441" s="24">
        <v>5214</v>
      </c>
      <c r="D441" s="4">
        <v>46083</v>
      </c>
      <c r="E441" t="str">
        <f>VLOOKUP($A441,Sheet4!$A:$B,2,0)</f>
        <v>BR Chocolate 6-1.5QT</v>
      </c>
      <c r="F441" s="3" t="s">
        <v>8</v>
      </c>
    </row>
    <row r="442" spans="1:6" x14ac:dyDescent="0.25">
      <c r="A442" s="3">
        <v>68851104</v>
      </c>
      <c r="B442" s="3">
        <v>1352</v>
      </c>
      <c r="C442" s="24">
        <v>9695</v>
      </c>
      <c r="D442" s="4">
        <v>46084</v>
      </c>
      <c r="E442" t="str">
        <f>VLOOKUP($A442,Sheet4!$A:$B,2,0)</f>
        <v>BR Chocolate 6-1.5QT</v>
      </c>
      <c r="F442" s="3" t="s">
        <v>8</v>
      </c>
    </row>
    <row r="443" spans="1:6" x14ac:dyDescent="0.25">
      <c r="A443" s="3">
        <v>68851104</v>
      </c>
      <c r="B443" s="3">
        <v>1352</v>
      </c>
      <c r="C443" s="24">
        <v>176</v>
      </c>
      <c r="D443" s="4">
        <v>46105</v>
      </c>
      <c r="E443" t="str">
        <f>VLOOKUP($A443,Sheet4!$A:$B,2,0)</f>
        <v>BR Chocolate 6-1.5QT</v>
      </c>
      <c r="F443" s="3" t="s">
        <v>8</v>
      </c>
    </row>
    <row r="444" spans="1:6" x14ac:dyDescent="0.25">
      <c r="A444" s="3">
        <v>68851104</v>
      </c>
      <c r="B444" s="3">
        <v>1352</v>
      </c>
      <c r="C444" s="24">
        <v>3200</v>
      </c>
      <c r="D444" s="4">
        <v>46084</v>
      </c>
      <c r="E444" t="str">
        <f>VLOOKUP($A444,Sheet4!$A:$B,2,0)</f>
        <v>BR Chocolate 6-1.5QT</v>
      </c>
      <c r="F444" s="3" t="s">
        <v>8</v>
      </c>
    </row>
    <row r="445" spans="1:6" x14ac:dyDescent="0.25">
      <c r="A445" s="3">
        <v>68851104</v>
      </c>
      <c r="B445" s="3">
        <v>1352</v>
      </c>
      <c r="C445" s="24">
        <v>6793</v>
      </c>
      <c r="D445" s="4">
        <v>46085</v>
      </c>
      <c r="E445" t="str">
        <f>VLOOKUP($A445,Sheet4!$A:$B,2,0)</f>
        <v>BR Chocolate 6-1.5QT</v>
      </c>
      <c r="F445" s="3" t="s">
        <v>8</v>
      </c>
    </row>
    <row r="446" spans="1:6" x14ac:dyDescent="0.25">
      <c r="A446" s="3">
        <v>68851104</v>
      </c>
      <c r="B446" s="3">
        <v>1352</v>
      </c>
      <c r="C446" s="24">
        <v>0</v>
      </c>
      <c r="D446" s="4">
        <v>46093</v>
      </c>
      <c r="E446" t="str">
        <f>VLOOKUP($A446,Sheet4!$A:$B,2,0)</f>
        <v>BR Chocolate 6-1.5QT</v>
      </c>
      <c r="F446" s="3" t="s">
        <v>8</v>
      </c>
    </row>
    <row r="447" spans="1:6" x14ac:dyDescent="0.25">
      <c r="A447" s="3">
        <v>68851104</v>
      </c>
      <c r="B447" s="3">
        <v>1352</v>
      </c>
      <c r="C447" s="24">
        <v>5177</v>
      </c>
      <c r="D447" s="4">
        <v>46103</v>
      </c>
      <c r="E447" t="str">
        <f>VLOOKUP($A447,Sheet4!$A:$B,2,0)</f>
        <v>BR Chocolate 6-1.5QT</v>
      </c>
      <c r="F447" s="3" t="s">
        <v>8</v>
      </c>
    </row>
    <row r="448" spans="1:6" x14ac:dyDescent="0.25">
      <c r="A448" s="3">
        <v>68851104</v>
      </c>
      <c r="B448" s="3">
        <v>1352</v>
      </c>
      <c r="C448" s="24">
        <v>4543</v>
      </c>
      <c r="D448" s="4">
        <v>46104</v>
      </c>
      <c r="E448" t="str">
        <f>VLOOKUP($A448,Sheet4!$A:$B,2,0)</f>
        <v>BR Chocolate 6-1.5QT</v>
      </c>
      <c r="F448" s="3" t="s">
        <v>8</v>
      </c>
    </row>
    <row r="449" spans="1:6" x14ac:dyDescent="0.25">
      <c r="A449" s="3">
        <v>68851104</v>
      </c>
      <c r="B449" s="3">
        <v>1352</v>
      </c>
      <c r="C449" s="24">
        <v>11379</v>
      </c>
      <c r="D449" s="4">
        <v>46099</v>
      </c>
      <c r="E449" t="str">
        <f>VLOOKUP($A449,Sheet4!$A:$B,2,0)</f>
        <v>BR Chocolate 6-1.5QT</v>
      </c>
      <c r="F449" s="3" t="s">
        <v>8</v>
      </c>
    </row>
    <row r="450" spans="1:6" x14ac:dyDescent="0.25">
      <c r="A450" s="3">
        <v>68851104</v>
      </c>
      <c r="B450" s="3">
        <v>1352</v>
      </c>
      <c r="C450" s="24">
        <v>12486</v>
      </c>
      <c r="D450" s="4">
        <v>46102</v>
      </c>
      <c r="E450" t="str">
        <f>VLOOKUP($A450,Sheet4!$A:$B,2,0)</f>
        <v>BR Chocolate 6-1.5QT</v>
      </c>
      <c r="F450" s="3" t="s">
        <v>8</v>
      </c>
    </row>
    <row r="451" spans="1:6" x14ac:dyDescent="0.25">
      <c r="A451" s="3">
        <v>68851104</v>
      </c>
      <c r="B451" s="3">
        <v>1352</v>
      </c>
      <c r="C451" s="24">
        <v>9061</v>
      </c>
      <c r="D451" s="4">
        <v>46103</v>
      </c>
      <c r="E451" t="str">
        <f>VLOOKUP($A451,Sheet4!$A:$B,2,0)</f>
        <v>BR Chocolate 6-1.5QT</v>
      </c>
      <c r="F451" s="3" t="s">
        <v>8</v>
      </c>
    </row>
    <row r="452" spans="1:6" x14ac:dyDescent="0.25">
      <c r="A452" s="3">
        <v>68851104</v>
      </c>
      <c r="B452" s="3">
        <v>1352</v>
      </c>
      <c r="C452" s="24">
        <v>4663</v>
      </c>
      <c r="D452" s="4">
        <v>46086</v>
      </c>
      <c r="E452" t="str">
        <f>VLOOKUP($A452,Sheet4!$A:$B,2,0)</f>
        <v>BR Chocolate 6-1.5QT</v>
      </c>
      <c r="F452" s="3" t="s">
        <v>8</v>
      </c>
    </row>
    <row r="453" spans="1:6" x14ac:dyDescent="0.25">
      <c r="A453" s="3">
        <v>68851104</v>
      </c>
      <c r="B453" s="3">
        <v>1352</v>
      </c>
      <c r="C453" s="24">
        <v>8442</v>
      </c>
      <c r="D453" s="4">
        <v>46087</v>
      </c>
      <c r="E453" t="str">
        <f>VLOOKUP($A453,Sheet4!$A:$B,2,0)</f>
        <v>BR Chocolate 6-1.5QT</v>
      </c>
      <c r="F453" s="3" t="s">
        <v>8</v>
      </c>
    </row>
    <row r="454" spans="1:6" x14ac:dyDescent="0.25">
      <c r="A454" s="3">
        <v>68851104</v>
      </c>
      <c r="B454" s="3">
        <v>1352</v>
      </c>
      <c r="C454" s="24">
        <v>4752</v>
      </c>
      <c r="D454" s="4">
        <v>46087</v>
      </c>
      <c r="E454" t="str">
        <f>VLOOKUP($A454,Sheet4!$A:$B,2,0)</f>
        <v>BR Chocolate 6-1.5QT</v>
      </c>
      <c r="F454" s="3" t="s">
        <v>8</v>
      </c>
    </row>
    <row r="455" spans="1:6" x14ac:dyDescent="0.25">
      <c r="A455" s="3">
        <v>68851104</v>
      </c>
      <c r="B455" s="3">
        <v>1352</v>
      </c>
      <c r="C455" s="24">
        <v>4324</v>
      </c>
      <c r="D455" s="4">
        <v>46088</v>
      </c>
      <c r="E455" t="str">
        <f>VLOOKUP($A455,Sheet4!$A:$B,2,0)</f>
        <v>BR Chocolate 6-1.5QT</v>
      </c>
      <c r="F455" s="3" t="s">
        <v>8</v>
      </c>
    </row>
    <row r="456" spans="1:6" x14ac:dyDescent="0.25">
      <c r="A456" s="3">
        <v>68851104</v>
      </c>
      <c r="B456" s="3">
        <v>1352</v>
      </c>
      <c r="C456" s="24">
        <v>3831</v>
      </c>
      <c r="D456" s="4">
        <v>46085</v>
      </c>
      <c r="E456" t="str">
        <f>VLOOKUP($A456,Sheet4!$A:$B,2,0)</f>
        <v>BR Chocolate 6-1.5QT</v>
      </c>
      <c r="F456" s="3" t="s">
        <v>8</v>
      </c>
    </row>
    <row r="457" spans="1:6" x14ac:dyDescent="0.25">
      <c r="A457" s="3">
        <v>68851104</v>
      </c>
      <c r="B457" s="3">
        <v>1352</v>
      </c>
      <c r="C457" s="24">
        <v>3838</v>
      </c>
      <c r="D457" s="4">
        <v>46086</v>
      </c>
      <c r="E457" t="str">
        <f>VLOOKUP($A457,Sheet4!$A:$B,2,0)</f>
        <v>BR Chocolate 6-1.5QT</v>
      </c>
      <c r="F457" s="3" t="s">
        <v>8</v>
      </c>
    </row>
    <row r="458" spans="1:6" x14ac:dyDescent="0.25">
      <c r="A458" s="3">
        <v>68851104</v>
      </c>
      <c r="B458" s="3">
        <v>1352</v>
      </c>
      <c r="C458" s="24">
        <v>33</v>
      </c>
      <c r="D458" s="4">
        <v>46093</v>
      </c>
      <c r="E458" t="str">
        <f>VLOOKUP($A458,Sheet4!$A:$B,2,0)</f>
        <v>BR Chocolate 6-1.5QT</v>
      </c>
      <c r="F458" s="3" t="s">
        <v>8</v>
      </c>
    </row>
    <row r="459" spans="1:6" x14ac:dyDescent="0.25">
      <c r="A459" s="3">
        <v>68851104</v>
      </c>
      <c r="B459" s="3">
        <v>1352</v>
      </c>
      <c r="C459" s="24">
        <v>165</v>
      </c>
      <c r="D459" s="4">
        <v>46105</v>
      </c>
      <c r="E459" t="str">
        <f>VLOOKUP($A459,Sheet4!$A:$B,2,0)</f>
        <v>BR Chocolate 6-1.5QT</v>
      </c>
      <c r="F459" s="3" t="s">
        <v>8</v>
      </c>
    </row>
    <row r="460" spans="1:6" x14ac:dyDescent="0.25">
      <c r="A460" s="3">
        <v>68851104</v>
      </c>
      <c r="B460" s="3">
        <v>1352</v>
      </c>
      <c r="C460" s="24">
        <v>6378</v>
      </c>
      <c r="D460" s="4">
        <v>46076</v>
      </c>
      <c r="E460" t="str">
        <f>VLOOKUP($A460,Sheet4!$A:$B,2,0)</f>
        <v>BR Chocolate 6-1.5QT</v>
      </c>
      <c r="F460" s="3" t="s">
        <v>8</v>
      </c>
    </row>
    <row r="461" spans="1:6" x14ac:dyDescent="0.25">
      <c r="A461" s="3">
        <v>68851104</v>
      </c>
      <c r="B461" s="3">
        <v>1352</v>
      </c>
      <c r="C461" s="24">
        <v>148</v>
      </c>
      <c r="D461" s="4">
        <v>46076</v>
      </c>
      <c r="E461" t="str">
        <f>VLOOKUP($A461,Sheet4!$A:$B,2,0)</f>
        <v>BR Chocolate 6-1.5QT</v>
      </c>
      <c r="F461" s="3" t="s">
        <v>8</v>
      </c>
    </row>
    <row r="462" spans="1:6" x14ac:dyDescent="0.25">
      <c r="A462" s="3">
        <v>68851104</v>
      </c>
      <c r="B462" s="3">
        <v>1352</v>
      </c>
      <c r="C462" s="24">
        <v>9284</v>
      </c>
      <c r="D462" s="4">
        <v>46077</v>
      </c>
      <c r="E462" t="str">
        <f>VLOOKUP($A462,Sheet4!$A:$B,2,0)</f>
        <v>BR Chocolate 6-1.5QT</v>
      </c>
      <c r="F462" s="3" t="s">
        <v>8</v>
      </c>
    </row>
    <row r="463" spans="1:6" x14ac:dyDescent="0.25">
      <c r="A463" s="3">
        <v>68851104</v>
      </c>
      <c r="B463" s="3">
        <v>1352</v>
      </c>
      <c r="C463" s="24">
        <v>0</v>
      </c>
      <c r="D463" s="4">
        <v>46079</v>
      </c>
      <c r="E463" t="str">
        <f>VLOOKUP($A463,Sheet4!$A:$B,2,0)</f>
        <v>BR Chocolate 6-1.5QT</v>
      </c>
      <c r="F463" s="3" t="s">
        <v>8</v>
      </c>
    </row>
    <row r="464" spans="1:6" x14ac:dyDescent="0.25">
      <c r="A464" s="3">
        <v>68851104</v>
      </c>
      <c r="B464" s="3">
        <v>1352</v>
      </c>
      <c r="C464" s="24">
        <v>-148</v>
      </c>
      <c r="D464" s="4">
        <v>46082</v>
      </c>
      <c r="E464" t="str">
        <f>VLOOKUP($A464,Sheet4!$A:$B,2,0)</f>
        <v>BR Chocolate 6-1.5QT</v>
      </c>
      <c r="F464" s="3" t="s">
        <v>8</v>
      </c>
    </row>
    <row r="465" spans="1:6" x14ac:dyDescent="0.25">
      <c r="A465" s="3">
        <v>68851104</v>
      </c>
      <c r="B465" s="3">
        <v>1352</v>
      </c>
      <c r="C465" s="24">
        <v>126</v>
      </c>
      <c r="D465" s="4">
        <v>46090</v>
      </c>
      <c r="E465" t="str">
        <f>VLOOKUP($A465,Sheet4!$A:$B,2,0)</f>
        <v>BR Chocolate 6-1.5QT</v>
      </c>
      <c r="F465" s="3" t="s">
        <v>8</v>
      </c>
    </row>
    <row r="466" spans="1:6" x14ac:dyDescent="0.25">
      <c r="A466" s="3">
        <v>68851104</v>
      </c>
      <c r="B466" s="3">
        <v>1352</v>
      </c>
      <c r="C466" s="24">
        <v>5104</v>
      </c>
      <c r="D466" s="4">
        <v>46077</v>
      </c>
      <c r="E466" t="str">
        <f>VLOOKUP($A466,Sheet4!$A:$B,2,0)</f>
        <v>BR Chocolate 6-1.5QT</v>
      </c>
      <c r="F466" s="3" t="s">
        <v>8</v>
      </c>
    </row>
    <row r="467" spans="1:6" x14ac:dyDescent="0.25">
      <c r="A467" s="3">
        <v>68851104</v>
      </c>
      <c r="B467" s="3">
        <v>1352</v>
      </c>
      <c r="C467" s="24">
        <v>2402</v>
      </c>
      <c r="D467" s="4">
        <v>46078</v>
      </c>
      <c r="E467" t="str">
        <f>VLOOKUP($A467,Sheet4!$A:$B,2,0)</f>
        <v>BR Chocolate 6-1.5QT</v>
      </c>
      <c r="F467" s="3" t="s">
        <v>8</v>
      </c>
    </row>
    <row r="468" spans="1:6" x14ac:dyDescent="0.25">
      <c r="A468" s="3">
        <v>68851104</v>
      </c>
      <c r="B468" s="3">
        <v>1352</v>
      </c>
      <c r="C468" s="24">
        <v>5913</v>
      </c>
      <c r="D468" s="4">
        <v>46099</v>
      </c>
      <c r="E468" t="str">
        <f>VLOOKUP($A468,Sheet4!$A:$B,2,0)</f>
        <v>BR Chocolate 6-1.5QT</v>
      </c>
      <c r="F468" s="3" t="s">
        <v>8</v>
      </c>
    </row>
    <row r="469" spans="1:6" x14ac:dyDescent="0.25">
      <c r="A469" s="3">
        <v>68851104</v>
      </c>
      <c r="B469" s="3">
        <v>1352</v>
      </c>
      <c r="C469" s="24">
        <v>9877</v>
      </c>
      <c r="D469" s="4">
        <v>46100</v>
      </c>
      <c r="E469" t="str">
        <f>VLOOKUP($A469,Sheet4!$A:$B,2,0)</f>
        <v>BR Chocolate 6-1.5QT</v>
      </c>
      <c r="F469" s="3" t="s">
        <v>8</v>
      </c>
    </row>
    <row r="470" spans="1:6" x14ac:dyDescent="0.25">
      <c r="A470" s="3">
        <v>68851104</v>
      </c>
      <c r="B470" s="3">
        <v>1352</v>
      </c>
      <c r="C470" s="24">
        <v>6512</v>
      </c>
      <c r="D470" s="4">
        <v>46100</v>
      </c>
      <c r="E470" t="str">
        <f>VLOOKUP($A470,Sheet4!$A:$B,2,0)</f>
        <v>BR Chocolate 6-1.5QT</v>
      </c>
      <c r="F470" s="3" t="s">
        <v>8</v>
      </c>
    </row>
    <row r="471" spans="1:6" x14ac:dyDescent="0.25">
      <c r="A471" s="3">
        <v>68851104</v>
      </c>
      <c r="B471" s="3">
        <v>1352</v>
      </c>
      <c r="C471" s="24">
        <v>9204</v>
      </c>
      <c r="D471" s="4">
        <v>46101</v>
      </c>
      <c r="E471" t="str">
        <f>VLOOKUP($A471,Sheet4!$A:$B,2,0)</f>
        <v>BR Chocolate 6-1.5QT</v>
      </c>
      <c r="F471" s="3" t="s">
        <v>8</v>
      </c>
    </row>
    <row r="472" spans="1:6" x14ac:dyDescent="0.25">
      <c r="A472" s="3">
        <v>68851107</v>
      </c>
      <c r="B472" s="3">
        <v>1352</v>
      </c>
      <c r="C472" s="24">
        <v>0</v>
      </c>
      <c r="D472" s="4">
        <v>46078</v>
      </c>
      <c r="E472" t="str">
        <f>VLOOKUP($A472,Sheet4!$A:$B,2,0)</f>
        <v>BR NAT Vanilla 6-1.5QT</v>
      </c>
      <c r="F472" s="3" t="s">
        <v>23</v>
      </c>
    </row>
    <row r="473" spans="1:6" x14ac:dyDescent="0.25">
      <c r="A473" s="3">
        <v>68851107</v>
      </c>
      <c r="B473" s="3">
        <v>1352</v>
      </c>
      <c r="C473" s="24">
        <v>0</v>
      </c>
      <c r="D473" s="4">
        <v>46079</v>
      </c>
      <c r="E473" t="str">
        <f>VLOOKUP($A473,Sheet4!$A:$B,2,0)</f>
        <v>BR NAT Vanilla 6-1.5QT</v>
      </c>
      <c r="F473" s="3" t="s">
        <v>23</v>
      </c>
    </row>
    <row r="474" spans="1:6" x14ac:dyDescent="0.25">
      <c r="A474" s="3">
        <v>68851107</v>
      </c>
      <c r="B474" s="3">
        <v>1352</v>
      </c>
      <c r="C474" s="24">
        <v>0</v>
      </c>
      <c r="D474" s="4">
        <v>46076</v>
      </c>
      <c r="E474" t="str">
        <f>VLOOKUP($A474,Sheet4!$A:$B,2,0)</f>
        <v>BR NAT Vanilla 6-1.5QT</v>
      </c>
      <c r="F474" s="3" t="s">
        <v>23</v>
      </c>
    </row>
    <row r="475" spans="1:6" x14ac:dyDescent="0.25">
      <c r="A475" s="3">
        <v>68851107</v>
      </c>
      <c r="B475" s="3">
        <v>1352</v>
      </c>
      <c r="C475" s="24">
        <v>0</v>
      </c>
      <c r="D475" s="4">
        <v>46079</v>
      </c>
      <c r="E475" t="str">
        <f>VLOOKUP($A475,Sheet4!$A:$B,2,0)</f>
        <v>BR NAT Vanilla 6-1.5QT</v>
      </c>
      <c r="F475" s="3" t="s">
        <v>23</v>
      </c>
    </row>
    <row r="476" spans="1:6" x14ac:dyDescent="0.25">
      <c r="A476" s="3">
        <v>68851107</v>
      </c>
      <c r="B476" s="3">
        <v>1352</v>
      </c>
      <c r="C476" s="24">
        <v>5651</v>
      </c>
      <c r="D476" s="4">
        <v>46076</v>
      </c>
      <c r="E476" t="str">
        <f>VLOOKUP($A476,Sheet4!$A:$B,2,0)</f>
        <v>BR NAT Vanilla 6-1.5QT</v>
      </c>
      <c r="F476" s="3" t="s">
        <v>23</v>
      </c>
    </row>
    <row r="477" spans="1:6" x14ac:dyDescent="0.25">
      <c r="A477" s="3">
        <v>68851107</v>
      </c>
      <c r="B477" s="3">
        <v>1352</v>
      </c>
      <c r="C477" s="24">
        <v>139</v>
      </c>
      <c r="D477" s="4">
        <v>46076</v>
      </c>
      <c r="E477" t="str">
        <f>VLOOKUP($A477,Sheet4!$A:$B,2,0)</f>
        <v>BR NAT Vanilla 6-1.5QT</v>
      </c>
      <c r="F477" s="3" t="s">
        <v>23</v>
      </c>
    </row>
    <row r="478" spans="1:6" x14ac:dyDescent="0.25">
      <c r="A478" s="3">
        <v>68851107</v>
      </c>
      <c r="B478" s="3">
        <v>1352</v>
      </c>
      <c r="C478" s="24">
        <v>9296</v>
      </c>
      <c r="D478" s="4">
        <v>46077</v>
      </c>
      <c r="E478" t="str">
        <f>VLOOKUP($A478,Sheet4!$A:$B,2,0)</f>
        <v>BR NAT Vanilla 6-1.5QT</v>
      </c>
      <c r="F478" s="3" t="s">
        <v>23</v>
      </c>
    </row>
    <row r="479" spans="1:6" x14ac:dyDescent="0.25">
      <c r="A479" s="3">
        <v>68851107</v>
      </c>
      <c r="B479" s="3">
        <v>1352</v>
      </c>
      <c r="C479" s="24">
        <v>4326</v>
      </c>
      <c r="D479" s="4">
        <v>46077</v>
      </c>
      <c r="E479" t="str">
        <f>VLOOKUP($A479,Sheet4!$A:$B,2,0)</f>
        <v>BR NAT Vanilla 6-1.5QT</v>
      </c>
      <c r="F479" s="3" t="s">
        <v>23</v>
      </c>
    </row>
    <row r="480" spans="1:6" x14ac:dyDescent="0.25">
      <c r="A480" s="3">
        <v>68851107</v>
      </c>
      <c r="B480" s="3">
        <v>1352</v>
      </c>
      <c r="C480" s="24">
        <v>6191</v>
      </c>
      <c r="D480" s="4">
        <v>46078</v>
      </c>
      <c r="E480" t="str">
        <f>VLOOKUP($A480,Sheet4!$A:$B,2,0)</f>
        <v>BR NAT Vanilla 6-1.5QT</v>
      </c>
      <c r="F480" s="3" t="s">
        <v>23</v>
      </c>
    </row>
    <row r="481" spans="1:6" x14ac:dyDescent="0.25">
      <c r="A481" s="3">
        <v>68851109</v>
      </c>
      <c r="B481" s="3">
        <v>1352</v>
      </c>
      <c r="C481" s="24">
        <v>3690</v>
      </c>
      <c r="D481" s="4">
        <v>46098</v>
      </c>
      <c r="E481" t="str">
        <f>VLOOKUP($A481,Sheet4!$A:$B,2,0)</f>
        <v>BR HA Chocolate 6-1.5QT</v>
      </c>
      <c r="F481" s="3" t="s">
        <v>8</v>
      </c>
    </row>
    <row r="482" spans="1:6" x14ac:dyDescent="0.25">
      <c r="A482" s="3">
        <v>68852591</v>
      </c>
      <c r="B482" s="3">
        <v>1352</v>
      </c>
      <c r="C482" s="24">
        <v>2376</v>
      </c>
      <c r="D482" s="4">
        <v>46083</v>
      </c>
      <c r="E482" t="str">
        <f>VLOOKUP($A482,Sheet4!$A:$B,2,0)</f>
        <v>KL Heath Bar 12-6PK</v>
      </c>
      <c r="F482" s="3" t="s">
        <v>19</v>
      </c>
    </row>
    <row r="483" spans="1:6" x14ac:dyDescent="0.25">
      <c r="A483" s="3">
        <v>68852591</v>
      </c>
      <c r="B483" s="3">
        <v>1352</v>
      </c>
      <c r="C483" s="24">
        <v>1050</v>
      </c>
      <c r="D483" s="4">
        <v>46084</v>
      </c>
      <c r="E483" t="str">
        <f>VLOOKUP($A483,Sheet4!$A:$B,2,0)</f>
        <v>KL Heath Bar 12-6PK</v>
      </c>
      <c r="F483" s="3" t="s">
        <v>19</v>
      </c>
    </row>
    <row r="484" spans="1:6" x14ac:dyDescent="0.25">
      <c r="A484" s="3">
        <v>68852591</v>
      </c>
      <c r="B484" s="3">
        <v>1352</v>
      </c>
      <c r="C484" s="24">
        <v>1980</v>
      </c>
      <c r="D484" s="4">
        <v>46084</v>
      </c>
      <c r="E484" t="str">
        <f>VLOOKUP($A484,Sheet4!$A:$B,2,0)</f>
        <v>KL Heath Bar 12-6PK</v>
      </c>
      <c r="F484" s="3" t="s">
        <v>19</v>
      </c>
    </row>
    <row r="485" spans="1:6" x14ac:dyDescent="0.25">
      <c r="A485" s="3">
        <v>68852591</v>
      </c>
      <c r="B485" s="3">
        <v>1352</v>
      </c>
      <c r="C485" s="24">
        <v>1042</v>
      </c>
      <c r="D485" s="4">
        <v>46085</v>
      </c>
      <c r="E485" t="str">
        <f>VLOOKUP($A485,Sheet4!$A:$B,2,0)</f>
        <v>KL Heath Bar 12-6PK</v>
      </c>
      <c r="F485" s="3" t="s">
        <v>19</v>
      </c>
    </row>
    <row r="486" spans="1:6" x14ac:dyDescent="0.25">
      <c r="A486" s="3">
        <v>68852591</v>
      </c>
      <c r="B486" s="3">
        <v>1352</v>
      </c>
      <c r="C486" s="24">
        <v>3036</v>
      </c>
      <c r="D486" s="4">
        <v>46085</v>
      </c>
      <c r="E486" t="str">
        <f>VLOOKUP($A486,Sheet4!$A:$B,2,0)</f>
        <v>KL Heath Bar 12-6PK</v>
      </c>
      <c r="F486" s="3" t="s">
        <v>19</v>
      </c>
    </row>
    <row r="487" spans="1:6" x14ac:dyDescent="0.25">
      <c r="A487" s="3">
        <v>68852591</v>
      </c>
      <c r="B487" s="3">
        <v>1352</v>
      </c>
      <c r="C487" s="24">
        <v>3686</v>
      </c>
      <c r="D487" s="4">
        <v>46086</v>
      </c>
      <c r="E487" t="str">
        <f>VLOOKUP($A487,Sheet4!$A:$B,2,0)</f>
        <v>KL Heath Bar 12-6PK</v>
      </c>
      <c r="F487" s="3" t="s">
        <v>19</v>
      </c>
    </row>
    <row r="488" spans="1:6" x14ac:dyDescent="0.25">
      <c r="A488" s="3">
        <v>68852591</v>
      </c>
      <c r="B488" s="3">
        <v>1352</v>
      </c>
      <c r="C488" s="24">
        <v>2376</v>
      </c>
      <c r="D488" s="4">
        <v>46087</v>
      </c>
      <c r="E488" t="str">
        <f>VLOOKUP($A488,Sheet4!$A:$B,2,0)</f>
        <v>KL Heath Bar 12-6PK</v>
      </c>
      <c r="F488" s="3" t="s">
        <v>19</v>
      </c>
    </row>
    <row r="489" spans="1:6" x14ac:dyDescent="0.25">
      <c r="A489" s="3">
        <v>68852591</v>
      </c>
      <c r="B489" s="3">
        <v>1352</v>
      </c>
      <c r="C489" s="24">
        <v>3523</v>
      </c>
      <c r="D489" s="4">
        <v>46088</v>
      </c>
      <c r="E489" t="str">
        <f>VLOOKUP($A489,Sheet4!$A:$B,2,0)</f>
        <v>KL Heath Bar 12-6PK</v>
      </c>
      <c r="F489" s="3" t="s">
        <v>19</v>
      </c>
    </row>
    <row r="490" spans="1:6" x14ac:dyDescent="0.25">
      <c r="A490" s="3">
        <v>68852591</v>
      </c>
      <c r="B490" s="3">
        <v>1352</v>
      </c>
      <c r="C490" s="24">
        <v>2244</v>
      </c>
      <c r="D490" s="4">
        <v>46088</v>
      </c>
      <c r="E490" t="str">
        <f>VLOOKUP($A490,Sheet4!$A:$B,2,0)</f>
        <v>KL Heath Bar 12-6PK</v>
      </c>
      <c r="F490" s="3" t="s">
        <v>19</v>
      </c>
    </row>
    <row r="491" spans="1:6" x14ac:dyDescent="0.25">
      <c r="A491" s="3">
        <v>68852591</v>
      </c>
      <c r="B491" s="3">
        <v>1352</v>
      </c>
      <c r="C491" s="24">
        <v>2053</v>
      </c>
      <c r="D491" s="4">
        <v>46089</v>
      </c>
      <c r="E491" t="str">
        <f>VLOOKUP($A491,Sheet4!$A:$B,2,0)</f>
        <v>KL Heath Bar 12-6PK</v>
      </c>
      <c r="F491" s="3" t="s">
        <v>19</v>
      </c>
    </row>
    <row r="492" spans="1:6" x14ac:dyDescent="0.25">
      <c r="A492" s="3">
        <v>68852591</v>
      </c>
      <c r="B492" s="3">
        <v>1352</v>
      </c>
      <c r="C492" s="24">
        <v>699</v>
      </c>
      <c r="D492" s="4">
        <v>46076</v>
      </c>
      <c r="E492" t="str">
        <f>VLOOKUP($A492,Sheet4!$A:$B,2,0)</f>
        <v>KL Heath Bar 12-6PK</v>
      </c>
      <c r="F492" s="3" t="s">
        <v>19</v>
      </c>
    </row>
    <row r="493" spans="1:6" x14ac:dyDescent="0.25">
      <c r="A493" s="3">
        <v>68852591</v>
      </c>
      <c r="B493" s="3">
        <v>1352</v>
      </c>
      <c r="C493" s="24">
        <v>231</v>
      </c>
      <c r="D493" s="4">
        <v>46077</v>
      </c>
      <c r="E493" t="str">
        <f>VLOOKUP($A493,Sheet4!$A:$B,2,0)</f>
        <v>KL Heath Bar 12-6PK</v>
      </c>
      <c r="F493" s="3" t="s">
        <v>19</v>
      </c>
    </row>
    <row r="494" spans="1:6" x14ac:dyDescent="0.25">
      <c r="A494" s="3">
        <v>68852591</v>
      </c>
      <c r="B494" s="3">
        <v>1352</v>
      </c>
      <c r="C494" s="24">
        <v>2376</v>
      </c>
      <c r="D494" s="4">
        <v>46077</v>
      </c>
      <c r="E494" t="str">
        <f>VLOOKUP($A494,Sheet4!$A:$B,2,0)</f>
        <v>KL Heath Bar 12-6PK</v>
      </c>
      <c r="F494" s="3" t="s">
        <v>19</v>
      </c>
    </row>
    <row r="495" spans="1:6" x14ac:dyDescent="0.25">
      <c r="A495" s="3">
        <v>68852591</v>
      </c>
      <c r="B495" s="3">
        <v>1352</v>
      </c>
      <c r="C495" s="24">
        <v>4195</v>
      </c>
      <c r="D495" s="4">
        <v>46078</v>
      </c>
      <c r="E495" t="str">
        <f>VLOOKUP($A495,Sheet4!$A:$B,2,0)</f>
        <v>KL Heath Bar 12-6PK</v>
      </c>
      <c r="F495" s="3" t="s">
        <v>19</v>
      </c>
    </row>
    <row r="496" spans="1:6" x14ac:dyDescent="0.25">
      <c r="A496" s="3">
        <v>68852591</v>
      </c>
      <c r="B496" s="3">
        <v>1352</v>
      </c>
      <c r="C496" s="24">
        <v>2376</v>
      </c>
      <c r="D496" s="4">
        <v>46078</v>
      </c>
      <c r="E496" t="str">
        <f>VLOOKUP($A496,Sheet4!$A:$B,2,0)</f>
        <v>KL Heath Bar 12-6PK</v>
      </c>
      <c r="F496" s="3" t="s">
        <v>19</v>
      </c>
    </row>
    <row r="497" spans="1:6" x14ac:dyDescent="0.25">
      <c r="A497" s="3">
        <v>68852591</v>
      </c>
      <c r="B497" s="3">
        <v>1352</v>
      </c>
      <c r="C497" s="24">
        <v>3526</v>
      </c>
      <c r="D497" s="4">
        <v>46079</v>
      </c>
      <c r="E497" t="str">
        <f>VLOOKUP($A497,Sheet4!$A:$B,2,0)</f>
        <v>KL Heath Bar 12-6PK</v>
      </c>
      <c r="F497" s="3" t="s">
        <v>19</v>
      </c>
    </row>
    <row r="498" spans="1:6" x14ac:dyDescent="0.25">
      <c r="A498" s="3">
        <v>68852591</v>
      </c>
      <c r="B498" s="3">
        <v>1352</v>
      </c>
      <c r="C498" s="24">
        <v>3036</v>
      </c>
      <c r="D498" s="4">
        <v>46079</v>
      </c>
      <c r="E498" t="str">
        <f>VLOOKUP($A498,Sheet4!$A:$B,2,0)</f>
        <v>KL Heath Bar 12-6PK</v>
      </c>
      <c r="F498" s="3" t="s">
        <v>19</v>
      </c>
    </row>
    <row r="499" spans="1:6" x14ac:dyDescent="0.25">
      <c r="A499" s="3">
        <v>68852591</v>
      </c>
      <c r="B499" s="3">
        <v>1352</v>
      </c>
      <c r="C499" s="24">
        <v>3468</v>
      </c>
      <c r="D499" s="4">
        <v>46080</v>
      </c>
      <c r="E499" t="str">
        <f>VLOOKUP($A499,Sheet4!$A:$B,2,0)</f>
        <v>KL Heath Bar 12-6PK</v>
      </c>
      <c r="F499" s="3" t="s">
        <v>19</v>
      </c>
    </row>
    <row r="500" spans="1:6" x14ac:dyDescent="0.25">
      <c r="A500" s="3">
        <v>68852591</v>
      </c>
      <c r="B500" s="3">
        <v>1352</v>
      </c>
      <c r="C500" s="24">
        <v>2386</v>
      </c>
      <c r="D500" s="4">
        <v>46080</v>
      </c>
      <c r="E500" t="str">
        <f>VLOOKUP($A500,Sheet4!$A:$B,2,0)</f>
        <v>KL Heath Bar 12-6PK</v>
      </c>
      <c r="F500" s="3" t="s">
        <v>19</v>
      </c>
    </row>
    <row r="501" spans="1:6" x14ac:dyDescent="0.25">
      <c r="A501" s="3">
        <v>68852591</v>
      </c>
      <c r="B501" s="3">
        <v>1352</v>
      </c>
      <c r="C501" s="24">
        <v>2508</v>
      </c>
      <c r="D501" s="4">
        <v>46081</v>
      </c>
      <c r="E501" t="str">
        <f>VLOOKUP($A501,Sheet4!$A:$B,2,0)</f>
        <v>KL Heath Bar 12-6PK</v>
      </c>
      <c r="F501" s="3" t="s">
        <v>19</v>
      </c>
    </row>
    <row r="502" spans="1:6" x14ac:dyDescent="0.25">
      <c r="A502" s="3">
        <v>68852591</v>
      </c>
      <c r="B502" s="3">
        <v>1352</v>
      </c>
      <c r="C502" s="24">
        <v>2334</v>
      </c>
      <c r="D502" s="4">
        <v>46082</v>
      </c>
      <c r="E502" t="str">
        <f>VLOOKUP($A502,Sheet4!$A:$B,2,0)</f>
        <v>KL Heath Bar 12-6PK</v>
      </c>
      <c r="F502" s="3" t="s">
        <v>19</v>
      </c>
    </row>
    <row r="503" spans="1:6" x14ac:dyDescent="0.25">
      <c r="A503" s="3">
        <v>68852591</v>
      </c>
      <c r="B503" s="3">
        <v>1352</v>
      </c>
      <c r="C503" s="24">
        <v>262</v>
      </c>
      <c r="D503" s="4">
        <v>46093</v>
      </c>
      <c r="E503" t="str">
        <f>VLOOKUP($A503,Sheet4!$A:$B,2,0)</f>
        <v>KL Heath Bar 12-6PK</v>
      </c>
      <c r="F503" s="3" t="s">
        <v>19</v>
      </c>
    </row>
    <row r="504" spans="1:6" x14ac:dyDescent="0.25">
      <c r="A504" s="3">
        <v>68852591</v>
      </c>
      <c r="B504" s="3">
        <v>1352</v>
      </c>
      <c r="C504" s="24">
        <v>2244</v>
      </c>
      <c r="D504" s="4">
        <v>46082</v>
      </c>
      <c r="E504" t="str">
        <f>VLOOKUP($A504,Sheet4!$A:$B,2,0)</f>
        <v>KL Heath Bar 12-6PK</v>
      </c>
      <c r="F504" s="3" t="s">
        <v>19</v>
      </c>
    </row>
    <row r="505" spans="1:6" x14ac:dyDescent="0.25">
      <c r="A505" s="3">
        <v>68852591</v>
      </c>
      <c r="B505" s="3">
        <v>1352</v>
      </c>
      <c r="C505" s="24">
        <v>2153</v>
      </c>
      <c r="D505" s="4">
        <v>46083</v>
      </c>
      <c r="E505" t="str">
        <f>VLOOKUP($A505,Sheet4!$A:$B,2,0)</f>
        <v>KL Heath Bar 12-6PK</v>
      </c>
      <c r="F505" s="3" t="s">
        <v>19</v>
      </c>
    </row>
    <row r="506" spans="1:6" x14ac:dyDescent="0.25">
      <c r="A506" s="3">
        <v>68852591</v>
      </c>
      <c r="B506" s="3">
        <v>1352</v>
      </c>
      <c r="C506" s="24">
        <v>2772</v>
      </c>
      <c r="D506" s="4">
        <v>46086</v>
      </c>
      <c r="E506" t="str">
        <f>VLOOKUP($A506,Sheet4!$A:$B,2,0)</f>
        <v>KL Heath Bar 12-6PK</v>
      </c>
      <c r="F506" s="3" t="s">
        <v>19</v>
      </c>
    </row>
    <row r="507" spans="1:6" x14ac:dyDescent="0.25">
      <c r="A507" s="3">
        <v>68852591</v>
      </c>
      <c r="B507" s="3">
        <v>1352</v>
      </c>
      <c r="C507" s="24">
        <v>3703</v>
      </c>
      <c r="D507" s="4">
        <v>46087</v>
      </c>
      <c r="E507" t="str">
        <f>VLOOKUP($A507,Sheet4!$A:$B,2,0)</f>
        <v>KL Heath Bar 12-6PK</v>
      </c>
      <c r="F507" s="3" t="s">
        <v>19</v>
      </c>
    </row>
    <row r="508" spans="1:6" x14ac:dyDescent="0.25">
      <c r="A508" s="3">
        <v>68852591</v>
      </c>
      <c r="B508" s="3">
        <v>1352</v>
      </c>
      <c r="C508" s="24">
        <v>2430</v>
      </c>
      <c r="D508" s="4">
        <v>46076</v>
      </c>
      <c r="E508" t="str">
        <f>VLOOKUP($A508,Sheet4!$A:$B,2,0)</f>
        <v>KL Heath Bar 12-6PK</v>
      </c>
      <c r="F508" s="3" t="s">
        <v>19</v>
      </c>
    </row>
    <row r="509" spans="1:6" x14ac:dyDescent="0.25">
      <c r="A509" s="3">
        <v>68852591</v>
      </c>
      <c r="B509" s="3">
        <v>1352</v>
      </c>
      <c r="C509" s="24">
        <v>3960</v>
      </c>
      <c r="D509" s="4">
        <v>46077</v>
      </c>
      <c r="E509" t="str">
        <f>VLOOKUP($A509,Sheet4!$A:$B,2,0)</f>
        <v>KL Heath Bar 12-6PK</v>
      </c>
      <c r="F509" s="3" t="s">
        <v>19</v>
      </c>
    </row>
    <row r="510" spans="1:6" x14ac:dyDescent="0.25">
      <c r="A510" s="3">
        <v>68852591</v>
      </c>
      <c r="B510" s="3">
        <v>1352</v>
      </c>
      <c r="C510" s="24">
        <v>2037</v>
      </c>
      <c r="D510" s="4">
        <v>46081</v>
      </c>
      <c r="E510" t="str">
        <f>VLOOKUP($A510,Sheet4!$A:$B,2,0)</f>
        <v>KL Heath Bar 12-6PK</v>
      </c>
      <c r="F510" s="3" t="s">
        <v>19</v>
      </c>
    </row>
    <row r="511" spans="1:6" x14ac:dyDescent="0.25">
      <c r="A511" s="3">
        <v>68881268</v>
      </c>
      <c r="B511" s="3">
        <v>1352</v>
      </c>
      <c r="C511" s="24">
        <v>5591</v>
      </c>
      <c r="D511" s="4">
        <v>46080</v>
      </c>
      <c r="E511" t="str">
        <f>VLOOKUP($A511,Sheet4!$A:$B,2,0)</f>
        <v>BR HA Cookies and Cream 6 1.5QT</v>
      </c>
      <c r="F511" s="3" t="s">
        <v>23</v>
      </c>
    </row>
    <row r="512" spans="1:6" x14ac:dyDescent="0.25">
      <c r="A512" s="3">
        <v>68881268</v>
      </c>
      <c r="B512" s="3">
        <v>1352</v>
      </c>
      <c r="C512" s="24">
        <v>573</v>
      </c>
      <c r="D512" s="4">
        <v>46081</v>
      </c>
      <c r="E512" t="str">
        <f>VLOOKUP($A512,Sheet4!$A:$B,2,0)</f>
        <v>BR HA Cookies and Cream 6 1.5QT</v>
      </c>
      <c r="F512" s="3" t="s">
        <v>23</v>
      </c>
    </row>
    <row r="513" spans="1:6" x14ac:dyDescent="0.25">
      <c r="A513" s="3">
        <v>68881268</v>
      </c>
      <c r="B513" s="3">
        <v>1352</v>
      </c>
      <c r="C513" s="24">
        <v>2475</v>
      </c>
      <c r="D513" s="4">
        <v>46095</v>
      </c>
      <c r="E513" t="str">
        <f>VLOOKUP($A513,Sheet4!$A:$B,2,0)</f>
        <v>BR HA Cookies and Cream 6 1.5QT</v>
      </c>
      <c r="F513" s="3" t="s">
        <v>25</v>
      </c>
    </row>
    <row r="514" spans="1:6" x14ac:dyDescent="0.25">
      <c r="A514" s="3">
        <v>68881268</v>
      </c>
      <c r="B514" s="3">
        <v>1352</v>
      </c>
      <c r="C514" s="24">
        <v>1796</v>
      </c>
      <c r="D514" s="4">
        <v>46096</v>
      </c>
      <c r="E514" t="str">
        <f>VLOOKUP($A514,Sheet4!$A:$B,2,0)</f>
        <v>BR HA Cookies and Cream 6 1.5QT</v>
      </c>
      <c r="F514" s="3" t="s">
        <v>25</v>
      </c>
    </row>
    <row r="515" spans="1:6" x14ac:dyDescent="0.25">
      <c r="A515" s="3">
        <v>68881268</v>
      </c>
      <c r="B515" s="3">
        <v>1352</v>
      </c>
      <c r="C515" s="24">
        <v>5646</v>
      </c>
      <c r="D515" s="4">
        <v>46085</v>
      </c>
      <c r="E515" t="str">
        <f>VLOOKUP($A515,Sheet4!$A:$B,2,0)</f>
        <v>BR HA Cookies and Cream 6 1.5QT</v>
      </c>
      <c r="F515" s="3" t="s">
        <v>25</v>
      </c>
    </row>
    <row r="516" spans="1:6" x14ac:dyDescent="0.25">
      <c r="A516" s="3">
        <v>68881268</v>
      </c>
      <c r="B516" s="3">
        <v>1352</v>
      </c>
      <c r="C516" s="24">
        <v>308</v>
      </c>
      <c r="D516" s="4">
        <v>46086</v>
      </c>
      <c r="E516" t="str">
        <f>VLOOKUP($A516,Sheet4!$A:$B,2,0)</f>
        <v>BR HA Cookies and Cream 6 1.5QT</v>
      </c>
      <c r="F516" s="3" t="s">
        <v>25</v>
      </c>
    </row>
    <row r="517" spans="1:6" x14ac:dyDescent="0.25">
      <c r="A517" s="3">
        <v>68881270</v>
      </c>
      <c r="B517" s="3">
        <v>1352</v>
      </c>
      <c r="C517" s="24">
        <v>4</v>
      </c>
      <c r="D517" s="4">
        <v>46098</v>
      </c>
      <c r="E517" t="str">
        <f>VLOOKUP($A517,Sheet4!$A:$B,2,0)</f>
        <v>BR Cookies and Cream 6 1.5QT</v>
      </c>
      <c r="F517" s="3" t="s">
        <v>23</v>
      </c>
    </row>
    <row r="518" spans="1:6" x14ac:dyDescent="0.25">
      <c r="A518" s="3">
        <v>68881270</v>
      </c>
      <c r="B518" s="3">
        <v>1352</v>
      </c>
      <c r="C518" s="24">
        <v>11</v>
      </c>
      <c r="D518" s="4">
        <v>46086</v>
      </c>
      <c r="E518" t="str">
        <f>VLOOKUP($A518,Sheet4!$A:$B,2,0)</f>
        <v>BR Cookies and Cream 6 1.5QT</v>
      </c>
      <c r="F518" s="3" t="s">
        <v>23</v>
      </c>
    </row>
    <row r="519" spans="1:6" x14ac:dyDescent="0.25">
      <c r="A519" s="3">
        <v>68881270</v>
      </c>
      <c r="B519" s="3">
        <v>1352</v>
      </c>
      <c r="C519" s="24">
        <v>0</v>
      </c>
      <c r="D519" s="4">
        <v>46086</v>
      </c>
      <c r="E519" t="str">
        <f>VLOOKUP($A519,Sheet4!$A:$B,2,0)</f>
        <v>BR Cookies and Cream 6 1.5QT</v>
      </c>
      <c r="F519" s="3" t="s">
        <v>23</v>
      </c>
    </row>
    <row r="520" spans="1:6" x14ac:dyDescent="0.25">
      <c r="A520" s="3">
        <v>68881270</v>
      </c>
      <c r="B520" s="3">
        <v>1352</v>
      </c>
      <c r="C520" s="24">
        <v>7200</v>
      </c>
      <c r="D520" s="4">
        <v>46081</v>
      </c>
      <c r="E520" t="str">
        <f>VLOOKUP($A520,Sheet4!$A:$B,2,0)</f>
        <v>BR Cookies and Cream 6 1.5QT</v>
      </c>
      <c r="F520" s="3" t="s">
        <v>23</v>
      </c>
    </row>
    <row r="521" spans="1:6" x14ac:dyDescent="0.25">
      <c r="A521" s="3">
        <v>68881270</v>
      </c>
      <c r="B521" s="3">
        <v>1352</v>
      </c>
      <c r="C521" s="24">
        <v>5232</v>
      </c>
      <c r="D521" s="4">
        <v>46082</v>
      </c>
      <c r="E521" t="str">
        <f>VLOOKUP($A521,Sheet4!$A:$B,2,0)</f>
        <v>BR Cookies and Cream 6 1.5QT</v>
      </c>
      <c r="F521" s="3" t="s">
        <v>23</v>
      </c>
    </row>
    <row r="522" spans="1:6" x14ac:dyDescent="0.25">
      <c r="A522" s="3">
        <v>68881270</v>
      </c>
      <c r="B522" s="3">
        <v>1352</v>
      </c>
      <c r="C522" s="24">
        <v>176</v>
      </c>
      <c r="D522" s="4">
        <v>46093</v>
      </c>
      <c r="E522" t="str">
        <f>VLOOKUP($A522,Sheet4!$A:$B,2,0)</f>
        <v>BR Cookies and Cream 6 1.5QT</v>
      </c>
      <c r="F522" s="3" t="s">
        <v>23</v>
      </c>
    </row>
    <row r="523" spans="1:6" x14ac:dyDescent="0.25">
      <c r="A523" s="3">
        <v>68881270</v>
      </c>
      <c r="B523" s="3">
        <v>1352</v>
      </c>
      <c r="C523" s="24">
        <v>2622</v>
      </c>
      <c r="D523" s="4">
        <v>46082</v>
      </c>
      <c r="E523" t="str">
        <f>VLOOKUP($A523,Sheet4!$A:$B,2,0)</f>
        <v>BR Cookies and Cream 6 1.5QT</v>
      </c>
      <c r="F523" s="3" t="s">
        <v>23</v>
      </c>
    </row>
    <row r="524" spans="1:6" x14ac:dyDescent="0.25">
      <c r="A524" s="3">
        <v>68881270</v>
      </c>
      <c r="B524" s="3">
        <v>1352</v>
      </c>
      <c r="C524" s="24">
        <v>7082</v>
      </c>
      <c r="D524" s="4">
        <v>46083</v>
      </c>
      <c r="E524" t="str">
        <f>VLOOKUP($A524,Sheet4!$A:$B,2,0)</f>
        <v>BR Cookies and Cream 6 1.5QT</v>
      </c>
      <c r="F524" s="3" t="s">
        <v>23</v>
      </c>
    </row>
    <row r="525" spans="1:6" x14ac:dyDescent="0.25">
      <c r="A525" s="3">
        <v>68881270</v>
      </c>
      <c r="B525" s="3">
        <v>1352</v>
      </c>
      <c r="C525" s="24">
        <v>4917</v>
      </c>
      <c r="D525" s="4">
        <v>46083</v>
      </c>
      <c r="E525" t="str">
        <f>VLOOKUP($A525,Sheet4!$A:$B,2,0)</f>
        <v>BR Cookies and Cream 6 1.5QT</v>
      </c>
      <c r="F525" s="3" t="s">
        <v>23</v>
      </c>
    </row>
    <row r="526" spans="1:6" x14ac:dyDescent="0.25">
      <c r="A526" s="3">
        <v>68881270</v>
      </c>
      <c r="B526" s="3">
        <v>1352</v>
      </c>
      <c r="C526" s="24">
        <v>9113</v>
      </c>
      <c r="D526" s="4">
        <v>46084</v>
      </c>
      <c r="E526" t="str">
        <f>VLOOKUP($A526,Sheet4!$A:$B,2,0)</f>
        <v>BR Cookies and Cream 6 1.5QT</v>
      </c>
      <c r="F526" s="3" t="s">
        <v>23</v>
      </c>
    </row>
    <row r="527" spans="1:6" x14ac:dyDescent="0.25">
      <c r="A527" s="3">
        <v>68881270</v>
      </c>
      <c r="B527" s="3">
        <v>1352</v>
      </c>
      <c r="C527" s="24">
        <v>11</v>
      </c>
      <c r="D527" s="4">
        <v>46093</v>
      </c>
      <c r="E527" t="str">
        <f>VLOOKUP($A527,Sheet4!$A:$B,2,0)</f>
        <v>BR Cookies and Cream 6 1.5QT</v>
      </c>
      <c r="F527" s="3" t="s">
        <v>23</v>
      </c>
    </row>
    <row r="528" spans="1:6" x14ac:dyDescent="0.25">
      <c r="A528" s="3">
        <v>68881270</v>
      </c>
      <c r="B528" s="3">
        <v>1352</v>
      </c>
      <c r="C528" s="24">
        <v>5218</v>
      </c>
      <c r="D528" s="4">
        <v>46084</v>
      </c>
      <c r="E528" t="str">
        <f>VLOOKUP($A528,Sheet4!$A:$B,2,0)</f>
        <v>BR Cookies and Cream 6 1.5QT</v>
      </c>
      <c r="F528" s="3" t="s">
        <v>23</v>
      </c>
    </row>
    <row r="529" spans="1:6" x14ac:dyDescent="0.25">
      <c r="A529" s="3">
        <v>68881270</v>
      </c>
      <c r="B529" s="3">
        <v>1352</v>
      </c>
      <c r="C529" s="24">
        <v>714</v>
      </c>
      <c r="D529" s="4">
        <v>46085</v>
      </c>
      <c r="E529" t="str">
        <f>VLOOKUP($A529,Sheet4!$A:$B,2,0)</f>
        <v>BR Cookies and Cream 6 1.5QT</v>
      </c>
      <c r="F529" s="3" t="s">
        <v>23</v>
      </c>
    </row>
    <row r="530" spans="1:6" x14ac:dyDescent="0.25">
      <c r="A530" s="3">
        <v>68881270</v>
      </c>
      <c r="B530" s="3">
        <v>1352</v>
      </c>
      <c r="C530" s="24">
        <v>7649</v>
      </c>
      <c r="D530" s="4">
        <v>46081</v>
      </c>
      <c r="E530" t="str">
        <f>VLOOKUP($A530,Sheet4!$A:$B,2,0)</f>
        <v>BR Cookies and Cream 6 1.5QT</v>
      </c>
      <c r="F530" s="3" t="s">
        <v>23</v>
      </c>
    </row>
    <row r="531" spans="1:6" x14ac:dyDescent="0.25">
      <c r="A531" s="3">
        <v>68881270</v>
      </c>
      <c r="B531" s="3">
        <v>1352</v>
      </c>
      <c r="C531" s="24">
        <v>176</v>
      </c>
      <c r="D531" s="4">
        <v>46086</v>
      </c>
      <c r="E531" t="str">
        <f>VLOOKUP($A531,Sheet4!$A:$B,2,0)</f>
        <v>BR Cookies and Cream 6 1.5QT</v>
      </c>
      <c r="F531" s="3" t="s">
        <v>23</v>
      </c>
    </row>
    <row r="532" spans="1:6" x14ac:dyDescent="0.25">
      <c r="A532" s="3">
        <v>68881270</v>
      </c>
      <c r="B532" s="3">
        <v>1352</v>
      </c>
      <c r="C532" s="24">
        <v>8997</v>
      </c>
      <c r="D532" s="4">
        <v>46096</v>
      </c>
      <c r="E532" t="str">
        <f>VLOOKUP($A532,Sheet4!$A:$B,2,0)</f>
        <v>BR Cookies and Cream 6 1.5QT</v>
      </c>
      <c r="F532" s="3" t="s">
        <v>25</v>
      </c>
    </row>
    <row r="533" spans="1:6" x14ac:dyDescent="0.25">
      <c r="A533" s="3">
        <v>68881270</v>
      </c>
      <c r="B533" s="3">
        <v>1352</v>
      </c>
      <c r="C533" s="24">
        <v>5280</v>
      </c>
      <c r="D533" s="4">
        <v>46097</v>
      </c>
      <c r="E533" t="str">
        <f>VLOOKUP($A533,Sheet4!$A:$B,2,0)</f>
        <v>BR Cookies and Cream 6 1.5QT</v>
      </c>
      <c r="F533" s="3" t="s">
        <v>25</v>
      </c>
    </row>
    <row r="534" spans="1:6" x14ac:dyDescent="0.25">
      <c r="A534" s="3">
        <v>68881270</v>
      </c>
      <c r="B534" s="3">
        <v>1352</v>
      </c>
      <c r="C534" s="24">
        <v>5577</v>
      </c>
      <c r="D534" s="4">
        <v>46098</v>
      </c>
      <c r="E534" t="str">
        <f>VLOOKUP($A534,Sheet4!$A:$B,2,0)</f>
        <v>BR Cookies and Cream 6 1.5QT</v>
      </c>
      <c r="F534" s="3" t="s">
        <v>25</v>
      </c>
    </row>
    <row r="535" spans="1:6" x14ac:dyDescent="0.25">
      <c r="A535" s="3">
        <v>68881270</v>
      </c>
      <c r="B535" s="3">
        <v>1352</v>
      </c>
      <c r="C535" s="24">
        <v>4928</v>
      </c>
      <c r="D535" s="4">
        <v>46099</v>
      </c>
      <c r="E535" t="str">
        <f>VLOOKUP($A535,Sheet4!$A:$B,2,0)</f>
        <v>BR Cookies and Cream 6 1.5QT</v>
      </c>
      <c r="F535" s="3" t="s">
        <v>25</v>
      </c>
    </row>
    <row r="536" spans="1:6" x14ac:dyDescent="0.25">
      <c r="A536" s="3">
        <v>68881270</v>
      </c>
      <c r="B536" s="3">
        <v>1352</v>
      </c>
      <c r="C536" s="24">
        <v>7637</v>
      </c>
      <c r="D536" s="4">
        <v>46100</v>
      </c>
      <c r="E536" t="str">
        <f>VLOOKUP($A536,Sheet4!$A:$B,2,0)</f>
        <v>BR Cookies and Cream 6 1.5QT</v>
      </c>
      <c r="F536" s="3" t="s">
        <v>25</v>
      </c>
    </row>
    <row r="537" spans="1:6" x14ac:dyDescent="0.25">
      <c r="A537" s="3">
        <v>68881270</v>
      </c>
      <c r="B537" s="3">
        <v>1352</v>
      </c>
      <c r="C537" s="24">
        <v>176</v>
      </c>
      <c r="D537" s="4">
        <v>46101</v>
      </c>
      <c r="E537" t="str">
        <f>VLOOKUP($A537,Sheet4!$A:$B,2,0)</f>
        <v>BR Cookies and Cream 6 1.5QT</v>
      </c>
      <c r="F537" s="3" t="s">
        <v>25</v>
      </c>
    </row>
    <row r="538" spans="1:6" x14ac:dyDescent="0.25">
      <c r="A538" s="3">
        <v>68881270</v>
      </c>
      <c r="B538" s="3">
        <v>1352</v>
      </c>
      <c r="C538" s="24">
        <v>4917</v>
      </c>
      <c r="D538" s="4">
        <v>46098</v>
      </c>
      <c r="E538" t="str">
        <f>VLOOKUP($A538,Sheet4!$A:$B,2,0)</f>
        <v>BR Cookies and Cream 6 1.5QT</v>
      </c>
      <c r="F538" s="3" t="s">
        <v>25</v>
      </c>
    </row>
    <row r="539" spans="1:6" x14ac:dyDescent="0.25">
      <c r="A539" s="3">
        <v>68881270</v>
      </c>
      <c r="B539" s="3">
        <v>1352</v>
      </c>
      <c r="C539" s="24">
        <v>5962</v>
      </c>
      <c r="D539" s="4">
        <v>46099</v>
      </c>
      <c r="E539" t="str">
        <f>VLOOKUP($A539,Sheet4!$A:$B,2,0)</f>
        <v>BR Cookies and Cream 6 1.5QT</v>
      </c>
      <c r="F539" s="3" t="s">
        <v>25</v>
      </c>
    </row>
    <row r="540" spans="1:6" x14ac:dyDescent="0.25">
      <c r="A540" s="3">
        <v>68881270</v>
      </c>
      <c r="B540" s="3">
        <v>1352</v>
      </c>
      <c r="C540" s="24">
        <v>3377</v>
      </c>
      <c r="D540" s="4">
        <v>46100</v>
      </c>
      <c r="E540" t="str">
        <f>VLOOKUP($A540,Sheet4!$A:$B,2,0)</f>
        <v>BR Cookies and Cream 6 1.5QT</v>
      </c>
      <c r="F540" s="3" t="s">
        <v>25</v>
      </c>
    </row>
    <row r="541" spans="1:6" x14ac:dyDescent="0.25">
      <c r="A541" s="3">
        <v>68881270</v>
      </c>
      <c r="B541" s="3">
        <v>1352</v>
      </c>
      <c r="C541" s="24">
        <v>1416</v>
      </c>
      <c r="D541" s="4">
        <v>46101</v>
      </c>
      <c r="E541" t="str">
        <f>VLOOKUP($A541,Sheet4!$A:$B,2,0)</f>
        <v>BR Cookies and Cream 6 1.5QT</v>
      </c>
      <c r="F541" s="3" t="s">
        <v>25</v>
      </c>
    </row>
    <row r="542" spans="1:6" x14ac:dyDescent="0.25">
      <c r="A542" s="3">
        <v>68881270</v>
      </c>
      <c r="B542" s="3">
        <v>1352</v>
      </c>
      <c r="C542" s="24">
        <v>5984</v>
      </c>
      <c r="D542" s="4">
        <v>46101</v>
      </c>
      <c r="E542" t="str">
        <f>VLOOKUP($A542,Sheet4!$A:$B,2,0)</f>
        <v>BR Cookies and Cream 6 1.5QT</v>
      </c>
      <c r="F542" s="3" t="s">
        <v>25</v>
      </c>
    </row>
    <row r="543" spans="1:6" x14ac:dyDescent="0.25">
      <c r="A543" s="3">
        <v>68881270</v>
      </c>
      <c r="B543" s="3">
        <v>1352</v>
      </c>
      <c r="C543" s="24">
        <v>8817</v>
      </c>
      <c r="D543" s="4">
        <v>46102</v>
      </c>
      <c r="E543" t="str">
        <f>VLOOKUP($A543,Sheet4!$A:$B,2,0)</f>
        <v>BR Cookies and Cream 6 1.5QT</v>
      </c>
      <c r="F543" s="3" t="s">
        <v>25</v>
      </c>
    </row>
    <row r="544" spans="1:6" x14ac:dyDescent="0.25">
      <c r="A544" s="3">
        <v>68881270</v>
      </c>
      <c r="B544" s="3">
        <v>1352</v>
      </c>
      <c r="C544" s="24">
        <v>1056</v>
      </c>
      <c r="D544" s="4">
        <v>46085</v>
      </c>
      <c r="E544" t="str">
        <f>VLOOKUP($A544,Sheet4!$A:$B,2,0)</f>
        <v>BR Cookies and Cream 6 1.5QT</v>
      </c>
      <c r="F544" s="3" t="s">
        <v>25</v>
      </c>
    </row>
    <row r="545" spans="1:6" x14ac:dyDescent="0.25">
      <c r="A545" s="3">
        <v>68881270</v>
      </c>
      <c r="B545" s="3">
        <v>1352</v>
      </c>
      <c r="C545" s="24">
        <v>6842</v>
      </c>
      <c r="D545" s="4">
        <v>46086</v>
      </c>
      <c r="E545" t="str">
        <f>VLOOKUP($A545,Sheet4!$A:$B,2,0)</f>
        <v>BR Cookies and Cream 6 1.5QT</v>
      </c>
      <c r="F545" s="3" t="s">
        <v>25</v>
      </c>
    </row>
    <row r="546" spans="1:6" x14ac:dyDescent="0.25">
      <c r="A546" s="3">
        <v>68881270</v>
      </c>
      <c r="B546" s="3">
        <v>1352</v>
      </c>
      <c r="C546" s="24">
        <v>434</v>
      </c>
      <c r="D546" s="4">
        <v>46087</v>
      </c>
      <c r="E546" t="str">
        <f>VLOOKUP($A546,Sheet4!$A:$B,2,0)</f>
        <v>BR Cookies and Cream 6 1.5QT</v>
      </c>
      <c r="F546" s="3" t="s">
        <v>25</v>
      </c>
    </row>
    <row r="547" spans="1:6" x14ac:dyDescent="0.25">
      <c r="A547" s="3">
        <v>68881270</v>
      </c>
      <c r="B547" s="3">
        <v>1352</v>
      </c>
      <c r="C547" s="24">
        <v>4114</v>
      </c>
      <c r="D547" s="4">
        <v>46086</v>
      </c>
      <c r="E547" t="str">
        <f>VLOOKUP($A547,Sheet4!$A:$B,2,0)</f>
        <v>BR Cookies and Cream 6 1.5QT</v>
      </c>
      <c r="F547" s="3" t="s">
        <v>25</v>
      </c>
    </row>
    <row r="548" spans="1:6" x14ac:dyDescent="0.25">
      <c r="A548" s="3">
        <v>68881270</v>
      </c>
      <c r="B548" s="3">
        <v>1352</v>
      </c>
      <c r="C548" s="24">
        <v>9149</v>
      </c>
      <c r="D548" s="4">
        <v>46087</v>
      </c>
      <c r="E548" t="str">
        <f>VLOOKUP($A548,Sheet4!$A:$B,2,0)</f>
        <v>BR Cookies and Cream 6 1.5QT</v>
      </c>
      <c r="F548" s="3" t="s">
        <v>25</v>
      </c>
    </row>
    <row r="549" spans="1:6" x14ac:dyDescent="0.25">
      <c r="A549" s="3">
        <v>68881270</v>
      </c>
      <c r="B549" s="3">
        <v>1352</v>
      </c>
      <c r="C549" s="24">
        <v>434</v>
      </c>
      <c r="D549" s="4">
        <v>46090</v>
      </c>
      <c r="E549" t="str">
        <f>VLOOKUP($A549,Sheet4!$A:$B,2,0)</f>
        <v>BR Cookies and Cream 6 1.5QT</v>
      </c>
      <c r="F549" s="3" t="s">
        <v>25</v>
      </c>
    </row>
    <row r="550" spans="1:6" x14ac:dyDescent="0.25">
      <c r="A550" s="3">
        <v>68881270</v>
      </c>
      <c r="B550" s="3">
        <v>1352</v>
      </c>
      <c r="C550" s="24">
        <v>77</v>
      </c>
      <c r="D550" s="4">
        <v>46105</v>
      </c>
      <c r="E550" t="str">
        <f>VLOOKUP($A550,Sheet4!$A:$B,2,0)</f>
        <v>BR Cookies and Cream 6 1.5QT</v>
      </c>
      <c r="F550" s="3" t="s">
        <v>25</v>
      </c>
    </row>
    <row r="551" spans="1:6" x14ac:dyDescent="0.25">
      <c r="A551" s="3">
        <v>68881270</v>
      </c>
      <c r="B551" s="3">
        <v>1352</v>
      </c>
      <c r="C551" s="24">
        <v>4928</v>
      </c>
      <c r="D551" s="4">
        <v>46087</v>
      </c>
      <c r="E551" t="str">
        <f>VLOOKUP($A551,Sheet4!$A:$B,2,0)</f>
        <v>BR Cookies and Cream 6 1.5QT</v>
      </c>
      <c r="F551" s="3" t="s">
        <v>25</v>
      </c>
    </row>
    <row r="552" spans="1:6" x14ac:dyDescent="0.25">
      <c r="A552" s="3">
        <v>68881270</v>
      </c>
      <c r="B552" s="3">
        <v>1352</v>
      </c>
      <c r="C552" s="24">
        <v>9724</v>
      </c>
      <c r="D552" s="4">
        <v>46088</v>
      </c>
      <c r="E552" t="str">
        <f>VLOOKUP($A552,Sheet4!$A:$B,2,0)</f>
        <v>BR Cookies and Cream 6 1.5QT</v>
      </c>
      <c r="F552" s="3" t="s">
        <v>25</v>
      </c>
    </row>
    <row r="553" spans="1:6" x14ac:dyDescent="0.25">
      <c r="A553" s="3">
        <v>68881270</v>
      </c>
      <c r="B553" s="3">
        <v>1352</v>
      </c>
      <c r="C553" s="24">
        <v>6791</v>
      </c>
      <c r="D553" s="4">
        <v>46089</v>
      </c>
      <c r="E553" t="str">
        <f>VLOOKUP($A553,Sheet4!$A:$B,2,0)</f>
        <v>BR Cookies and Cream 6 1.5QT</v>
      </c>
      <c r="F553" s="3" t="s">
        <v>25</v>
      </c>
    </row>
    <row r="554" spans="1:6" x14ac:dyDescent="0.25">
      <c r="A554" s="3">
        <v>68881270</v>
      </c>
      <c r="B554" s="3">
        <v>1352</v>
      </c>
      <c r="C554" s="24">
        <v>5250</v>
      </c>
      <c r="D554" s="4">
        <v>46089</v>
      </c>
      <c r="E554" t="str">
        <f>VLOOKUP($A554,Sheet4!$A:$B,2,0)</f>
        <v>BR Cookies and Cream 6 1.5QT</v>
      </c>
      <c r="F554" s="3" t="s">
        <v>25</v>
      </c>
    </row>
    <row r="555" spans="1:6" x14ac:dyDescent="0.25">
      <c r="A555" s="3">
        <v>68881270</v>
      </c>
      <c r="B555" s="3">
        <v>1352</v>
      </c>
      <c r="C555" s="24">
        <v>9993</v>
      </c>
      <c r="D555" s="4">
        <v>46090</v>
      </c>
      <c r="E555" t="str">
        <f>VLOOKUP($A555,Sheet4!$A:$B,2,0)</f>
        <v>BR Cookies and Cream 6 1.5QT</v>
      </c>
      <c r="F555" s="3" t="s">
        <v>25</v>
      </c>
    </row>
    <row r="556" spans="1:6" x14ac:dyDescent="0.25">
      <c r="A556" s="3">
        <v>68881270</v>
      </c>
      <c r="B556" s="3">
        <v>1352</v>
      </c>
      <c r="C556" s="24">
        <v>165</v>
      </c>
      <c r="D556" s="4">
        <v>46091</v>
      </c>
      <c r="E556" t="str">
        <f>VLOOKUP($A556,Sheet4!$A:$B,2,0)</f>
        <v>BR Cookies and Cream 6 1.5QT</v>
      </c>
      <c r="F556" s="3" t="s">
        <v>25</v>
      </c>
    </row>
    <row r="557" spans="1:6" x14ac:dyDescent="0.25">
      <c r="A557" s="3">
        <v>68881270</v>
      </c>
      <c r="B557" s="3">
        <v>1352</v>
      </c>
      <c r="C557" s="24">
        <v>4048</v>
      </c>
      <c r="D557" s="4">
        <v>46090</v>
      </c>
      <c r="E557" t="str">
        <f>VLOOKUP($A557,Sheet4!$A:$B,2,0)</f>
        <v>BR Cookies and Cream 6 1.5QT</v>
      </c>
      <c r="F557" s="3" t="s">
        <v>25</v>
      </c>
    </row>
    <row r="558" spans="1:6" x14ac:dyDescent="0.25">
      <c r="A558" s="3">
        <v>68881270</v>
      </c>
      <c r="B558" s="3">
        <v>1352</v>
      </c>
      <c r="C558" s="24">
        <v>7151</v>
      </c>
      <c r="D558" s="4">
        <v>46091</v>
      </c>
      <c r="E558" t="str">
        <f>VLOOKUP($A558,Sheet4!$A:$B,2,0)</f>
        <v>BR Cookies and Cream 6 1.5QT</v>
      </c>
      <c r="F558" s="3" t="s">
        <v>25</v>
      </c>
    </row>
    <row r="559" spans="1:6" x14ac:dyDescent="0.25">
      <c r="A559" s="3">
        <v>68881270</v>
      </c>
      <c r="B559" s="3">
        <v>1352</v>
      </c>
      <c r="C559" s="24">
        <v>4818</v>
      </c>
      <c r="D559" s="4">
        <v>46091</v>
      </c>
      <c r="E559" t="str">
        <f>VLOOKUP($A559,Sheet4!$A:$B,2,0)</f>
        <v>BR Cookies and Cream 6 1.5QT</v>
      </c>
      <c r="F559" s="3" t="s">
        <v>25</v>
      </c>
    </row>
    <row r="560" spans="1:6" x14ac:dyDescent="0.25">
      <c r="A560" s="3">
        <v>68881270</v>
      </c>
      <c r="B560" s="3">
        <v>1352</v>
      </c>
      <c r="C560" s="24">
        <v>7442</v>
      </c>
      <c r="D560" s="4">
        <v>46092</v>
      </c>
      <c r="E560" t="str">
        <f>VLOOKUP($A560,Sheet4!$A:$B,2,0)</f>
        <v>BR Cookies and Cream 6 1.5QT</v>
      </c>
      <c r="F560" s="3" t="s">
        <v>25</v>
      </c>
    </row>
    <row r="561" spans="1:6" x14ac:dyDescent="0.25">
      <c r="A561" s="3">
        <v>68881270</v>
      </c>
      <c r="B561" s="3">
        <v>1352</v>
      </c>
      <c r="C561" s="24">
        <v>5407</v>
      </c>
      <c r="D561" s="4">
        <v>46097</v>
      </c>
      <c r="E561" t="str">
        <f>VLOOKUP($A561,Sheet4!$A:$B,2,0)</f>
        <v>BR Cookies and Cream 6 1.5QT</v>
      </c>
      <c r="F561" s="3" t="s">
        <v>25</v>
      </c>
    </row>
    <row r="562" spans="1:6" x14ac:dyDescent="0.25">
      <c r="A562" s="3">
        <v>68881270</v>
      </c>
      <c r="B562" s="3">
        <v>1352</v>
      </c>
      <c r="C562" s="24">
        <v>11</v>
      </c>
      <c r="D562" s="4">
        <v>46098</v>
      </c>
      <c r="E562" t="str">
        <f>VLOOKUP($A562,Sheet4!$A:$B,2,0)</f>
        <v>BR Cookies and Cream 6 1.5QT</v>
      </c>
      <c r="F562" s="3" t="s">
        <v>25</v>
      </c>
    </row>
    <row r="563" spans="1:6" x14ac:dyDescent="0.25">
      <c r="A563" s="3">
        <v>68899821</v>
      </c>
      <c r="B563" s="3">
        <v>1352</v>
      </c>
      <c r="C563" s="24">
        <v>5982</v>
      </c>
      <c r="D563" s="4">
        <v>46104</v>
      </c>
      <c r="E563" t="str">
        <f>VLOOKUP($A563,Sheet4!$A:$B,2,0)</f>
        <v>BR Double Cookie Crumble 6 1.5QT</v>
      </c>
      <c r="F563" s="3" t="s">
        <v>25</v>
      </c>
    </row>
    <row r="564" spans="1:6" x14ac:dyDescent="0.25">
      <c r="A564" s="3">
        <v>68899821</v>
      </c>
      <c r="B564" s="3">
        <v>1352</v>
      </c>
      <c r="C564" s="24">
        <v>8507</v>
      </c>
      <c r="D564" s="4">
        <v>46105</v>
      </c>
      <c r="E564" t="str">
        <f>VLOOKUP($A564,Sheet4!$A:$B,2,0)</f>
        <v>BR Double Cookie Crumble 6 1.5QT</v>
      </c>
      <c r="F564" s="3" t="s">
        <v>25</v>
      </c>
    </row>
    <row r="565" spans="1:6" x14ac:dyDescent="0.25">
      <c r="A565" s="3">
        <v>68899821</v>
      </c>
      <c r="B565" s="3">
        <v>1352</v>
      </c>
      <c r="C565" s="24">
        <v>7082</v>
      </c>
      <c r="D565" s="4">
        <v>46093</v>
      </c>
      <c r="E565" t="str">
        <f>VLOOKUP($A565,Sheet4!$A:$B,2,0)</f>
        <v>BR Double Cookie Crumble 6 1.5QT</v>
      </c>
      <c r="F565" s="3" t="s">
        <v>25</v>
      </c>
    </row>
    <row r="566" spans="1:6" x14ac:dyDescent="0.25">
      <c r="A566" s="3">
        <v>68899821</v>
      </c>
      <c r="B566" s="3">
        <v>1352</v>
      </c>
      <c r="C566" s="24">
        <v>5808</v>
      </c>
      <c r="D566" s="4">
        <v>46093</v>
      </c>
      <c r="E566" t="str">
        <f>VLOOKUP($A566,Sheet4!$A:$B,2,0)</f>
        <v>BR Double Cookie Crumble 6 1.5QT</v>
      </c>
      <c r="F566" s="3" t="s">
        <v>25</v>
      </c>
    </row>
    <row r="567" spans="1:6" x14ac:dyDescent="0.25">
      <c r="A567" s="3">
        <v>68899821</v>
      </c>
      <c r="B567" s="3">
        <v>1352</v>
      </c>
      <c r="C567" s="24">
        <v>9150</v>
      </c>
      <c r="D567" s="4">
        <v>46094</v>
      </c>
      <c r="E567" t="str">
        <f>VLOOKUP($A567,Sheet4!$A:$B,2,0)</f>
        <v>BR Double Cookie Crumble 6 1.5QT</v>
      </c>
      <c r="F567" s="3" t="s">
        <v>25</v>
      </c>
    </row>
    <row r="568" spans="1:6" x14ac:dyDescent="0.25">
      <c r="A568" s="3">
        <v>68899821</v>
      </c>
      <c r="B568" s="3">
        <v>1352</v>
      </c>
      <c r="C568" s="24">
        <v>5908</v>
      </c>
      <c r="D568" s="4">
        <v>46094</v>
      </c>
      <c r="E568" t="str">
        <f>VLOOKUP($A568,Sheet4!$A:$B,2,0)</f>
        <v>BR Double Cookie Crumble 6 1.5QT</v>
      </c>
      <c r="F568" s="3" t="s">
        <v>25</v>
      </c>
    </row>
    <row r="569" spans="1:6" x14ac:dyDescent="0.25">
      <c r="A569" s="3">
        <v>68899821</v>
      </c>
      <c r="B569" s="3">
        <v>1352</v>
      </c>
      <c r="C569" s="24">
        <v>8431</v>
      </c>
      <c r="D569" s="4">
        <v>46095</v>
      </c>
      <c r="E569" t="str">
        <f>VLOOKUP($A569,Sheet4!$A:$B,2,0)</f>
        <v>BR Double Cookie Crumble 6 1.5QT</v>
      </c>
      <c r="F569" s="3" t="s">
        <v>25</v>
      </c>
    </row>
    <row r="570" spans="1:6" x14ac:dyDescent="0.25">
      <c r="A570" s="3">
        <v>68899821</v>
      </c>
      <c r="B570" s="3">
        <v>1352</v>
      </c>
      <c r="C570" s="24">
        <v>1872</v>
      </c>
      <c r="D570" s="4">
        <v>46095</v>
      </c>
      <c r="E570" t="str">
        <f>VLOOKUP($A570,Sheet4!$A:$B,2,0)</f>
        <v>BR Double Cookie Crumble 6 1.5QT</v>
      </c>
      <c r="F570" s="3" t="s">
        <v>25</v>
      </c>
    </row>
    <row r="571" spans="1:6" x14ac:dyDescent="0.25">
      <c r="A571" s="3">
        <v>68899821</v>
      </c>
      <c r="B571" s="3">
        <v>1352</v>
      </c>
      <c r="C571" s="24">
        <v>1922</v>
      </c>
      <c r="D571" s="4">
        <v>46102</v>
      </c>
      <c r="E571" t="str">
        <f>VLOOKUP($A571,Sheet4!$A:$B,2,0)</f>
        <v>BR Double Cookie Crumble 6 1.5QT</v>
      </c>
      <c r="F571" s="3" t="s">
        <v>25</v>
      </c>
    </row>
    <row r="572" spans="1:6" x14ac:dyDescent="0.25">
      <c r="A572" s="3">
        <v>68899821</v>
      </c>
      <c r="B572" s="3">
        <v>1352</v>
      </c>
      <c r="C572" s="24">
        <v>7522</v>
      </c>
      <c r="D572" s="4">
        <v>46103</v>
      </c>
      <c r="E572" t="str">
        <f>VLOOKUP($A572,Sheet4!$A:$B,2,0)</f>
        <v>BR Double Cookie Crumble 6 1.5QT</v>
      </c>
      <c r="F572" s="3" t="s">
        <v>25</v>
      </c>
    </row>
    <row r="573" spans="1:6" x14ac:dyDescent="0.25">
      <c r="A573" s="3">
        <v>68899821</v>
      </c>
      <c r="B573" s="3">
        <v>1352</v>
      </c>
      <c r="C573" s="24">
        <v>5091</v>
      </c>
      <c r="D573" s="4">
        <v>46103</v>
      </c>
      <c r="E573" t="str">
        <f>VLOOKUP($A573,Sheet4!$A:$B,2,0)</f>
        <v>BR Double Cookie Crumble 6 1.5QT</v>
      </c>
      <c r="F573" s="3" t="s">
        <v>25</v>
      </c>
    </row>
    <row r="574" spans="1:6" x14ac:dyDescent="0.25">
      <c r="A574" s="3">
        <v>68899821</v>
      </c>
      <c r="B574" s="3">
        <v>1352</v>
      </c>
      <c r="C574" s="24">
        <v>9314</v>
      </c>
      <c r="D574" s="4">
        <v>46104</v>
      </c>
      <c r="E574" t="str">
        <f>VLOOKUP($A574,Sheet4!$A:$B,2,0)</f>
        <v>BR Double Cookie Crumble 6 1.5QT</v>
      </c>
      <c r="F574" s="3" t="s">
        <v>25</v>
      </c>
    </row>
    <row r="575" spans="1:6" x14ac:dyDescent="0.25">
      <c r="A575" s="3">
        <v>68899826</v>
      </c>
      <c r="B575" s="3">
        <v>1352</v>
      </c>
      <c r="C575" s="24">
        <v>7134</v>
      </c>
      <c r="D575" s="4">
        <v>46105</v>
      </c>
      <c r="E575" t="str">
        <f>VLOOKUP($A575,Sheet4!$A:$B,2,0)</f>
        <v>BR Cherry Vanilla 6 1.5QT</v>
      </c>
      <c r="F575" s="3" t="s">
        <v>23</v>
      </c>
    </row>
    <row r="576" spans="1:6" x14ac:dyDescent="0.25">
      <c r="A576" s="3">
        <v>68930545</v>
      </c>
      <c r="B576" s="3">
        <v>1352</v>
      </c>
      <c r="C576" s="24">
        <v>6391</v>
      </c>
      <c r="D576" s="4">
        <v>46096</v>
      </c>
      <c r="E576" t="str">
        <f>VLOOKUP($A576,Sheet4!$A:$B,2,0)</f>
        <v>BR CS VAN CHOC Straw 6 1.5QT</v>
      </c>
      <c r="F576" s="3" t="s">
        <v>23</v>
      </c>
    </row>
    <row r="577" spans="1:6" x14ac:dyDescent="0.25">
      <c r="A577" s="3">
        <v>68930545</v>
      </c>
      <c r="B577" s="3">
        <v>1352</v>
      </c>
      <c r="C577" s="24">
        <v>7407</v>
      </c>
      <c r="D577" s="4">
        <v>46097</v>
      </c>
      <c r="E577" t="str">
        <f>VLOOKUP($A577,Sheet4!$A:$B,2,0)</f>
        <v>BR CS VAN CHOC Straw 6 1.5QT</v>
      </c>
      <c r="F577" s="3" t="s">
        <v>23</v>
      </c>
    </row>
    <row r="578" spans="1:6" x14ac:dyDescent="0.25">
      <c r="A578" s="3">
        <v>68930545</v>
      </c>
      <c r="B578" s="3">
        <v>1352</v>
      </c>
      <c r="C578" s="24">
        <v>5456</v>
      </c>
      <c r="D578" s="4">
        <v>46097</v>
      </c>
      <c r="E578" t="str">
        <f>VLOOKUP($A578,Sheet4!$A:$B,2,0)</f>
        <v>BR CS VAN CHOC Straw 6 1.5QT</v>
      </c>
      <c r="F578" s="3" t="s">
        <v>23</v>
      </c>
    </row>
    <row r="579" spans="1:6" x14ac:dyDescent="0.25">
      <c r="A579" s="3">
        <v>68930545</v>
      </c>
      <c r="B579" s="3">
        <v>1352</v>
      </c>
      <c r="C579" s="24">
        <v>4273</v>
      </c>
      <c r="D579" s="4">
        <v>46098</v>
      </c>
      <c r="E579" t="str">
        <f>VLOOKUP($A579,Sheet4!$A:$B,2,0)</f>
        <v>BR CS VAN CHOC Straw 6 1.5QT</v>
      </c>
      <c r="F579" s="3" t="s">
        <v>23</v>
      </c>
    </row>
    <row r="580" spans="1:6" x14ac:dyDescent="0.25">
      <c r="A580" s="3">
        <v>68930545</v>
      </c>
      <c r="B580" s="3">
        <v>1352</v>
      </c>
      <c r="C580" s="24">
        <v>5600</v>
      </c>
      <c r="D580" s="4">
        <v>46098</v>
      </c>
      <c r="E580" t="str">
        <f>VLOOKUP($A580,Sheet4!$A:$B,2,0)</f>
        <v>BR CS VAN CHOC Straw 6 1.5QT</v>
      </c>
      <c r="F580" s="3" t="s">
        <v>23</v>
      </c>
    </row>
    <row r="581" spans="1:6" x14ac:dyDescent="0.25">
      <c r="A581" s="3">
        <v>68930545</v>
      </c>
      <c r="B581" s="3">
        <v>1352</v>
      </c>
      <c r="C581" s="24">
        <v>7402</v>
      </c>
      <c r="D581" s="4">
        <v>46099</v>
      </c>
      <c r="E581" t="str">
        <f>VLOOKUP($A581,Sheet4!$A:$B,2,0)</f>
        <v>BR CS VAN CHOC Straw 6 1.5QT</v>
      </c>
      <c r="F581" s="3" t="s">
        <v>23</v>
      </c>
    </row>
    <row r="582" spans="1:6" x14ac:dyDescent="0.25">
      <c r="A582" s="3">
        <v>68930545</v>
      </c>
      <c r="B582" s="3">
        <v>1352</v>
      </c>
      <c r="C582" s="24">
        <v>6339</v>
      </c>
      <c r="D582" s="4">
        <v>46096</v>
      </c>
      <c r="E582" t="str">
        <f>VLOOKUP($A582,Sheet4!$A:$B,2,0)</f>
        <v>BR CS VAN CHOC Straw 6 1.5QT</v>
      </c>
      <c r="F582" s="3" t="s">
        <v>23</v>
      </c>
    </row>
    <row r="583" spans="1:6" x14ac:dyDescent="0.25">
      <c r="A583" s="3">
        <v>68930545</v>
      </c>
      <c r="B583" s="3">
        <v>1352</v>
      </c>
      <c r="C583" s="24">
        <v>27</v>
      </c>
      <c r="D583" s="4">
        <v>46098</v>
      </c>
      <c r="E583" t="str">
        <f>VLOOKUP($A583,Sheet4!$A:$B,2,0)</f>
        <v>BR CS VAN CHOC Straw 6 1.5QT</v>
      </c>
      <c r="F583" s="3" t="s">
        <v>23</v>
      </c>
    </row>
    <row r="584" spans="1:6" x14ac:dyDescent="0.25">
      <c r="A584" s="3">
        <v>68930545</v>
      </c>
      <c r="B584" s="3">
        <v>1352</v>
      </c>
      <c r="C584" s="24">
        <v>20</v>
      </c>
      <c r="D584" s="4">
        <v>46104</v>
      </c>
      <c r="E584" t="str">
        <f>VLOOKUP($A584,Sheet4!$A:$B,2,0)</f>
        <v>BR CS VAN CHOC Straw 6 1.5QT</v>
      </c>
      <c r="F584" s="3" t="s">
        <v>23</v>
      </c>
    </row>
    <row r="585" spans="1:6" x14ac:dyDescent="0.25">
      <c r="A585" s="3">
        <v>68930545</v>
      </c>
      <c r="B585" s="3">
        <v>1352</v>
      </c>
      <c r="C585" s="24">
        <v>5903</v>
      </c>
      <c r="D585" s="4">
        <v>46099</v>
      </c>
      <c r="E585" t="str">
        <f>VLOOKUP($A585,Sheet4!$A:$B,2,0)</f>
        <v>BR CS VAN CHOC Straw 6 1.5QT</v>
      </c>
      <c r="F585" s="3" t="s">
        <v>23</v>
      </c>
    </row>
    <row r="586" spans="1:6" x14ac:dyDescent="0.25">
      <c r="A586" s="3">
        <v>68930545</v>
      </c>
      <c r="B586" s="3">
        <v>1352</v>
      </c>
      <c r="C586" s="24">
        <v>2743</v>
      </c>
      <c r="D586" s="4">
        <v>46100</v>
      </c>
      <c r="E586" t="str">
        <f>VLOOKUP($A586,Sheet4!$A:$B,2,0)</f>
        <v>BR CS VAN CHOC Straw 6 1.5QT</v>
      </c>
      <c r="F586" s="3" t="s">
        <v>23</v>
      </c>
    </row>
    <row r="587" spans="1:6" x14ac:dyDescent="0.25">
      <c r="A587" s="3">
        <v>69568828</v>
      </c>
      <c r="B587" s="3">
        <v>1352</v>
      </c>
      <c r="C587" s="24">
        <v>11</v>
      </c>
      <c r="D587" s="4">
        <v>46086</v>
      </c>
      <c r="E587" t="str">
        <f>VLOOKUP($A587,Sheet4!$A:$B,2,0)</f>
        <v>BR CS Vanilla 6 1.5QT</v>
      </c>
      <c r="F587" s="3" t="s">
        <v>23</v>
      </c>
    </row>
    <row r="588" spans="1:6" x14ac:dyDescent="0.25">
      <c r="A588" s="3">
        <v>69568828</v>
      </c>
      <c r="B588" s="3">
        <v>1352</v>
      </c>
      <c r="C588" s="24">
        <v>6160</v>
      </c>
      <c r="D588" s="4">
        <v>46091</v>
      </c>
      <c r="E588" t="str">
        <f>VLOOKUP($A588,Sheet4!$A:$B,2,0)</f>
        <v>BR CS Vanilla 6 1.5QT</v>
      </c>
      <c r="F588" s="3" t="s">
        <v>8</v>
      </c>
    </row>
    <row r="589" spans="1:6" x14ac:dyDescent="0.25">
      <c r="A589" s="3">
        <v>69568828</v>
      </c>
      <c r="B589" s="3">
        <v>1352</v>
      </c>
      <c r="C589" s="24">
        <v>6316</v>
      </c>
      <c r="D589" s="4">
        <v>46092</v>
      </c>
      <c r="E589" t="str">
        <f>VLOOKUP($A589,Sheet4!$A:$B,2,0)</f>
        <v>BR CS Vanilla 6 1.5QT</v>
      </c>
      <c r="F589" s="3" t="s">
        <v>8</v>
      </c>
    </row>
    <row r="590" spans="1:6" x14ac:dyDescent="0.25">
      <c r="A590" s="3">
        <v>69568828</v>
      </c>
      <c r="B590" s="3">
        <v>1352</v>
      </c>
      <c r="C590" s="24">
        <v>2816</v>
      </c>
      <c r="D590" s="4">
        <v>46090</v>
      </c>
      <c r="E590" t="str">
        <f>VLOOKUP($A590,Sheet4!$A:$B,2,0)</f>
        <v>BR CS Vanilla 6 1.5QT</v>
      </c>
      <c r="F590" s="3" t="s">
        <v>8</v>
      </c>
    </row>
    <row r="591" spans="1:6" x14ac:dyDescent="0.25">
      <c r="A591" s="3">
        <v>69568828</v>
      </c>
      <c r="B591" s="3">
        <v>1352</v>
      </c>
      <c r="C591" s="24">
        <v>8213</v>
      </c>
      <c r="D591" s="4">
        <v>46091</v>
      </c>
      <c r="E591" t="str">
        <f>VLOOKUP($A591,Sheet4!$A:$B,2,0)</f>
        <v>BR CS Vanilla 6 1.5QT</v>
      </c>
      <c r="F591" s="3" t="s">
        <v>8</v>
      </c>
    </row>
    <row r="592" spans="1:6" x14ac:dyDescent="0.25">
      <c r="A592" s="3">
        <v>69568828</v>
      </c>
      <c r="B592" s="3">
        <v>1352</v>
      </c>
      <c r="C592" s="24">
        <v>4464</v>
      </c>
      <c r="D592" s="4">
        <v>46104</v>
      </c>
      <c r="E592" t="str">
        <f>VLOOKUP($A592,Sheet4!$A:$B,2,0)</f>
        <v>BR CS Vanilla 6 1.5QT</v>
      </c>
      <c r="F592" s="3" t="s">
        <v>8</v>
      </c>
    </row>
    <row r="593" spans="1:6" x14ac:dyDescent="0.25">
      <c r="A593" s="3">
        <v>69568829</v>
      </c>
      <c r="B593" s="3">
        <v>1352</v>
      </c>
      <c r="C593" s="24">
        <v>2365</v>
      </c>
      <c r="D593" s="4">
        <v>46081</v>
      </c>
      <c r="E593" t="str">
        <f>VLOOKUP($A593,Sheet4!$A:$B,2,0)</f>
        <v>BR CS CHOC 6 1.5QT</v>
      </c>
      <c r="F593" s="3" t="s">
        <v>8</v>
      </c>
    </row>
    <row r="594" spans="1:6" x14ac:dyDescent="0.25">
      <c r="A594" s="3">
        <v>69600846</v>
      </c>
      <c r="B594" s="3">
        <v>1352</v>
      </c>
      <c r="C594" s="24">
        <v>5833</v>
      </c>
      <c r="D594" s="4">
        <v>46088</v>
      </c>
      <c r="E594" t="str">
        <f>VLOOKUP($A594,Sheet4!$A:$B,2,0)</f>
        <v>BR CO-B HA Reeses 6 1.5QT</v>
      </c>
      <c r="F594" s="3" t="s">
        <v>35</v>
      </c>
    </row>
    <row r="595" spans="1:6" x14ac:dyDescent="0.25">
      <c r="A595" s="3">
        <v>69629468</v>
      </c>
      <c r="B595" s="3">
        <v>1352</v>
      </c>
      <c r="C595" s="24">
        <v>1</v>
      </c>
      <c r="D595" s="4">
        <v>46079</v>
      </c>
      <c r="E595" t="str">
        <f>VLOOKUP($A595,Sheet4!$A:$B,2,0)</f>
        <v>PS Fudgesicle NSA 6-18PK</v>
      </c>
      <c r="F595" s="3" t="s">
        <v>73</v>
      </c>
    </row>
    <row r="596" spans="1:6" x14ac:dyDescent="0.25">
      <c r="A596" s="3">
        <v>69629468</v>
      </c>
      <c r="B596" s="3">
        <v>1352</v>
      </c>
      <c r="C596" s="24">
        <v>1820</v>
      </c>
      <c r="D596" s="4">
        <v>46076</v>
      </c>
      <c r="E596" t="str">
        <f>VLOOKUP($A596,Sheet4!$A:$B,2,0)</f>
        <v>PS Fudgesicle NSA 6-18PK</v>
      </c>
      <c r="F596" s="3" t="s">
        <v>73</v>
      </c>
    </row>
    <row r="597" spans="1:6" x14ac:dyDescent="0.25">
      <c r="A597" s="3">
        <v>69629468</v>
      </c>
      <c r="B597" s="3">
        <v>1352</v>
      </c>
      <c r="C597" s="24">
        <v>3560</v>
      </c>
      <c r="D597" s="4">
        <v>46077</v>
      </c>
      <c r="E597" t="str">
        <f>VLOOKUP($A597,Sheet4!$A:$B,2,0)</f>
        <v>PS Fudgesicle NSA 6-18PK</v>
      </c>
      <c r="F597" s="3" t="s">
        <v>73</v>
      </c>
    </row>
    <row r="598" spans="1:6" x14ac:dyDescent="0.25">
      <c r="A598" s="3">
        <v>69629468</v>
      </c>
      <c r="B598" s="3">
        <v>1352</v>
      </c>
      <c r="C598" s="24">
        <v>1560</v>
      </c>
      <c r="D598" s="4">
        <v>46077</v>
      </c>
      <c r="E598" t="str">
        <f>VLOOKUP($A598,Sheet4!$A:$B,2,0)</f>
        <v>PS Fudgesicle NSA 6-18PK</v>
      </c>
      <c r="F598" s="3" t="s">
        <v>73</v>
      </c>
    </row>
    <row r="599" spans="1:6" x14ac:dyDescent="0.25">
      <c r="A599" s="3">
        <v>69629468</v>
      </c>
      <c r="B599" s="3">
        <v>1352</v>
      </c>
      <c r="C599" s="24">
        <v>2407</v>
      </c>
      <c r="D599" s="4">
        <v>46078</v>
      </c>
      <c r="E599" t="str">
        <f>VLOOKUP($A599,Sheet4!$A:$B,2,0)</f>
        <v>PS Fudgesicle NSA 6-18PK</v>
      </c>
      <c r="F599" s="3" t="s">
        <v>73</v>
      </c>
    </row>
    <row r="600" spans="1:6" x14ac:dyDescent="0.25">
      <c r="A600" s="3">
        <v>69629468</v>
      </c>
      <c r="B600" s="3">
        <v>1352</v>
      </c>
      <c r="C600" s="24">
        <v>1820</v>
      </c>
      <c r="D600" s="4">
        <v>46078</v>
      </c>
      <c r="E600" t="str">
        <f>VLOOKUP($A600,Sheet4!$A:$B,2,0)</f>
        <v>PS Fudgesicle NSA 6-18PK</v>
      </c>
      <c r="F600" s="3" t="s">
        <v>73</v>
      </c>
    </row>
    <row r="601" spans="1:6" x14ac:dyDescent="0.25">
      <c r="A601" s="3">
        <v>69629468</v>
      </c>
      <c r="B601" s="3">
        <v>1352</v>
      </c>
      <c r="C601" s="24">
        <v>3180</v>
      </c>
      <c r="D601" s="4">
        <v>46079</v>
      </c>
      <c r="E601" t="str">
        <f>VLOOKUP($A601,Sheet4!$A:$B,2,0)</f>
        <v>PS Fudgesicle NSA 6-18PK</v>
      </c>
      <c r="F601" s="3" t="s">
        <v>73</v>
      </c>
    </row>
    <row r="602" spans="1:6" x14ac:dyDescent="0.25">
      <c r="A602" s="3">
        <v>69629468</v>
      </c>
      <c r="B602" s="3">
        <v>1352</v>
      </c>
      <c r="C602" s="24">
        <v>1820</v>
      </c>
      <c r="D602" s="4">
        <v>46079</v>
      </c>
      <c r="E602" t="str">
        <f>VLOOKUP($A602,Sheet4!$A:$B,2,0)</f>
        <v>PS Fudgesicle NSA 6-18PK</v>
      </c>
      <c r="F602" s="3" t="s">
        <v>73</v>
      </c>
    </row>
    <row r="603" spans="1:6" x14ac:dyDescent="0.25">
      <c r="A603" s="3">
        <v>69629468</v>
      </c>
      <c r="B603" s="3">
        <v>1352</v>
      </c>
      <c r="C603" s="24">
        <v>2205</v>
      </c>
      <c r="D603" s="4">
        <v>46080</v>
      </c>
      <c r="E603" t="str">
        <f>VLOOKUP($A603,Sheet4!$A:$B,2,0)</f>
        <v>PS Fudgesicle NSA 6-18PK</v>
      </c>
      <c r="F603" s="3" t="s">
        <v>73</v>
      </c>
    </row>
    <row r="604" spans="1:6" x14ac:dyDescent="0.25">
      <c r="A604" s="3">
        <v>69629468</v>
      </c>
      <c r="B604" s="3">
        <v>1352</v>
      </c>
      <c r="C604" s="24">
        <v>910</v>
      </c>
      <c r="D604" s="4">
        <v>46090</v>
      </c>
      <c r="E604" t="str">
        <f>VLOOKUP($A604,Sheet4!$A:$B,2,0)</f>
        <v>PS Fudgesicle NSA 6-18PK</v>
      </c>
      <c r="F604" s="3" t="s">
        <v>73</v>
      </c>
    </row>
    <row r="605" spans="1:6" x14ac:dyDescent="0.25">
      <c r="A605" s="3">
        <v>69629468</v>
      </c>
      <c r="B605" s="3">
        <v>1352</v>
      </c>
      <c r="C605" s="24">
        <v>2965</v>
      </c>
      <c r="D605" s="4">
        <v>46091</v>
      </c>
      <c r="E605" t="str">
        <f>VLOOKUP($A605,Sheet4!$A:$B,2,0)</f>
        <v>PS Fudgesicle NSA 6-18PK</v>
      </c>
      <c r="F605" s="3" t="s">
        <v>73</v>
      </c>
    </row>
    <row r="606" spans="1:6" x14ac:dyDescent="0.25">
      <c r="A606" s="3">
        <v>69629468</v>
      </c>
      <c r="B606" s="3">
        <v>1352</v>
      </c>
      <c r="C606" s="24">
        <v>2730</v>
      </c>
      <c r="D606" s="4">
        <v>46091</v>
      </c>
      <c r="E606" t="str">
        <f>VLOOKUP($A606,Sheet4!$A:$B,2,0)</f>
        <v>PS Fudgesicle NSA 6-18PK</v>
      </c>
      <c r="F606" s="3" t="s">
        <v>73</v>
      </c>
    </row>
    <row r="607" spans="1:6" x14ac:dyDescent="0.25">
      <c r="A607" s="3">
        <v>69629468</v>
      </c>
      <c r="B607" s="3">
        <v>1352</v>
      </c>
      <c r="C607" s="24">
        <v>3074</v>
      </c>
      <c r="D607" s="4">
        <v>46092</v>
      </c>
      <c r="E607" t="str">
        <f>VLOOKUP($A607,Sheet4!$A:$B,2,0)</f>
        <v>PS Fudgesicle NSA 6-18PK</v>
      </c>
      <c r="F607" s="3" t="s">
        <v>73</v>
      </c>
    </row>
    <row r="608" spans="1:6" x14ac:dyDescent="0.25">
      <c r="A608" s="3">
        <v>69629468</v>
      </c>
      <c r="B608" s="3">
        <v>1352</v>
      </c>
      <c r="C608" s="24">
        <v>650</v>
      </c>
      <c r="D608" s="4">
        <v>46083</v>
      </c>
      <c r="E608" t="str">
        <f>VLOOKUP($A608,Sheet4!$A:$B,2,0)</f>
        <v>PS Fudgesicle NSA 6-18PK</v>
      </c>
      <c r="F608" s="3" t="s">
        <v>73</v>
      </c>
    </row>
    <row r="609" spans="1:6" x14ac:dyDescent="0.25">
      <c r="A609" s="3">
        <v>69629468</v>
      </c>
      <c r="B609" s="3">
        <v>1352</v>
      </c>
      <c r="C609" s="24">
        <v>2886</v>
      </c>
      <c r="D609" s="4">
        <v>46084</v>
      </c>
      <c r="E609" t="str">
        <f>VLOOKUP($A609,Sheet4!$A:$B,2,0)</f>
        <v>PS Fudgesicle NSA 6-18PK</v>
      </c>
      <c r="F609" s="3" t="s">
        <v>73</v>
      </c>
    </row>
    <row r="610" spans="1:6" x14ac:dyDescent="0.25">
      <c r="A610" s="3">
        <v>69629468</v>
      </c>
      <c r="B610" s="3">
        <v>1352</v>
      </c>
      <c r="C610" s="24">
        <v>1430</v>
      </c>
      <c r="D610" s="4">
        <v>46084</v>
      </c>
      <c r="E610" t="str">
        <f>VLOOKUP($A610,Sheet4!$A:$B,2,0)</f>
        <v>PS Fudgesicle NSA 6-18PK</v>
      </c>
      <c r="F610" s="3" t="s">
        <v>73</v>
      </c>
    </row>
    <row r="611" spans="1:6" x14ac:dyDescent="0.25">
      <c r="A611" s="3">
        <v>69629468</v>
      </c>
      <c r="B611" s="3">
        <v>1352</v>
      </c>
      <c r="C611" s="24">
        <v>2515</v>
      </c>
      <c r="D611" s="4">
        <v>46085</v>
      </c>
      <c r="E611" t="str">
        <f>VLOOKUP($A611,Sheet4!$A:$B,2,0)</f>
        <v>PS Fudgesicle NSA 6-18PK</v>
      </c>
      <c r="F611" s="3" t="s">
        <v>73</v>
      </c>
    </row>
    <row r="612" spans="1:6" x14ac:dyDescent="0.25">
      <c r="A612" s="3">
        <v>69629468</v>
      </c>
      <c r="B612" s="3">
        <v>1352</v>
      </c>
      <c r="C612" s="24">
        <v>130</v>
      </c>
      <c r="D612" s="4">
        <v>46086</v>
      </c>
      <c r="E612" t="str">
        <f>VLOOKUP($A612,Sheet4!$A:$B,2,0)</f>
        <v>PS Fudgesicle NSA 6-18PK</v>
      </c>
      <c r="F612" s="3" t="s">
        <v>73</v>
      </c>
    </row>
    <row r="613" spans="1:6" x14ac:dyDescent="0.25">
      <c r="A613" s="3">
        <v>69629468</v>
      </c>
      <c r="B613" s="3">
        <v>1352</v>
      </c>
      <c r="C613" s="24">
        <v>1690</v>
      </c>
      <c r="D613" s="4">
        <v>46085</v>
      </c>
      <c r="E613" t="str">
        <f>VLOOKUP($A613,Sheet4!$A:$B,2,0)</f>
        <v>PS Fudgesicle NSA 6-18PK</v>
      </c>
      <c r="F613" s="3" t="s">
        <v>73</v>
      </c>
    </row>
    <row r="614" spans="1:6" x14ac:dyDescent="0.25">
      <c r="A614" s="3">
        <v>69629468</v>
      </c>
      <c r="B614" s="3">
        <v>1352</v>
      </c>
      <c r="C614" s="24">
        <v>3156</v>
      </c>
      <c r="D614" s="4">
        <v>46086</v>
      </c>
      <c r="E614" t="str">
        <f>VLOOKUP($A614,Sheet4!$A:$B,2,0)</f>
        <v>PS Fudgesicle NSA 6-18PK</v>
      </c>
      <c r="F614" s="3" t="s">
        <v>73</v>
      </c>
    </row>
    <row r="615" spans="1:6" x14ac:dyDescent="0.25">
      <c r="A615" s="3">
        <v>69629468</v>
      </c>
      <c r="B615" s="3">
        <v>1352</v>
      </c>
      <c r="C615" s="24">
        <v>1560</v>
      </c>
      <c r="D615" s="4">
        <v>46086</v>
      </c>
      <c r="E615" t="str">
        <f>VLOOKUP($A615,Sheet4!$A:$B,2,0)</f>
        <v>PS Fudgesicle NSA 6-18PK</v>
      </c>
      <c r="F615" s="3" t="s">
        <v>73</v>
      </c>
    </row>
    <row r="616" spans="1:6" x14ac:dyDescent="0.25">
      <c r="A616" s="3">
        <v>69629468</v>
      </c>
      <c r="B616" s="3">
        <v>1352</v>
      </c>
      <c r="C616" s="24">
        <v>3250</v>
      </c>
      <c r="D616" s="4">
        <v>46087</v>
      </c>
      <c r="E616" t="str">
        <f>VLOOKUP($A616,Sheet4!$A:$B,2,0)</f>
        <v>PS Fudgesicle NSA 6-18PK</v>
      </c>
      <c r="F616" s="3" t="s">
        <v>73</v>
      </c>
    </row>
    <row r="617" spans="1:6" x14ac:dyDescent="0.25">
      <c r="A617" s="3">
        <v>69629468</v>
      </c>
      <c r="B617" s="3">
        <v>1352</v>
      </c>
      <c r="C617" s="24">
        <v>826</v>
      </c>
      <c r="D617" s="4">
        <v>46087</v>
      </c>
      <c r="E617" t="str">
        <f>VLOOKUP($A617,Sheet4!$A:$B,2,0)</f>
        <v>PS Fudgesicle NSA 6-18PK</v>
      </c>
      <c r="F617" s="3" t="s">
        <v>73</v>
      </c>
    </row>
    <row r="618" spans="1:6" x14ac:dyDescent="0.25">
      <c r="A618" s="3">
        <v>69629468</v>
      </c>
      <c r="B618" s="3">
        <v>1352</v>
      </c>
      <c r="C618" s="24">
        <v>2080</v>
      </c>
      <c r="D618" s="4">
        <v>46092</v>
      </c>
      <c r="E618" t="str">
        <f>VLOOKUP($A618,Sheet4!$A:$B,2,0)</f>
        <v>PS Fudgesicle NSA 6-18PK</v>
      </c>
      <c r="F618" s="3" t="s">
        <v>73</v>
      </c>
    </row>
    <row r="619" spans="1:6" x14ac:dyDescent="0.25">
      <c r="A619" s="3">
        <v>69629468</v>
      </c>
      <c r="B619" s="3">
        <v>1352</v>
      </c>
      <c r="C619" s="24">
        <v>3486</v>
      </c>
      <c r="D619" s="4">
        <v>46093</v>
      </c>
      <c r="E619" t="str">
        <f>VLOOKUP($A619,Sheet4!$A:$B,2,0)</f>
        <v>PS Fudgesicle NSA 6-18PK</v>
      </c>
      <c r="F619" s="3" t="s">
        <v>73</v>
      </c>
    </row>
    <row r="620" spans="1:6" x14ac:dyDescent="0.25">
      <c r="A620" s="3">
        <v>69629468</v>
      </c>
      <c r="B620" s="3">
        <v>1352</v>
      </c>
      <c r="C620" s="24">
        <v>2080</v>
      </c>
      <c r="D620" s="4">
        <v>46093</v>
      </c>
      <c r="E620" t="str">
        <f>VLOOKUP($A620,Sheet4!$A:$B,2,0)</f>
        <v>PS Fudgesicle NSA 6-18PK</v>
      </c>
      <c r="F620" s="3" t="s">
        <v>73</v>
      </c>
    </row>
    <row r="621" spans="1:6" x14ac:dyDescent="0.25">
      <c r="A621" s="3">
        <v>69629468</v>
      </c>
      <c r="B621" s="3">
        <v>1352</v>
      </c>
      <c r="C621" s="24">
        <v>1188</v>
      </c>
      <c r="D621" s="4">
        <v>46094</v>
      </c>
      <c r="E621" t="str">
        <f>VLOOKUP($A621,Sheet4!$A:$B,2,0)</f>
        <v>PS Fudgesicle NSA 6-18PK</v>
      </c>
      <c r="F621" s="3" t="s">
        <v>73</v>
      </c>
    </row>
    <row r="622" spans="1:6" x14ac:dyDescent="0.25">
      <c r="A622" s="3">
        <v>69629468</v>
      </c>
      <c r="B622" s="3">
        <v>1352</v>
      </c>
      <c r="C622" s="24">
        <v>1430</v>
      </c>
      <c r="D622" s="4">
        <v>46097</v>
      </c>
      <c r="E622" t="str">
        <f>VLOOKUP($A622,Sheet4!$A:$B,2,0)</f>
        <v>PS Fudgesicle NSA 6-18PK</v>
      </c>
      <c r="F622" s="3" t="s">
        <v>73</v>
      </c>
    </row>
    <row r="623" spans="1:6" x14ac:dyDescent="0.25">
      <c r="A623" s="3">
        <v>69629468</v>
      </c>
      <c r="B623" s="3">
        <v>1352</v>
      </c>
      <c r="C623" s="24">
        <v>1560</v>
      </c>
      <c r="D623" s="4">
        <v>46098</v>
      </c>
      <c r="E623" t="str">
        <f>VLOOKUP($A623,Sheet4!$A:$B,2,0)</f>
        <v>PS Fudgesicle NSA 6-18PK</v>
      </c>
      <c r="F623" s="3" t="s">
        <v>73</v>
      </c>
    </row>
    <row r="624" spans="1:6" x14ac:dyDescent="0.25">
      <c r="A624" s="3">
        <v>69629468</v>
      </c>
      <c r="B624" s="3">
        <v>1352</v>
      </c>
      <c r="C624" s="24">
        <v>1950</v>
      </c>
      <c r="D624" s="4">
        <v>46098</v>
      </c>
      <c r="E624" t="str">
        <f>VLOOKUP($A624,Sheet4!$A:$B,2,0)</f>
        <v>PS Fudgesicle NSA 6-18PK</v>
      </c>
      <c r="F624" s="3" t="s">
        <v>73</v>
      </c>
    </row>
    <row r="625" spans="1:6" x14ac:dyDescent="0.25">
      <c r="A625" s="3">
        <v>69629468</v>
      </c>
      <c r="B625" s="3">
        <v>1352</v>
      </c>
      <c r="C625" s="24">
        <v>2361</v>
      </c>
      <c r="D625" s="4">
        <v>46099</v>
      </c>
      <c r="E625" t="str">
        <f>VLOOKUP($A625,Sheet4!$A:$B,2,0)</f>
        <v>PS Fudgesicle NSA 6-18PK</v>
      </c>
      <c r="F625" s="3" t="s">
        <v>73</v>
      </c>
    </row>
    <row r="626" spans="1:6" x14ac:dyDescent="0.25">
      <c r="A626" s="3">
        <v>69629468</v>
      </c>
      <c r="B626" s="3">
        <v>1352</v>
      </c>
      <c r="C626" s="24">
        <v>1690</v>
      </c>
      <c r="D626" s="4">
        <v>46099</v>
      </c>
      <c r="E626" t="str">
        <f>VLOOKUP($A626,Sheet4!$A:$B,2,0)</f>
        <v>PS Fudgesicle NSA 6-18PK</v>
      </c>
      <c r="F626" s="3" t="s">
        <v>73</v>
      </c>
    </row>
    <row r="627" spans="1:6" x14ac:dyDescent="0.25">
      <c r="A627" s="3">
        <v>69629468</v>
      </c>
      <c r="B627" s="3">
        <v>1352</v>
      </c>
      <c r="C627" s="24">
        <v>3350</v>
      </c>
      <c r="D627" s="4">
        <v>46100</v>
      </c>
      <c r="E627" t="str">
        <f>VLOOKUP($A627,Sheet4!$A:$B,2,0)</f>
        <v>PS Fudgesicle NSA 6-18PK</v>
      </c>
      <c r="F627" s="3" t="s">
        <v>73</v>
      </c>
    </row>
    <row r="628" spans="1:6" x14ac:dyDescent="0.25">
      <c r="A628" s="3">
        <v>69629468</v>
      </c>
      <c r="B628" s="3">
        <v>1352</v>
      </c>
      <c r="C628" s="24">
        <v>1950</v>
      </c>
      <c r="D628" s="4">
        <v>46100</v>
      </c>
      <c r="E628" t="str">
        <f>VLOOKUP($A628,Sheet4!$A:$B,2,0)</f>
        <v>PS Fudgesicle NSA 6-18PK</v>
      </c>
      <c r="F628" s="3" t="s">
        <v>73</v>
      </c>
    </row>
    <row r="629" spans="1:6" x14ac:dyDescent="0.25">
      <c r="A629" s="3">
        <v>69629468</v>
      </c>
      <c r="B629" s="3">
        <v>1352</v>
      </c>
      <c r="C629" s="24">
        <v>2438</v>
      </c>
      <c r="D629" s="4">
        <v>46101</v>
      </c>
      <c r="E629" t="str">
        <f>VLOOKUP($A629,Sheet4!$A:$B,2,0)</f>
        <v>PS Fudgesicle NSA 6-18PK</v>
      </c>
      <c r="F629" s="3" t="s">
        <v>73</v>
      </c>
    </row>
    <row r="630" spans="1:6" x14ac:dyDescent="0.25">
      <c r="A630" s="3">
        <v>69629468</v>
      </c>
      <c r="B630" s="3">
        <v>1352</v>
      </c>
      <c r="C630" s="24">
        <v>390</v>
      </c>
      <c r="D630" s="4">
        <v>46102</v>
      </c>
      <c r="E630" t="str">
        <f>VLOOKUP($A630,Sheet4!$A:$B,2,0)</f>
        <v>PS Fudgesicle NSA 6-18PK</v>
      </c>
      <c r="F630" s="3" t="s">
        <v>73</v>
      </c>
    </row>
    <row r="631" spans="1:6" x14ac:dyDescent="0.25">
      <c r="A631" s="3">
        <v>69629468</v>
      </c>
      <c r="B631" s="3">
        <v>1352</v>
      </c>
      <c r="C631" s="24">
        <v>1262</v>
      </c>
      <c r="D631" s="4">
        <v>46102</v>
      </c>
      <c r="E631" t="str">
        <f>VLOOKUP($A631,Sheet4!$A:$B,2,0)</f>
        <v>PS Fudgesicle NSA 6-18PK</v>
      </c>
      <c r="F631" s="3" t="s">
        <v>73</v>
      </c>
    </row>
    <row r="632" spans="1:6" x14ac:dyDescent="0.25">
      <c r="A632" s="3">
        <v>69629468</v>
      </c>
      <c r="B632" s="3">
        <v>1352</v>
      </c>
      <c r="C632" s="24">
        <v>390</v>
      </c>
      <c r="D632" s="4">
        <v>46104</v>
      </c>
      <c r="E632" t="str">
        <f>VLOOKUP($A632,Sheet4!$A:$B,2,0)</f>
        <v>PS Fudgesicle NSA 6-18PK</v>
      </c>
      <c r="F632" s="3" t="s">
        <v>73</v>
      </c>
    </row>
    <row r="633" spans="1:6" x14ac:dyDescent="0.25">
      <c r="A633" s="3">
        <v>69629468</v>
      </c>
      <c r="B633" s="3">
        <v>1352</v>
      </c>
      <c r="C633" s="24">
        <v>1683</v>
      </c>
      <c r="D633" s="4">
        <v>46105</v>
      </c>
      <c r="E633" t="str">
        <f>VLOOKUP($A633,Sheet4!$A:$B,2,0)</f>
        <v>PS Fudgesicle NSA 6-18PK</v>
      </c>
      <c r="F633" s="3" t="s">
        <v>73</v>
      </c>
    </row>
    <row r="634" spans="1:6" x14ac:dyDescent="0.25">
      <c r="A634" s="3">
        <v>69629468</v>
      </c>
      <c r="B634" s="3">
        <v>1352</v>
      </c>
      <c r="C634" s="24">
        <v>2080</v>
      </c>
      <c r="D634" s="4">
        <v>46105</v>
      </c>
      <c r="E634" t="str">
        <f>VLOOKUP($A634,Sheet4!$A:$B,2,0)</f>
        <v>PS Fudgesicle NSA 6-18PK</v>
      </c>
      <c r="F634" s="3" t="s">
        <v>73</v>
      </c>
    </row>
    <row r="635" spans="1:6" x14ac:dyDescent="0.25">
      <c r="A635" s="3">
        <v>69700048</v>
      </c>
      <c r="B635" s="3">
        <v>1352</v>
      </c>
      <c r="C635" s="24">
        <v>2475</v>
      </c>
      <c r="D635" s="4">
        <v>46083</v>
      </c>
      <c r="E635" t="str">
        <f>VLOOKUP($A635,Sheet4!$A:$B,2,0)</f>
        <v>GH Reeses Bar 1-24BK</v>
      </c>
      <c r="F635" s="3" t="s">
        <v>48</v>
      </c>
    </row>
    <row r="636" spans="1:6" x14ac:dyDescent="0.25">
      <c r="A636" s="3">
        <v>69700048</v>
      </c>
      <c r="B636" s="3">
        <v>1352</v>
      </c>
      <c r="C636" s="24">
        <v>5160</v>
      </c>
      <c r="D636" s="4">
        <v>46084</v>
      </c>
      <c r="E636" t="str">
        <f>VLOOKUP($A636,Sheet4!$A:$B,2,0)</f>
        <v>GH Reeses Bar 1-24BK</v>
      </c>
      <c r="F636" s="3" t="s">
        <v>48</v>
      </c>
    </row>
    <row r="637" spans="1:6" x14ac:dyDescent="0.25">
      <c r="A637" s="3">
        <v>69700048</v>
      </c>
      <c r="B637" s="3">
        <v>1352</v>
      </c>
      <c r="C637" s="24">
        <v>225</v>
      </c>
      <c r="D637" s="4">
        <v>46085</v>
      </c>
      <c r="E637" t="str">
        <f>VLOOKUP($A637,Sheet4!$A:$B,2,0)</f>
        <v>GH Reeses Bar 1-24BK</v>
      </c>
      <c r="F637" s="3" t="s">
        <v>48</v>
      </c>
    </row>
    <row r="638" spans="1:6" x14ac:dyDescent="0.25">
      <c r="A638" s="3">
        <v>69700048</v>
      </c>
      <c r="B638" s="3">
        <v>1352</v>
      </c>
      <c r="C638" s="24">
        <v>3375</v>
      </c>
      <c r="D638" s="4">
        <v>46084</v>
      </c>
      <c r="E638" t="str">
        <f>VLOOKUP($A638,Sheet4!$A:$B,2,0)</f>
        <v>GH Reeses Bar 1-24BK</v>
      </c>
      <c r="F638" s="3" t="s">
        <v>48</v>
      </c>
    </row>
    <row r="639" spans="1:6" x14ac:dyDescent="0.25">
      <c r="A639" s="3">
        <v>69700048</v>
      </c>
      <c r="B639" s="3">
        <v>1352</v>
      </c>
      <c r="C639" s="24">
        <v>4326</v>
      </c>
      <c r="D639" s="4">
        <v>46085</v>
      </c>
      <c r="E639" t="str">
        <f>VLOOKUP($A639,Sheet4!$A:$B,2,0)</f>
        <v>GH Reeses Bar 1-24BK</v>
      </c>
      <c r="F639" s="3" t="s">
        <v>48</v>
      </c>
    </row>
    <row r="640" spans="1:6" x14ac:dyDescent="0.25">
      <c r="A640" s="3">
        <v>69700048</v>
      </c>
      <c r="B640" s="3">
        <v>1352</v>
      </c>
      <c r="C640" s="24">
        <v>2700</v>
      </c>
      <c r="D640" s="4">
        <v>46085</v>
      </c>
      <c r="E640" t="str">
        <f>VLOOKUP($A640,Sheet4!$A:$B,2,0)</f>
        <v>GH Reeses Bar 1-24BK</v>
      </c>
      <c r="F640" s="3" t="s">
        <v>48</v>
      </c>
    </row>
    <row r="641" spans="1:6" x14ac:dyDescent="0.25">
      <c r="A641" s="3">
        <v>69700048</v>
      </c>
      <c r="B641" s="3">
        <v>1352</v>
      </c>
      <c r="C641" s="24">
        <v>5400</v>
      </c>
      <c r="D641" s="4">
        <v>46086</v>
      </c>
      <c r="E641" t="str">
        <f>VLOOKUP($A641,Sheet4!$A:$B,2,0)</f>
        <v>GH Reeses Bar 1-24BK</v>
      </c>
      <c r="F641" s="3" t="s">
        <v>48</v>
      </c>
    </row>
    <row r="642" spans="1:6" x14ac:dyDescent="0.25">
      <c r="A642" s="3">
        <v>69700048</v>
      </c>
      <c r="B642" s="3">
        <v>1352</v>
      </c>
      <c r="C642" s="24">
        <v>3150</v>
      </c>
      <c r="D642" s="4">
        <v>46086</v>
      </c>
      <c r="E642" t="str">
        <f>VLOOKUP($A642,Sheet4!$A:$B,2,0)</f>
        <v>GH Reeses Bar 1-24BK</v>
      </c>
      <c r="F642" s="3" t="s">
        <v>48</v>
      </c>
    </row>
    <row r="643" spans="1:6" x14ac:dyDescent="0.25">
      <c r="A643" s="3">
        <v>69700048</v>
      </c>
      <c r="B643" s="3">
        <v>1352</v>
      </c>
      <c r="C643" s="24">
        <v>4274</v>
      </c>
      <c r="D643" s="4">
        <v>46087</v>
      </c>
      <c r="E643" t="str">
        <f>VLOOKUP($A643,Sheet4!$A:$B,2,0)</f>
        <v>GH Reeses Bar 1-24BK</v>
      </c>
      <c r="F643" s="3" t="s">
        <v>48</v>
      </c>
    </row>
    <row r="644" spans="1:6" x14ac:dyDescent="0.25">
      <c r="A644" s="3">
        <v>69700048</v>
      </c>
      <c r="B644" s="3">
        <v>1352</v>
      </c>
      <c r="C644" s="24">
        <v>1637</v>
      </c>
      <c r="D644" s="4">
        <v>46087</v>
      </c>
      <c r="E644" t="str">
        <f>VLOOKUP($A644,Sheet4!$A:$B,2,0)</f>
        <v>GH Reeses Bar 1-24BK</v>
      </c>
      <c r="F644" s="3" t="s">
        <v>48</v>
      </c>
    </row>
    <row r="645" spans="1:6" x14ac:dyDescent="0.25">
      <c r="A645" s="3">
        <v>69700048</v>
      </c>
      <c r="B645" s="3">
        <v>1352</v>
      </c>
      <c r="C645" s="24">
        <v>213</v>
      </c>
      <c r="D645" s="4">
        <v>46088</v>
      </c>
      <c r="E645" t="str">
        <f>VLOOKUP($A645,Sheet4!$A:$B,2,0)</f>
        <v>GH Reeses Bar 1-24BK</v>
      </c>
      <c r="F645" s="3" t="s">
        <v>48</v>
      </c>
    </row>
    <row r="646" spans="1:6" x14ac:dyDescent="0.25">
      <c r="A646" s="3">
        <v>69725082</v>
      </c>
      <c r="B646" s="3">
        <v>1352</v>
      </c>
      <c r="C646" s="24">
        <v>1689</v>
      </c>
      <c r="D646" s="4">
        <v>46076</v>
      </c>
      <c r="E646" t="str">
        <f>VLOOKUP($A646,Sheet4!$A:$B,2,0)</f>
        <v>PS OCG 6-18PK</v>
      </c>
      <c r="F646" s="3" t="s">
        <v>116</v>
      </c>
    </row>
    <row r="647" spans="1:6" x14ac:dyDescent="0.25">
      <c r="A647" s="3">
        <v>69725082</v>
      </c>
      <c r="B647" s="3">
        <v>1352</v>
      </c>
      <c r="C647" s="24">
        <v>1985</v>
      </c>
      <c r="D647" s="4">
        <v>46077</v>
      </c>
      <c r="E647" t="str">
        <f>VLOOKUP($A647,Sheet4!$A:$B,2,0)</f>
        <v>PS OCG 6-18PK</v>
      </c>
      <c r="F647" s="3" t="s">
        <v>116</v>
      </c>
    </row>
    <row r="648" spans="1:6" x14ac:dyDescent="0.25">
      <c r="A648" s="3">
        <v>69725082</v>
      </c>
      <c r="B648" s="3">
        <v>1352</v>
      </c>
      <c r="C648" s="24">
        <v>1819</v>
      </c>
      <c r="D648" s="4">
        <v>46077</v>
      </c>
      <c r="E648" t="str">
        <f>VLOOKUP($A648,Sheet4!$A:$B,2,0)</f>
        <v>PS OCG 6-18PK</v>
      </c>
      <c r="F648" s="3" t="s">
        <v>116</v>
      </c>
    </row>
    <row r="649" spans="1:6" x14ac:dyDescent="0.25">
      <c r="A649" s="3">
        <v>69725082</v>
      </c>
      <c r="B649" s="3">
        <v>1352</v>
      </c>
      <c r="C649" s="24">
        <v>2009</v>
      </c>
      <c r="D649" s="4">
        <v>46078</v>
      </c>
      <c r="E649" t="str">
        <f>VLOOKUP($A649,Sheet4!$A:$B,2,0)</f>
        <v>PS OCG 6-18PK</v>
      </c>
      <c r="F649" s="3" t="s">
        <v>116</v>
      </c>
    </row>
    <row r="650" spans="1:6" x14ac:dyDescent="0.25">
      <c r="A650" s="3">
        <v>69725082</v>
      </c>
      <c r="B650" s="3">
        <v>1352</v>
      </c>
      <c r="C650" s="24">
        <v>2080</v>
      </c>
      <c r="D650" s="4">
        <v>46078</v>
      </c>
      <c r="E650" t="str">
        <f>VLOOKUP($A650,Sheet4!$A:$B,2,0)</f>
        <v>PS OCG 6-18PK</v>
      </c>
      <c r="F650" s="3" t="s">
        <v>116</v>
      </c>
    </row>
    <row r="651" spans="1:6" x14ac:dyDescent="0.25">
      <c r="A651" s="3">
        <v>69725082</v>
      </c>
      <c r="B651" s="3">
        <v>1352</v>
      </c>
      <c r="C651" s="24">
        <v>3579</v>
      </c>
      <c r="D651" s="4">
        <v>46079</v>
      </c>
      <c r="E651" t="str">
        <f>VLOOKUP($A651,Sheet4!$A:$B,2,0)</f>
        <v>PS OCG 6-18PK</v>
      </c>
      <c r="F651" s="3" t="s">
        <v>116</v>
      </c>
    </row>
    <row r="652" spans="1:6" x14ac:dyDescent="0.25">
      <c r="A652" s="3">
        <v>69725082</v>
      </c>
      <c r="B652" s="3">
        <v>1352</v>
      </c>
      <c r="C652" s="24">
        <v>2210</v>
      </c>
      <c r="D652" s="4">
        <v>46079</v>
      </c>
      <c r="E652" t="str">
        <f>VLOOKUP($A652,Sheet4!$A:$B,2,0)</f>
        <v>PS OCG 6-18PK</v>
      </c>
      <c r="F652" s="3" t="s">
        <v>116</v>
      </c>
    </row>
    <row r="653" spans="1:6" x14ac:dyDescent="0.25">
      <c r="A653" s="3">
        <v>69725082</v>
      </c>
      <c r="B653" s="3">
        <v>1352</v>
      </c>
      <c r="C653" s="24">
        <v>3213</v>
      </c>
      <c r="D653" s="4">
        <v>46080</v>
      </c>
      <c r="E653" t="str">
        <f>VLOOKUP($A653,Sheet4!$A:$B,2,0)</f>
        <v>PS OCG 6-18PK</v>
      </c>
      <c r="F653" s="3" t="s">
        <v>116</v>
      </c>
    </row>
    <row r="654" spans="1:6" x14ac:dyDescent="0.25">
      <c r="A654" s="3">
        <v>69725082</v>
      </c>
      <c r="B654" s="3">
        <v>1352</v>
      </c>
      <c r="C654" s="24">
        <v>2210</v>
      </c>
      <c r="D654" s="4">
        <v>46080</v>
      </c>
      <c r="E654" t="str">
        <f>VLOOKUP($A654,Sheet4!$A:$B,2,0)</f>
        <v>PS OCG 6-18PK</v>
      </c>
      <c r="F654" s="3" t="s">
        <v>116</v>
      </c>
    </row>
    <row r="655" spans="1:6" x14ac:dyDescent="0.25">
      <c r="A655" s="3">
        <v>69725082</v>
      </c>
      <c r="B655" s="3">
        <v>1352</v>
      </c>
      <c r="C655" s="24">
        <v>1129</v>
      </c>
      <c r="D655" s="4">
        <v>46081</v>
      </c>
      <c r="E655" t="str">
        <f>VLOOKUP($A655,Sheet4!$A:$B,2,0)</f>
        <v>PS OCG 6-18PK</v>
      </c>
      <c r="F655" s="3" t="s">
        <v>116</v>
      </c>
    </row>
    <row r="656" spans="1:6" x14ac:dyDescent="0.25">
      <c r="A656" s="3">
        <v>69725082</v>
      </c>
      <c r="B656" s="3">
        <v>1352</v>
      </c>
      <c r="C656" s="24">
        <v>130</v>
      </c>
      <c r="D656" s="4">
        <v>46076</v>
      </c>
      <c r="E656" t="str">
        <f>VLOOKUP($A656,Sheet4!$A:$B,2,0)</f>
        <v>PS OCG 6-18PK</v>
      </c>
      <c r="F656" s="3" t="s">
        <v>76</v>
      </c>
    </row>
    <row r="657" spans="1:6" x14ac:dyDescent="0.25">
      <c r="A657" s="3">
        <v>69725082</v>
      </c>
      <c r="B657" s="3">
        <v>1352</v>
      </c>
      <c r="C657" s="24">
        <v>2080</v>
      </c>
      <c r="D657" s="4">
        <v>46083</v>
      </c>
      <c r="E657" t="str">
        <f>VLOOKUP($A657,Sheet4!$A:$B,2,0)</f>
        <v>PS OCG 6-18PK</v>
      </c>
      <c r="F657" s="3" t="s">
        <v>116</v>
      </c>
    </row>
    <row r="658" spans="1:6" x14ac:dyDescent="0.25">
      <c r="A658" s="3">
        <v>69725082</v>
      </c>
      <c r="B658" s="3">
        <v>1352</v>
      </c>
      <c r="C658" s="24">
        <v>3544</v>
      </c>
      <c r="D658" s="4">
        <v>46084</v>
      </c>
      <c r="E658" t="str">
        <f>VLOOKUP($A658,Sheet4!$A:$B,2,0)</f>
        <v>PS OCG 6-18PK</v>
      </c>
      <c r="F658" s="3" t="s">
        <v>116</v>
      </c>
    </row>
    <row r="659" spans="1:6" x14ac:dyDescent="0.25">
      <c r="A659" s="3">
        <v>69725082</v>
      </c>
      <c r="B659" s="3">
        <v>1352</v>
      </c>
      <c r="C659" s="24">
        <v>2470</v>
      </c>
      <c r="D659" s="4">
        <v>46084</v>
      </c>
      <c r="E659" t="str">
        <f>VLOOKUP($A659,Sheet4!$A:$B,2,0)</f>
        <v>PS OCG 6-18PK</v>
      </c>
      <c r="F659" s="3" t="s">
        <v>116</v>
      </c>
    </row>
    <row r="660" spans="1:6" x14ac:dyDescent="0.25">
      <c r="A660" s="3">
        <v>69725082</v>
      </c>
      <c r="B660" s="3">
        <v>1352</v>
      </c>
      <c r="C660" s="24">
        <v>3315</v>
      </c>
      <c r="D660" s="4">
        <v>46085</v>
      </c>
      <c r="E660" t="str">
        <f>VLOOKUP($A660,Sheet4!$A:$B,2,0)</f>
        <v>PS OCG 6-18PK</v>
      </c>
      <c r="F660" s="3" t="s">
        <v>116</v>
      </c>
    </row>
    <row r="661" spans="1:6" x14ac:dyDescent="0.25">
      <c r="A661" s="3">
        <v>69725082</v>
      </c>
      <c r="B661" s="3">
        <v>1352</v>
      </c>
      <c r="C661" s="24">
        <v>2080</v>
      </c>
      <c r="D661" s="4">
        <v>46085</v>
      </c>
      <c r="E661" t="str">
        <f>VLOOKUP($A661,Sheet4!$A:$B,2,0)</f>
        <v>PS OCG 6-18PK</v>
      </c>
      <c r="F661" s="3" t="s">
        <v>116</v>
      </c>
    </row>
    <row r="662" spans="1:6" x14ac:dyDescent="0.25">
      <c r="A662" s="3">
        <v>69725082</v>
      </c>
      <c r="B662" s="3">
        <v>1352</v>
      </c>
      <c r="C662" s="24">
        <v>368</v>
      </c>
      <c r="D662" s="4">
        <v>46086</v>
      </c>
      <c r="E662" t="str">
        <f>VLOOKUP($A662,Sheet4!$A:$B,2,0)</f>
        <v>PS OCG 6-18PK</v>
      </c>
      <c r="F662" s="3" t="s">
        <v>116</v>
      </c>
    </row>
    <row r="663" spans="1:6" x14ac:dyDescent="0.25">
      <c r="A663" s="3">
        <v>69725082</v>
      </c>
      <c r="B663" s="3">
        <v>1352</v>
      </c>
      <c r="C663" s="24">
        <v>2080</v>
      </c>
      <c r="D663" s="4">
        <v>46086</v>
      </c>
      <c r="E663" t="str">
        <f>VLOOKUP($A663,Sheet4!$A:$B,2,0)</f>
        <v>PS OCG 6-18PK</v>
      </c>
      <c r="F663" s="3" t="s">
        <v>116</v>
      </c>
    </row>
    <row r="664" spans="1:6" x14ac:dyDescent="0.25">
      <c r="A664" s="3">
        <v>69725082</v>
      </c>
      <c r="B664" s="3">
        <v>1352</v>
      </c>
      <c r="C664" s="24">
        <v>2990</v>
      </c>
      <c r="D664" s="4">
        <v>46087</v>
      </c>
      <c r="E664" t="str">
        <f>VLOOKUP($A664,Sheet4!$A:$B,2,0)</f>
        <v>PS OCG 6-18PK</v>
      </c>
      <c r="F664" s="3" t="s">
        <v>116</v>
      </c>
    </row>
    <row r="665" spans="1:6" x14ac:dyDescent="0.25">
      <c r="A665" s="3">
        <v>69725082</v>
      </c>
      <c r="B665" s="3">
        <v>1352</v>
      </c>
      <c r="C665" s="24">
        <v>1950</v>
      </c>
      <c r="D665" s="4">
        <v>46087</v>
      </c>
      <c r="E665" t="str">
        <f>VLOOKUP($A665,Sheet4!$A:$B,2,0)</f>
        <v>PS OCG 6-18PK</v>
      </c>
      <c r="F665" s="3" t="s">
        <v>116</v>
      </c>
    </row>
    <row r="666" spans="1:6" x14ac:dyDescent="0.25">
      <c r="A666" s="3">
        <v>69725082</v>
      </c>
      <c r="B666" s="3">
        <v>1352</v>
      </c>
      <c r="C666" s="24">
        <v>2841</v>
      </c>
      <c r="D666" s="4">
        <v>46088</v>
      </c>
      <c r="E666" t="str">
        <f>VLOOKUP($A666,Sheet4!$A:$B,2,0)</f>
        <v>PS OCG 6-18PK</v>
      </c>
      <c r="F666" s="3" t="s">
        <v>116</v>
      </c>
    </row>
    <row r="667" spans="1:6" x14ac:dyDescent="0.25">
      <c r="A667" s="3">
        <v>69725082</v>
      </c>
      <c r="B667" s="3">
        <v>1352</v>
      </c>
      <c r="C667" s="24">
        <v>130</v>
      </c>
      <c r="D667" s="4">
        <v>46093</v>
      </c>
      <c r="E667" t="str">
        <f>VLOOKUP($A667,Sheet4!$A:$B,2,0)</f>
        <v>PS OCG 6-18PK</v>
      </c>
      <c r="F667" s="3" t="s">
        <v>116</v>
      </c>
    </row>
    <row r="668" spans="1:6" x14ac:dyDescent="0.25">
      <c r="A668" s="3">
        <v>69725083</v>
      </c>
      <c r="B668" s="3">
        <v>1352</v>
      </c>
      <c r="C668" s="24">
        <v>2207</v>
      </c>
      <c r="D668" s="4">
        <v>46091</v>
      </c>
      <c r="E668" t="str">
        <f>VLOOKUP($A668,Sheet4!$A:$B,2,0)</f>
        <v>PS SF Tropical 6-18PK</v>
      </c>
      <c r="F668" s="3" t="s">
        <v>72</v>
      </c>
    </row>
    <row r="669" spans="1:6" x14ac:dyDescent="0.25">
      <c r="A669" s="3">
        <v>69725083</v>
      </c>
      <c r="B669" s="3">
        <v>1352</v>
      </c>
      <c r="C669" s="24">
        <v>3075</v>
      </c>
      <c r="D669" s="4">
        <v>46092</v>
      </c>
      <c r="E669" t="str">
        <f>VLOOKUP($A669,Sheet4!$A:$B,2,0)</f>
        <v>PS SF Tropical 6-18PK</v>
      </c>
      <c r="F669" s="3" t="s">
        <v>72</v>
      </c>
    </row>
    <row r="670" spans="1:6" x14ac:dyDescent="0.25">
      <c r="A670" s="3">
        <v>69725083</v>
      </c>
      <c r="B670" s="3">
        <v>1352</v>
      </c>
      <c r="C670" s="24">
        <v>1950</v>
      </c>
      <c r="D670" s="4">
        <v>46092</v>
      </c>
      <c r="E670" t="str">
        <f>VLOOKUP($A670,Sheet4!$A:$B,2,0)</f>
        <v>PS SF Tropical 6-18PK</v>
      </c>
      <c r="F670" s="3" t="s">
        <v>72</v>
      </c>
    </row>
    <row r="671" spans="1:6" x14ac:dyDescent="0.25">
      <c r="A671" s="3">
        <v>69725083</v>
      </c>
      <c r="B671" s="3">
        <v>1352</v>
      </c>
      <c r="C671" s="24">
        <v>1853</v>
      </c>
      <c r="D671" s="4">
        <v>46093</v>
      </c>
      <c r="E671" t="str">
        <f>VLOOKUP($A671,Sheet4!$A:$B,2,0)</f>
        <v>PS SF Tropical 6-18PK</v>
      </c>
      <c r="F671" s="3" t="s">
        <v>72</v>
      </c>
    </row>
    <row r="672" spans="1:6" x14ac:dyDescent="0.25">
      <c r="A672" s="3">
        <v>69725083</v>
      </c>
      <c r="B672" s="3">
        <v>1352</v>
      </c>
      <c r="C672" s="24">
        <v>1820</v>
      </c>
      <c r="D672" s="4">
        <v>46093</v>
      </c>
      <c r="E672" t="str">
        <f>VLOOKUP($A672,Sheet4!$A:$B,2,0)</f>
        <v>PS SF Tropical 6-18PK</v>
      </c>
      <c r="F672" s="3" t="s">
        <v>72</v>
      </c>
    </row>
    <row r="673" spans="1:6" x14ac:dyDescent="0.25">
      <c r="A673" s="3">
        <v>69725083</v>
      </c>
      <c r="B673" s="3">
        <v>1352</v>
      </c>
      <c r="C673" s="24">
        <v>2990</v>
      </c>
      <c r="D673" s="4">
        <v>46094</v>
      </c>
      <c r="E673" t="str">
        <f>VLOOKUP($A673,Sheet4!$A:$B,2,0)</f>
        <v>PS SF Tropical 6-18PK</v>
      </c>
      <c r="F673" s="3" t="s">
        <v>72</v>
      </c>
    </row>
    <row r="674" spans="1:6" x14ac:dyDescent="0.25">
      <c r="A674" s="3">
        <v>69725083</v>
      </c>
      <c r="B674" s="3">
        <v>1352</v>
      </c>
      <c r="C674" s="24">
        <v>1430</v>
      </c>
      <c r="D674" s="4">
        <v>46094</v>
      </c>
      <c r="E674" t="str">
        <f>VLOOKUP($A674,Sheet4!$A:$B,2,0)</f>
        <v>PS SF Tropical 6-18PK</v>
      </c>
      <c r="F674" s="3" t="s">
        <v>72</v>
      </c>
    </row>
    <row r="675" spans="1:6" x14ac:dyDescent="0.25">
      <c r="A675" s="3">
        <v>69725083</v>
      </c>
      <c r="B675" s="3">
        <v>1352</v>
      </c>
      <c r="C675" s="24">
        <v>1746</v>
      </c>
      <c r="D675" s="4">
        <v>46095</v>
      </c>
      <c r="E675" t="str">
        <f>VLOOKUP($A675,Sheet4!$A:$B,2,0)</f>
        <v>PS SF Tropical 6-18PK</v>
      </c>
      <c r="F675" s="3" t="s">
        <v>72</v>
      </c>
    </row>
    <row r="676" spans="1:6" x14ac:dyDescent="0.25">
      <c r="A676" s="3">
        <v>69725083</v>
      </c>
      <c r="B676" s="3">
        <v>1352</v>
      </c>
      <c r="C676" s="24">
        <v>390</v>
      </c>
      <c r="D676" s="4">
        <v>46090</v>
      </c>
      <c r="E676" t="str">
        <f>VLOOKUP($A676,Sheet4!$A:$B,2,0)</f>
        <v>PS SF Tropical 6-18PK</v>
      </c>
      <c r="F676" s="3" t="s">
        <v>72</v>
      </c>
    </row>
    <row r="677" spans="1:6" x14ac:dyDescent="0.25">
      <c r="A677" s="3">
        <v>69725083</v>
      </c>
      <c r="B677" s="3">
        <v>1352</v>
      </c>
      <c r="C677" s="24">
        <v>3143</v>
      </c>
      <c r="D677" s="4">
        <v>46091</v>
      </c>
      <c r="E677" t="str">
        <f>VLOOKUP($A677,Sheet4!$A:$B,2,0)</f>
        <v>PS SF Tropical 6-18PK</v>
      </c>
      <c r="F677" s="3" t="s">
        <v>72</v>
      </c>
    </row>
    <row r="678" spans="1:6" x14ac:dyDescent="0.25">
      <c r="A678" s="3">
        <v>69725083</v>
      </c>
      <c r="B678" s="3">
        <v>1352</v>
      </c>
      <c r="C678" s="24">
        <v>1560</v>
      </c>
      <c r="D678" s="4">
        <v>46097</v>
      </c>
      <c r="E678" t="str">
        <f>VLOOKUP($A678,Sheet4!$A:$B,2,0)</f>
        <v>PS SF Tropical 6-18PK</v>
      </c>
      <c r="F678" s="3" t="s">
        <v>72</v>
      </c>
    </row>
    <row r="679" spans="1:6" x14ac:dyDescent="0.25">
      <c r="A679" s="3">
        <v>69725083</v>
      </c>
      <c r="B679" s="3">
        <v>1352</v>
      </c>
      <c r="C679" s="24">
        <v>1584</v>
      </c>
      <c r="D679" s="4">
        <v>46098</v>
      </c>
      <c r="E679" t="str">
        <f>VLOOKUP($A679,Sheet4!$A:$B,2,0)</f>
        <v>PS SF Tropical 6-18PK</v>
      </c>
      <c r="F679" s="3" t="s">
        <v>72</v>
      </c>
    </row>
    <row r="680" spans="1:6" x14ac:dyDescent="0.25">
      <c r="A680" s="3">
        <v>69725083</v>
      </c>
      <c r="B680" s="3">
        <v>1352</v>
      </c>
      <c r="C680" s="24">
        <v>2600</v>
      </c>
      <c r="D680" s="4">
        <v>46098</v>
      </c>
      <c r="E680" t="str">
        <f>VLOOKUP($A680,Sheet4!$A:$B,2,0)</f>
        <v>PS SF Tropical 6-18PK</v>
      </c>
      <c r="F680" s="3" t="s">
        <v>72</v>
      </c>
    </row>
    <row r="681" spans="1:6" x14ac:dyDescent="0.25">
      <c r="A681" s="3">
        <v>69725083</v>
      </c>
      <c r="B681" s="3">
        <v>1352</v>
      </c>
      <c r="C681" s="24">
        <v>3193</v>
      </c>
      <c r="D681" s="4">
        <v>46099</v>
      </c>
      <c r="E681" t="str">
        <f>VLOOKUP($A681,Sheet4!$A:$B,2,0)</f>
        <v>PS SF Tropical 6-18PK</v>
      </c>
      <c r="F681" s="3" t="s">
        <v>72</v>
      </c>
    </row>
    <row r="682" spans="1:6" x14ac:dyDescent="0.25">
      <c r="A682" s="3">
        <v>69725083</v>
      </c>
      <c r="B682" s="3">
        <v>1352</v>
      </c>
      <c r="C682" s="24">
        <v>2340</v>
      </c>
      <c r="D682" s="4">
        <v>46099</v>
      </c>
      <c r="E682" t="str">
        <f>VLOOKUP($A682,Sheet4!$A:$B,2,0)</f>
        <v>PS SF Tropical 6-18PK</v>
      </c>
      <c r="F682" s="3" t="s">
        <v>72</v>
      </c>
    </row>
    <row r="683" spans="1:6" x14ac:dyDescent="0.25">
      <c r="A683" s="3">
        <v>69725083</v>
      </c>
      <c r="B683" s="3">
        <v>1352</v>
      </c>
      <c r="C683" s="24">
        <v>3013</v>
      </c>
      <c r="D683" s="4">
        <v>46100</v>
      </c>
      <c r="E683" t="str">
        <f>VLOOKUP($A683,Sheet4!$A:$B,2,0)</f>
        <v>PS SF Tropical 6-18PK</v>
      </c>
      <c r="F683" s="3" t="s">
        <v>72</v>
      </c>
    </row>
    <row r="684" spans="1:6" x14ac:dyDescent="0.25">
      <c r="A684" s="3">
        <v>69725083</v>
      </c>
      <c r="B684" s="3">
        <v>1352</v>
      </c>
      <c r="C684" s="24">
        <v>2470</v>
      </c>
      <c r="D684" s="4">
        <v>46100</v>
      </c>
      <c r="E684" t="str">
        <f>VLOOKUP($A684,Sheet4!$A:$B,2,0)</f>
        <v>PS SF Tropical 6-18PK</v>
      </c>
      <c r="F684" s="3" t="s">
        <v>72</v>
      </c>
    </row>
    <row r="685" spans="1:6" x14ac:dyDescent="0.25">
      <c r="A685" s="3">
        <v>69725083</v>
      </c>
      <c r="B685" s="3">
        <v>1352</v>
      </c>
      <c r="C685" s="24">
        <v>2433</v>
      </c>
      <c r="D685" s="4">
        <v>46101</v>
      </c>
      <c r="E685" t="str">
        <f>VLOOKUP($A685,Sheet4!$A:$B,2,0)</f>
        <v>PS SF Tropical 6-18PK</v>
      </c>
      <c r="F685" s="3" t="s">
        <v>72</v>
      </c>
    </row>
    <row r="686" spans="1:6" x14ac:dyDescent="0.25">
      <c r="A686" s="3">
        <v>69725083</v>
      </c>
      <c r="B686" s="3">
        <v>1352</v>
      </c>
      <c r="C686" s="24">
        <v>637</v>
      </c>
      <c r="D686" s="4">
        <v>46101</v>
      </c>
      <c r="E686" t="str">
        <f>VLOOKUP($A686,Sheet4!$A:$B,2,0)</f>
        <v>PS SF Tropical 6-18PK</v>
      </c>
      <c r="F686" s="3" t="s">
        <v>72</v>
      </c>
    </row>
    <row r="687" spans="1:6" x14ac:dyDescent="0.25">
      <c r="A687" s="3">
        <v>69725083</v>
      </c>
      <c r="B687" s="3">
        <v>1352</v>
      </c>
      <c r="C687" s="24">
        <v>1903</v>
      </c>
      <c r="D687" s="4">
        <v>46102</v>
      </c>
      <c r="E687" t="str">
        <f>VLOOKUP($A687,Sheet4!$A:$B,2,0)</f>
        <v>PS SF Tropical 6-18PK</v>
      </c>
      <c r="F687" s="3" t="s">
        <v>72</v>
      </c>
    </row>
    <row r="688" spans="1:6" x14ac:dyDescent="0.25">
      <c r="A688" s="3">
        <v>69727314</v>
      </c>
      <c r="B688" s="3">
        <v>1352</v>
      </c>
      <c r="C688" s="24">
        <v>2210</v>
      </c>
      <c r="D688" s="4">
        <v>46090</v>
      </c>
      <c r="E688" t="str">
        <f>VLOOKUP($A688,Sheet4!$A:$B,2,0)</f>
        <v>PS OCG SF 6-18PK</v>
      </c>
      <c r="F688" s="3" t="s">
        <v>116</v>
      </c>
    </row>
    <row r="689" spans="1:6" x14ac:dyDescent="0.25">
      <c r="A689" s="3">
        <v>69727314</v>
      </c>
      <c r="B689" s="3">
        <v>1352</v>
      </c>
      <c r="C689" s="24">
        <v>3120</v>
      </c>
      <c r="D689" s="4">
        <v>46091</v>
      </c>
      <c r="E689" t="str">
        <f>VLOOKUP($A689,Sheet4!$A:$B,2,0)</f>
        <v>PS OCG SF 6-18PK</v>
      </c>
      <c r="F689" s="3" t="s">
        <v>116</v>
      </c>
    </row>
    <row r="690" spans="1:6" x14ac:dyDescent="0.25">
      <c r="A690" s="3">
        <v>69727314</v>
      </c>
      <c r="B690" s="3">
        <v>1352</v>
      </c>
      <c r="C690" s="24">
        <v>1950</v>
      </c>
      <c r="D690" s="4">
        <v>46091</v>
      </c>
      <c r="E690" t="str">
        <f>VLOOKUP($A690,Sheet4!$A:$B,2,0)</f>
        <v>PS OCG SF 6-18PK</v>
      </c>
      <c r="F690" s="3" t="s">
        <v>116</v>
      </c>
    </row>
    <row r="691" spans="1:6" x14ac:dyDescent="0.25">
      <c r="A691" s="3">
        <v>69727314</v>
      </c>
      <c r="B691" s="3">
        <v>1352</v>
      </c>
      <c r="C691" s="24">
        <v>2749</v>
      </c>
      <c r="D691" s="4">
        <v>46092</v>
      </c>
      <c r="E691" t="str">
        <f>VLOOKUP($A691,Sheet4!$A:$B,2,0)</f>
        <v>PS OCG SF 6-18PK</v>
      </c>
      <c r="F691" s="3" t="s">
        <v>116</v>
      </c>
    </row>
    <row r="692" spans="1:6" x14ac:dyDescent="0.25">
      <c r="A692" s="3">
        <v>69727314</v>
      </c>
      <c r="B692" s="3">
        <v>1352</v>
      </c>
      <c r="C692" s="24">
        <v>2600</v>
      </c>
      <c r="D692" s="4">
        <v>46092</v>
      </c>
      <c r="E692" t="str">
        <f>VLOOKUP($A692,Sheet4!$A:$B,2,0)</f>
        <v>PS OCG SF 6-18PK</v>
      </c>
      <c r="F692" s="3" t="s">
        <v>116</v>
      </c>
    </row>
    <row r="693" spans="1:6" x14ac:dyDescent="0.25">
      <c r="A693" s="3">
        <v>69727314</v>
      </c>
      <c r="B693" s="3">
        <v>1352</v>
      </c>
      <c r="C693" s="24">
        <v>3396</v>
      </c>
      <c r="D693" s="4">
        <v>46093</v>
      </c>
      <c r="E693" t="str">
        <f>VLOOKUP($A693,Sheet4!$A:$B,2,0)</f>
        <v>PS OCG SF 6-18PK</v>
      </c>
      <c r="F693" s="3" t="s">
        <v>116</v>
      </c>
    </row>
    <row r="694" spans="1:6" x14ac:dyDescent="0.25">
      <c r="A694" s="3">
        <v>69727314</v>
      </c>
      <c r="B694" s="3">
        <v>1352</v>
      </c>
      <c r="C694" s="24">
        <v>2730</v>
      </c>
      <c r="D694" s="4">
        <v>46093</v>
      </c>
      <c r="E694" t="str">
        <f>VLOOKUP($A694,Sheet4!$A:$B,2,0)</f>
        <v>PS OCG SF 6-18PK</v>
      </c>
      <c r="F694" s="3" t="s">
        <v>116</v>
      </c>
    </row>
    <row r="695" spans="1:6" x14ac:dyDescent="0.25">
      <c r="A695" s="3">
        <v>69727314</v>
      </c>
      <c r="B695" s="3">
        <v>1352</v>
      </c>
      <c r="C695" s="24">
        <v>3169</v>
      </c>
      <c r="D695" s="4">
        <v>46094</v>
      </c>
      <c r="E695" t="str">
        <f>VLOOKUP($A695,Sheet4!$A:$B,2,0)</f>
        <v>PS OCG SF 6-18PK</v>
      </c>
      <c r="F695" s="3" t="s">
        <v>116</v>
      </c>
    </row>
    <row r="696" spans="1:6" x14ac:dyDescent="0.25">
      <c r="A696" s="3">
        <v>69727314</v>
      </c>
      <c r="B696" s="3">
        <v>1352</v>
      </c>
      <c r="C696" s="24">
        <v>2080</v>
      </c>
      <c r="D696" s="4">
        <v>46097</v>
      </c>
      <c r="E696" t="str">
        <f>VLOOKUP($A696,Sheet4!$A:$B,2,0)</f>
        <v>PS OCG SF 6-18PK</v>
      </c>
      <c r="F696" s="3" t="s">
        <v>116</v>
      </c>
    </row>
    <row r="697" spans="1:6" x14ac:dyDescent="0.25">
      <c r="A697" s="3">
        <v>69727314</v>
      </c>
      <c r="B697" s="3">
        <v>1352</v>
      </c>
      <c r="C697" s="24">
        <v>3174</v>
      </c>
      <c r="D697" s="4">
        <v>46098</v>
      </c>
      <c r="E697" t="str">
        <f>VLOOKUP($A697,Sheet4!$A:$B,2,0)</f>
        <v>PS OCG SF 6-18PK</v>
      </c>
      <c r="F697" s="3" t="s">
        <v>116</v>
      </c>
    </row>
    <row r="698" spans="1:6" x14ac:dyDescent="0.25">
      <c r="A698" s="3">
        <v>69727314</v>
      </c>
      <c r="B698" s="3">
        <v>1352</v>
      </c>
      <c r="C698" s="24">
        <v>2210</v>
      </c>
      <c r="D698" s="4">
        <v>46098</v>
      </c>
      <c r="E698" t="str">
        <f>VLOOKUP($A698,Sheet4!$A:$B,2,0)</f>
        <v>PS OCG SF 6-18PK</v>
      </c>
      <c r="F698" s="3" t="s">
        <v>116</v>
      </c>
    </row>
    <row r="699" spans="1:6" x14ac:dyDescent="0.25">
      <c r="A699" s="3">
        <v>69727314</v>
      </c>
      <c r="B699" s="3">
        <v>1352</v>
      </c>
      <c r="C699" s="24">
        <v>3364</v>
      </c>
      <c r="D699" s="4">
        <v>46099</v>
      </c>
      <c r="E699" t="str">
        <f>VLOOKUP($A699,Sheet4!$A:$B,2,0)</f>
        <v>PS OCG SF 6-18PK</v>
      </c>
      <c r="F699" s="3" t="s">
        <v>116</v>
      </c>
    </row>
    <row r="700" spans="1:6" x14ac:dyDescent="0.25">
      <c r="A700" s="3">
        <v>69727314</v>
      </c>
      <c r="B700" s="3">
        <v>1352</v>
      </c>
      <c r="C700" s="24">
        <v>2470</v>
      </c>
      <c r="D700" s="4">
        <v>46099</v>
      </c>
      <c r="E700" t="str">
        <f>VLOOKUP($A700,Sheet4!$A:$B,2,0)</f>
        <v>PS OCG SF 6-18PK</v>
      </c>
      <c r="F700" s="3" t="s">
        <v>116</v>
      </c>
    </row>
    <row r="701" spans="1:6" x14ac:dyDescent="0.25">
      <c r="A701" s="3">
        <v>69727314</v>
      </c>
      <c r="B701" s="3">
        <v>1352</v>
      </c>
      <c r="C701" s="24">
        <v>2555</v>
      </c>
      <c r="D701" s="4">
        <v>46100</v>
      </c>
      <c r="E701" t="str">
        <f>VLOOKUP($A701,Sheet4!$A:$B,2,0)</f>
        <v>PS OCG SF 6-18PK</v>
      </c>
      <c r="F701" s="3" t="s">
        <v>116</v>
      </c>
    </row>
    <row r="702" spans="1:6" x14ac:dyDescent="0.25">
      <c r="A702" s="3">
        <v>69727314</v>
      </c>
      <c r="B702" s="3">
        <v>1352</v>
      </c>
      <c r="C702" s="24">
        <v>2080</v>
      </c>
      <c r="D702" s="4">
        <v>46100</v>
      </c>
      <c r="E702" t="str">
        <f>VLOOKUP($A702,Sheet4!$A:$B,2,0)</f>
        <v>PS OCG SF 6-18PK</v>
      </c>
      <c r="F702" s="3" t="s">
        <v>116</v>
      </c>
    </row>
    <row r="703" spans="1:6" x14ac:dyDescent="0.25">
      <c r="A703" s="3">
        <v>69727314</v>
      </c>
      <c r="B703" s="3">
        <v>1352</v>
      </c>
      <c r="C703" s="24">
        <v>3285</v>
      </c>
      <c r="D703" s="4">
        <v>46101</v>
      </c>
      <c r="E703" t="str">
        <f>VLOOKUP($A703,Sheet4!$A:$B,2,0)</f>
        <v>PS OCG SF 6-18PK</v>
      </c>
      <c r="F703" s="3" t="s">
        <v>116</v>
      </c>
    </row>
    <row r="704" spans="1:6" x14ac:dyDescent="0.25">
      <c r="A704" s="3">
        <v>69727314</v>
      </c>
      <c r="B704" s="3">
        <v>1352</v>
      </c>
      <c r="C704" s="24">
        <v>447</v>
      </c>
      <c r="D704" s="4">
        <v>46101</v>
      </c>
      <c r="E704" t="str">
        <f>VLOOKUP($A704,Sheet4!$A:$B,2,0)</f>
        <v>PS OCG SF 6-18PK</v>
      </c>
      <c r="F704" s="3" t="s">
        <v>116</v>
      </c>
    </row>
    <row r="705" spans="1:6" x14ac:dyDescent="0.25">
      <c r="A705" s="3">
        <v>69727314</v>
      </c>
      <c r="B705" s="3">
        <v>1352</v>
      </c>
      <c r="C705" s="24">
        <v>1690</v>
      </c>
      <c r="D705" s="4">
        <v>46104</v>
      </c>
      <c r="E705" t="str">
        <f>VLOOKUP($A705,Sheet4!$A:$B,2,0)</f>
        <v>PS OCG SF 6-18PK</v>
      </c>
      <c r="F705" s="3" t="s">
        <v>116</v>
      </c>
    </row>
    <row r="706" spans="1:6" x14ac:dyDescent="0.25">
      <c r="A706" s="3">
        <v>69727314</v>
      </c>
      <c r="B706" s="3">
        <v>1352</v>
      </c>
      <c r="C706" s="24">
        <v>3168</v>
      </c>
      <c r="D706" s="4">
        <v>46105</v>
      </c>
      <c r="E706" t="str">
        <f>VLOOKUP($A706,Sheet4!$A:$B,2,0)</f>
        <v>PS OCG SF 6-18PK</v>
      </c>
      <c r="F706" s="3" t="s">
        <v>116</v>
      </c>
    </row>
    <row r="707" spans="1:6" x14ac:dyDescent="0.25">
      <c r="A707" s="3">
        <v>69727314</v>
      </c>
      <c r="B707" s="3">
        <v>1352</v>
      </c>
      <c r="C707" s="24">
        <v>2730</v>
      </c>
      <c r="D707" s="4">
        <v>46105</v>
      </c>
      <c r="E707" t="str">
        <f>VLOOKUP($A707,Sheet4!$A:$B,2,0)</f>
        <v>PS OCG SF 6-18PK</v>
      </c>
      <c r="F707" s="3" t="s">
        <v>116</v>
      </c>
    </row>
    <row r="708" spans="1:6" x14ac:dyDescent="0.25">
      <c r="A708" s="3">
        <v>64330596</v>
      </c>
      <c r="B708" s="3">
        <v>2904</v>
      </c>
      <c r="C708" s="24">
        <v>350</v>
      </c>
      <c r="D708" s="4">
        <v>46084</v>
      </c>
      <c r="E708" t="str">
        <f>VLOOKUP($A708,Sheet4!$A:$B,2,0)</f>
        <v>MG Mini Double Caramel Bar 6-6PK</v>
      </c>
      <c r="F708" s="3" t="s">
        <v>56</v>
      </c>
    </row>
    <row r="709" spans="1:6" x14ac:dyDescent="0.25">
      <c r="A709" s="3">
        <v>64330596</v>
      </c>
      <c r="B709" s="3">
        <v>2904</v>
      </c>
      <c r="C709" s="24">
        <v>2530</v>
      </c>
      <c r="D709" s="4">
        <v>46084</v>
      </c>
      <c r="E709" t="str">
        <f>VLOOKUP($A709,Sheet4!$A:$B,2,0)</f>
        <v>MG Mini Double Caramel Bar 6-6PK</v>
      </c>
      <c r="F709" s="3" t="s">
        <v>56</v>
      </c>
    </row>
    <row r="710" spans="1:6" x14ac:dyDescent="0.25">
      <c r="A710" s="3">
        <v>64330596</v>
      </c>
      <c r="B710" s="3">
        <v>2904</v>
      </c>
      <c r="C710" s="24">
        <v>3819</v>
      </c>
      <c r="D710" s="4">
        <v>46085</v>
      </c>
      <c r="E710" t="str">
        <f>VLOOKUP($A710,Sheet4!$A:$B,2,0)</f>
        <v>MG Mini Double Caramel Bar 6-6PK</v>
      </c>
      <c r="F710" s="3" t="s">
        <v>56</v>
      </c>
    </row>
    <row r="711" spans="1:6" x14ac:dyDescent="0.25">
      <c r="A711" s="3">
        <v>64330596</v>
      </c>
      <c r="B711" s="3">
        <v>2904</v>
      </c>
      <c r="C711" s="24">
        <v>176</v>
      </c>
      <c r="D711" s="4">
        <v>46093</v>
      </c>
      <c r="E711" t="str">
        <f>VLOOKUP($A711,Sheet4!$A:$B,2,0)</f>
        <v>MG Mini Double Caramel Bar 6-6PK</v>
      </c>
      <c r="F711" s="3" t="s">
        <v>56</v>
      </c>
    </row>
    <row r="712" spans="1:6" x14ac:dyDescent="0.25">
      <c r="A712" s="3">
        <v>64330596</v>
      </c>
      <c r="B712" s="3">
        <v>2904</v>
      </c>
      <c r="C712" s="24">
        <v>4182</v>
      </c>
      <c r="D712" s="4">
        <v>46085</v>
      </c>
      <c r="E712" t="str">
        <f>VLOOKUP($A712,Sheet4!$A:$B,2,0)</f>
        <v>MG Mini Double Caramel Bar 6-6PK</v>
      </c>
      <c r="F712" s="3" t="s">
        <v>56</v>
      </c>
    </row>
    <row r="713" spans="1:6" x14ac:dyDescent="0.25">
      <c r="A713" s="3">
        <v>64330596</v>
      </c>
      <c r="B713" s="3">
        <v>2904</v>
      </c>
      <c r="C713" s="24">
        <v>5408</v>
      </c>
      <c r="D713" s="4">
        <v>46086</v>
      </c>
      <c r="E713" t="str">
        <f>VLOOKUP($A713,Sheet4!$A:$B,2,0)</f>
        <v>MG Mini Double Caramel Bar 6-6PK</v>
      </c>
      <c r="F713" s="3" t="s">
        <v>56</v>
      </c>
    </row>
    <row r="714" spans="1:6" x14ac:dyDescent="0.25">
      <c r="A714" s="3">
        <v>64330596</v>
      </c>
      <c r="B714" s="3">
        <v>2904</v>
      </c>
      <c r="C714" s="24">
        <v>16</v>
      </c>
      <c r="D714" s="4">
        <v>46098</v>
      </c>
      <c r="E714" t="str">
        <f>VLOOKUP($A714,Sheet4!$A:$B,2,0)</f>
        <v>MG Mini Double Caramel Bar 6-6PK</v>
      </c>
      <c r="F714" s="3" t="s">
        <v>56</v>
      </c>
    </row>
    <row r="715" spans="1:6" x14ac:dyDescent="0.25">
      <c r="A715" s="3">
        <v>64330596</v>
      </c>
      <c r="B715" s="3">
        <v>2904</v>
      </c>
      <c r="C715" s="24">
        <v>6078</v>
      </c>
      <c r="D715" s="4">
        <v>46086</v>
      </c>
      <c r="E715" t="str">
        <f>VLOOKUP($A715,Sheet4!$A:$B,2,0)</f>
        <v>MG Mini Double Caramel Bar 6-6PK</v>
      </c>
      <c r="F715" s="3" t="s">
        <v>56</v>
      </c>
    </row>
    <row r="716" spans="1:6" x14ac:dyDescent="0.25">
      <c r="A716" s="3">
        <v>64330596</v>
      </c>
      <c r="B716" s="3">
        <v>2904</v>
      </c>
      <c r="C716" s="24">
        <v>6864</v>
      </c>
      <c r="D716" s="4">
        <v>46087</v>
      </c>
      <c r="E716" t="str">
        <f>VLOOKUP($A716,Sheet4!$A:$B,2,0)</f>
        <v>MG Mini Double Caramel Bar 6-6PK</v>
      </c>
      <c r="F716" s="3" t="s">
        <v>56</v>
      </c>
    </row>
    <row r="717" spans="1:6" x14ac:dyDescent="0.25">
      <c r="A717" s="3">
        <v>64330596</v>
      </c>
      <c r="B717" s="3">
        <v>2904</v>
      </c>
      <c r="C717" s="24">
        <v>31</v>
      </c>
      <c r="D717" s="4">
        <v>46090</v>
      </c>
      <c r="E717" t="str">
        <f>VLOOKUP($A717,Sheet4!$A:$B,2,0)</f>
        <v>MG Mini Double Caramel Bar 6-6PK</v>
      </c>
      <c r="F717" s="3" t="s">
        <v>56</v>
      </c>
    </row>
    <row r="718" spans="1:6" x14ac:dyDescent="0.25">
      <c r="A718" s="3">
        <v>64330596</v>
      </c>
      <c r="B718" s="3">
        <v>2904</v>
      </c>
      <c r="C718" s="24">
        <v>-31</v>
      </c>
      <c r="D718" s="4">
        <v>46094</v>
      </c>
      <c r="E718" t="str">
        <f>VLOOKUP($A718,Sheet4!$A:$B,2,0)</f>
        <v>MG Mini Double Caramel Bar 6-6PK</v>
      </c>
      <c r="F718" s="3" t="s">
        <v>56</v>
      </c>
    </row>
    <row r="719" spans="1:6" x14ac:dyDescent="0.25">
      <c r="A719" s="3">
        <v>64330596</v>
      </c>
      <c r="B719" s="3">
        <v>2904</v>
      </c>
      <c r="C719" s="24">
        <v>3934</v>
      </c>
      <c r="D719" s="4">
        <v>46087</v>
      </c>
      <c r="E719" t="str">
        <f>VLOOKUP($A719,Sheet4!$A:$B,2,0)</f>
        <v>MG Mini Double Caramel Bar 6-6PK</v>
      </c>
      <c r="F719" s="3" t="s">
        <v>56</v>
      </c>
    </row>
    <row r="720" spans="1:6" x14ac:dyDescent="0.25">
      <c r="A720" s="3">
        <v>64330596</v>
      </c>
      <c r="B720" s="3">
        <v>2904</v>
      </c>
      <c r="C720" s="24">
        <v>5632</v>
      </c>
      <c r="D720" s="4">
        <v>46088</v>
      </c>
      <c r="E720" t="str">
        <f>VLOOKUP($A720,Sheet4!$A:$B,2,0)</f>
        <v>MG Mini Double Caramel Bar 6-6PK</v>
      </c>
      <c r="F720" s="3" t="s">
        <v>56</v>
      </c>
    </row>
    <row r="721" spans="1:6" x14ac:dyDescent="0.25">
      <c r="A721" s="3">
        <v>64330596</v>
      </c>
      <c r="B721" s="3">
        <v>2904</v>
      </c>
      <c r="C721" s="24">
        <v>5209</v>
      </c>
      <c r="D721" s="4">
        <v>46088</v>
      </c>
      <c r="E721" t="str">
        <f>VLOOKUP($A721,Sheet4!$A:$B,2,0)</f>
        <v>MG Mini Double Caramel Bar 6-6PK</v>
      </c>
      <c r="F721" s="3" t="s">
        <v>56</v>
      </c>
    </row>
    <row r="722" spans="1:6" x14ac:dyDescent="0.25">
      <c r="A722" s="3">
        <v>64330596</v>
      </c>
      <c r="B722" s="3">
        <v>2904</v>
      </c>
      <c r="C722" s="24">
        <v>5200</v>
      </c>
      <c r="D722" s="4">
        <v>46089</v>
      </c>
      <c r="E722" t="str">
        <f>VLOOKUP($A722,Sheet4!$A:$B,2,0)</f>
        <v>MG Mini Double Caramel Bar 6-6PK</v>
      </c>
      <c r="F722" s="3" t="s">
        <v>56</v>
      </c>
    </row>
    <row r="723" spans="1:6" x14ac:dyDescent="0.25">
      <c r="A723" s="3">
        <v>64330596</v>
      </c>
      <c r="B723" s="3">
        <v>2904</v>
      </c>
      <c r="C723" s="24">
        <v>5068</v>
      </c>
      <c r="D723" s="4">
        <v>46089</v>
      </c>
      <c r="E723" t="str">
        <f>VLOOKUP($A723,Sheet4!$A:$B,2,0)</f>
        <v>MG Mini Double Caramel Bar 6-6PK</v>
      </c>
      <c r="F723" s="3" t="s">
        <v>56</v>
      </c>
    </row>
    <row r="724" spans="1:6" x14ac:dyDescent="0.25">
      <c r="A724" s="3">
        <v>64330596</v>
      </c>
      <c r="B724" s="3">
        <v>2904</v>
      </c>
      <c r="C724" s="24">
        <v>4912</v>
      </c>
      <c r="D724" s="4">
        <v>46090</v>
      </c>
      <c r="E724" t="str">
        <f>VLOOKUP($A724,Sheet4!$A:$B,2,0)</f>
        <v>MG Mini Double Caramel Bar 6-6PK</v>
      </c>
      <c r="F724" s="3" t="s">
        <v>56</v>
      </c>
    </row>
    <row r="725" spans="1:6" x14ac:dyDescent="0.25">
      <c r="A725" s="3">
        <v>64330596</v>
      </c>
      <c r="B725" s="3">
        <v>2904</v>
      </c>
      <c r="C725" s="24">
        <v>4007</v>
      </c>
      <c r="D725" s="4">
        <v>46090</v>
      </c>
      <c r="E725" t="str">
        <f>VLOOKUP($A725,Sheet4!$A:$B,2,0)</f>
        <v>MG Mini Double Caramel Bar 6-6PK</v>
      </c>
      <c r="F725" s="3" t="s">
        <v>56</v>
      </c>
    </row>
    <row r="726" spans="1:6" x14ac:dyDescent="0.25">
      <c r="A726" s="3">
        <v>64330596</v>
      </c>
      <c r="B726" s="3">
        <v>2904</v>
      </c>
      <c r="C726" s="24">
        <v>6224</v>
      </c>
      <c r="D726" s="4">
        <v>46091</v>
      </c>
      <c r="E726" t="str">
        <f>VLOOKUP($A726,Sheet4!$A:$B,2,0)</f>
        <v>MG Mini Double Caramel Bar 6-6PK</v>
      </c>
      <c r="F726" s="3" t="s">
        <v>56</v>
      </c>
    </row>
    <row r="727" spans="1:6" x14ac:dyDescent="0.25">
      <c r="A727" s="3">
        <v>64330596</v>
      </c>
      <c r="B727" s="3">
        <v>2904</v>
      </c>
      <c r="C727" s="24">
        <v>4341</v>
      </c>
      <c r="D727" s="4">
        <v>46091</v>
      </c>
      <c r="E727" t="str">
        <f>VLOOKUP($A727,Sheet4!$A:$B,2,0)</f>
        <v>MG Mini Double Caramel Bar 6-6PK</v>
      </c>
      <c r="F727" s="3" t="s">
        <v>56</v>
      </c>
    </row>
    <row r="728" spans="1:6" x14ac:dyDescent="0.25">
      <c r="A728" s="3">
        <v>64330596</v>
      </c>
      <c r="B728" s="3">
        <v>2904</v>
      </c>
      <c r="C728" s="24">
        <v>4656</v>
      </c>
      <c r="D728" s="4">
        <v>46092</v>
      </c>
      <c r="E728" t="str">
        <f>VLOOKUP($A728,Sheet4!$A:$B,2,0)</f>
        <v>MG Mini Double Caramel Bar 6-6PK</v>
      </c>
      <c r="F728" s="3" t="s">
        <v>56</v>
      </c>
    </row>
    <row r="729" spans="1:6" x14ac:dyDescent="0.25">
      <c r="A729" s="3">
        <v>64330596</v>
      </c>
      <c r="B729" s="3">
        <v>2904</v>
      </c>
      <c r="C729" s="24">
        <v>5325</v>
      </c>
      <c r="D729" s="4">
        <v>46092</v>
      </c>
      <c r="E729" t="str">
        <f>VLOOKUP($A729,Sheet4!$A:$B,2,0)</f>
        <v>MG Mini Double Caramel Bar 6-6PK</v>
      </c>
      <c r="F729" s="3" t="s">
        <v>56</v>
      </c>
    </row>
    <row r="730" spans="1:6" x14ac:dyDescent="0.25">
      <c r="A730" s="3">
        <v>64330596</v>
      </c>
      <c r="B730" s="3">
        <v>2904</v>
      </c>
      <c r="C730" s="24">
        <v>6336</v>
      </c>
      <c r="D730" s="4">
        <v>46093</v>
      </c>
      <c r="E730" t="str">
        <f>VLOOKUP($A730,Sheet4!$A:$B,2,0)</f>
        <v>MG Mini Double Caramel Bar 6-6PK</v>
      </c>
      <c r="F730" s="3" t="s">
        <v>56</v>
      </c>
    </row>
    <row r="731" spans="1:6" x14ac:dyDescent="0.25">
      <c r="A731" s="3">
        <v>64330596</v>
      </c>
      <c r="B731" s="3">
        <v>2904</v>
      </c>
      <c r="C731" s="24">
        <v>372</v>
      </c>
      <c r="D731" s="4">
        <v>46093</v>
      </c>
      <c r="E731" t="str">
        <f>VLOOKUP($A731,Sheet4!$A:$B,2,0)</f>
        <v>MG Mini Double Caramel Bar 6-6PK</v>
      </c>
      <c r="F731" s="3" t="s">
        <v>56</v>
      </c>
    </row>
    <row r="732" spans="1:6" x14ac:dyDescent="0.25">
      <c r="A732" s="3">
        <v>64330596</v>
      </c>
      <c r="B732" s="3">
        <v>2904</v>
      </c>
      <c r="C732" s="24">
        <v>2501</v>
      </c>
      <c r="D732" s="4">
        <v>46094</v>
      </c>
      <c r="E732" t="str">
        <f>VLOOKUP($A732,Sheet4!$A:$B,2,0)</f>
        <v>MG Mini Double Caramel Bar 6-6PK</v>
      </c>
      <c r="F732" s="3" t="s">
        <v>56</v>
      </c>
    </row>
    <row r="733" spans="1:6" x14ac:dyDescent="0.25">
      <c r="A733" s="3">
        <v>64330596</v>
      </c>
      <c r="B733" s="3">
        <v>2904</v>
      </c>
      <c r="C733" s="24">
        <v>4922</v>
      </c>
      <c r="D733" s="4">
        <v>46094</v>
      </c>
      <c r="E733" t="str">
        <f>VLOOKUP($A733,Sheet4!$A:$B,2,0)</f>
        <v>MG Mini Double Caramel Bar 6-6PK</v>
      </c>
      <c r="F733" s="3" t="s">
        <v>56</v>
      </c>
    </row>
    <row r="734" spans="1:6" x14ac:dyDescent="0.25">
      <c r="A734" s="3">
        <v>64330596</v>
      </c>
      <c r="B734" s="3">
        <v>2904</v>
      </c>
      <c r="C734" s="24">
        <v>5616</v>
      </c>
      <c r="D734" s="4">
        <v>46095</v>
      </c>
      <c r="E734" t="str">
        <f>VLOOKUP($A734,Sheet4!$A:$B,2,0)</f>
        <v>MG Mini Double Caramel Bar 6-6PK</v>
      </c>
      <c r="F734" s="3" t="s">
        <v>56</v>
      </c>
    </row>
    <row r="735" spans="1:6" x14ac:dyDescent="0.25">
      <c r="A735" s="3">
        <v>64330596</v>
      </c>
      <c r="B735" s="3">
        <v>2904</v>
      </c>
      <c r="C735" s="24">
        <v>176</v>
      </c>
      <c r="D735" s="4">
        <v>46097</v>
      </c>
      <c r="E735" t="str">
        <f>VLOOKUP($A735,Sheet4!$A:$B,2,0)</f>
        <v>MG Mini Double Caramel Bar 6-6PK</v>
      </c>
      <c r="F735" s="3" t="s">
        <v>56</v>
      </c>
    </row>
    <row r="736" spans="1:6" x14ac:dyDescent="0.25">
      <c r="A736" s="3">
        <v>64330596</v>
      </c>
      <c r="B736" s="3">
        <v>2904</v>
      </c>
      <c r="C736" s="24">
        <v>11209</v>
      </c>
      <c r="D736" s="4">
        <v>46097</v>
      </c>
      <c r="E736" t="str">
        <f>VLOOKUP($A736,Sheet4!$A:$B,2,0)</f>
        <v>MG Mini Double Caramel Bar 6-6PK</v>
      </c>
      <c r="F736" s="3" t="s">
        <v>56</v>
      </c>
    </row>
    <row r="737" spans="1:6" x14ac:dyDescent="0.25">
      <c r="A737" s="3">
        <v>64330596</v>
      </c>
      <c r="B737" s="3">
        <v>2904</v>
      </c>
      <c r="C737" s="24">
        <v>12609</v>
      </c>
      <c r="D737" s="4">
        <v>46098</v>
      </c>
      <c r="E737" t="str">
        <f>VLOOKUP($A737,Sheet4!$A:$B,2,0)</f>
        <v>MG Mini Double Caramel Bar 6-6PK</v>
      </c>
      <c r="F737" s="3" t="s">
        <v>56</v>
      </c>
    </row>
    <row r="738" spans="1:6" x14ac:dyDescent="0.25">
      <c r="A738" s="3">
        <v>64330596</v>
      </c>
      <c r="B738" s="3">
        <v>2904</v>
      </c>
      <c r="C738" s="24">
        <v>-12609</v>
      </c>
      <c r="D738" s="4">
        <v>46100</v>
      </c>
      <c r="E738" t="str">
        <f>VLOOKUP($A738,Sheet4!$A:$B,2,0)</f>
        <v>MG Mini Double Caramel Bar 6-6PK</v>
      </c>
      <c r="F738" s="3" t="s">
        <v>56</v>
      </c>
    </row>
    <row r="739" spans="1:6" x14ac:dyDescent="0.25">
      <c r="A739" s="3">
        <v>64330596</v>
      </c>
      <c r="B739" s="3">
        <v>2904</v>
      </c>
      <c r="C739" s="24">
        <v>6336</v>
      </c>
      <c r="D739" s="4">
        <v>46097</v>
      </c>
      <c r="E739" t="str">
        <f>VLOOKUP($A739,Sheet4!$A:$B,2,0)</f>
        <v>MG Mini Double Caramel Bar 6-6PK</v>
      </c>
      <c r="F739" s="3" t="s">
        <v>56</v>
      </c>
    </row>
    <row r="740" spans="1:6" x14ac:dyDescent="0.25">
      <c r="A740" s="3">
        <v>64330596</v>
      </c>
      <c r="B740" s="3">
        <v>2904</v>
      </c>
      <c r="C740" s="24">
        <v>2694</v>
      </c>
      <c r="D740" s="4">
        <v>46098</v>
      </c>
      <c r="E740" t="str">
        <f>VLOOKUP($A740,Sheet4!$A:$B,2,0)</f>
        <v>MG Mini Double Caramel Bar 6-6PK</v>
      </c>
      <c r="F740" s="3" t="s">
        <v>56</v>
      </c>
    </row>
    <row r="741" spans="1:6" x14ac:dyDescent="0.25">
      <c r="A741" s="3">
        <v>64330596</v>
      </c>
      <c r="B741" s="3">
        <v>2904</v>
      </c>
      <c r="C741" s="24">
        <v>12609</v>
      </c>
      <c r="D741" s="4">
        <v>46097</v>
      </c>
      <c r="E741" t="str">
        <f>VLOOKUP($A741,Sheet4!$A:$B,2,0)</f>
        <v>MG Mini Double Caramel Bar 6-6PK</v>
      </c>
      <c r="F741" s="3" t="s">
        <v>56</v>
      </c>
    </row>
    <row r="742" spans="1:6" x14ac:dyDescent="0.25">
      <c r="A742" s="3">
        <v>64330596</v>
      </c>
      <c r="B742" s="3">
        <v>2904</v>
      </c>
      <c r="C742" s="24">
        <v>-12609</v>
      </c>
      <c r="D742" s="4">
        <v>46098</v>
      </c>
      <c r="E742" t="str">
        <f>VLOOKUP($A742,Sheet4!$A:$B,2,0)</f>
        <v>MG Mini Double Caramel Bar 6-6PK</v>
      </c>
      <c r="F742" s="3" t="s">
        <v>56</v>
      </c>
    </row>
    <row r="743" spans="1:6" x14ac:dyDescent="0.25">
      <c r="A743" s="3">
        <v>64330596</v>
      </c>
      <c r="B743" s="3">
        <v>2904</v>
      </c>
      <c r="C743" s="24">
        <v>12609</v>
      </c>
      <c r="D743" s="4">
        <v>46100</v>
      </c>
      <c r="E743" t="str">
        <f>VLOOKUP($A743,Sheet4!$A:$B,2,0)</f>
        <v>MG Mini Double Caramel Bar 6-6PK</v>
      </c>
      <c r="F743" s="3" t="s">
        <v>56</v>
      </c>
    </row>
    <row r="744" spans="1:6" x14ac:dyDescent="0.25">
      <c r="A744" s="3">
        <v>64330596</v>
      </c>
      <c r="B744" s="3">
        <v>2904</v>
      </c>
      <c r="C744" s="24">
        <v>1859</v>
      </c>
      <c r="D744" s="4">
        <v>46098</v>
      </c>
      <c r="E744" t="str">
        <f>VLOOKUP($A744,Sheet4!$A:$B,2,0)</f>
        <v>MG Mini Double Caramel Bar 6-6PK</v>
      </c>
      <c r="F744" s="3" t="s">
        <v>56</v>
      </c>
    </row>
    <row r="745" spans="1:6" x14ac:dyDescent="0.25">
      <c r="A745" s="3">
        <v>64330596</v>
      </c>
      <c r="B745" s="3">
        <v>2904</v>
      </c>
      <c r="C745" s="24">
        <v>0</v>
      </c>
      <c r="D745" s="4">
        <v>46099</v>
      </c>
      <c r="E745" t="str">
        <f>VLOOKUP($A745,Sheet4!$A:$B,2,0)</f>
        <v>MG Mini Double Caramel Bar 6-6PK</v>
      </c>
      <c r="F745" s="3" t="s">
        <v>56</v>
      </c>
    </row>
    <row r="746" spans="1:6" x14ac:dyDescent="0.25">
      <c r="A746" s="3">
        <v>64330611</v>
      </c>
      <c r="B746" s="3">
        <v>2904</v>
      </c>
      <c r="C746" s="24">
        <v>6451</v>
      </c>
      <c r="D746" s="4">
        <v>46076</v>
      </c>
      <c r="E746" t="str">
        <f>VLOOKUP($A746,Sheet4!$A:$B,2,0)</f>
        <v>MG Double Caramel Bar 8-3PK</v>
      </c>
      <c r="F746" s="3" t="s">
        <v>56</v>
      </c>
    </row>
    <row r="747" spans="1:6" x14ac:dyDescent="0.25">
      <c r="A747" s="3">
        <v>64330611</v>
      </c>
      <c r="B747" s="3">
        <v>2904</v>
      </c>
      <c r="C747" s="24">
        <v>8190</v>
      </c>
      <c r="D747" s="4">
        <v>46076</v>
      </c>
      <c r="E747" t="str">
        <f>VLOOKUP($A747,Sheet4!$A:$B,2,0)</f>
        <v>MG Double Caramel Bar 8-3PK</v>
      </c>
      <c r="F747" s="3" t="s">
        <v>56</v>
      </c>
    </row>
    <row r="748" spans="1:6" x14ac:dyDescent="0.25">
      <c r="A748" s="3">
        <v>64330611</v>
      </c>
      <c r="B748" s="3">
        <v>2904</v>
      </c>
      <c r="C748" s="24">
        <v>2159</v>
      </c>
      <c r="D748" s="4">
        <v>46077</v>
      </c>
      <c r="E748" t="str">
        <f>VLOOKUP($A748,Sheet4!$A:$B,2,0)</f>
        <v>MG Double Caramel Bar 8-3PK</v>
      </c>
      <c r="F748" s="3" t="s">
        <v>56</v>
      </c>
    </row>
    <row r="749" spans="1:6" x14ac:dyDescent="0.25">
      <c r="A749" s="3">
        <v>64330611</v>
      </c>
      <c r="B749" s="3">
        <v>2904</v>
      </c>
      <c r="C749" s="24">
        <v>1974</v>
      </c>
      <c r="D749" s="4">
        <v>46077</v>
      </c>
      <c r="E749" t="str">
        <f>VLOOKUP($A749,Sheet4!$A:$B,2,0)</f>
        <v>MG Double Caramel Bar 8-3PK</v>
      </c>
      <c r="F749" s="3" t="s">
        <v>56</v>
      </c>
    </row>
    <row r="750" spans="1:6" x14ac:dyDescent="0.25">
      <c r="A750" s="3">
        <v>64330611</v>
      </c>
      <c r="B750" s="3">
        <v>2904</v>
      </c>
      <c r="C750" s="24">
        <v>6509</v>
      </c>
      <c r="D750" s="4">
        <v>46078</v>
      </c>
      <c r="E750" t="str">
        <f>VLOOKUP($A750,Sheet4!$A:$B,2,0)</f>
        <v>MG Double Caramel Bar 8-3PK</v>
      </c>
      <c r="F750" s="3" t="s">
        <v>56</v>
      </c>
    </row>
    <row r="751" spans="1:6" x14ac:dyDescent="0.25">
      <c r="A751" s="3">
        <v>64330611</v>
      </c>
      <c r="B751" s="3">
        <v>2904</v>
      </c>
      <c r="C751" s="24">
        <v>7140</v>
      </c>
      <c r="D751" s="4">
        <v>46078</v>
      </c>
      <c r="E751" t="str">
        <f>VLOOKUP($A751,Sheet4!$A:$B,2,0)</f>
        <v>MG Double Caramel Bar 8-3PK</v>
      </c>
      <c r="F751" s="3" t="s">
        <v>56</v>
      </c>
    </row>
    <row r="752" spans="1:6" x14ac:dyDescent="0.25">
      <c r="A752" s="3">
        <v>64330611</v>
      </c>
      <c r="B752" s="3">
        <v>2904</v>
      </c>
      <c r="C752" s="24">
        <v>7749</v>
      </c>
      <c r="D752" s="4">
        <v>46079</v>
      </c>
      <c r="E752" t="str">
        <f>VLOOKUP($A752,Sheet4!$A:$B,2,0)</f>
        <v>MG Double Caramel Bar 8-3PK</v>
      </c>
      <c r="F752" s="3" t="s">
        <v>56</v>
      </c>
    </row>
    <row r="753" spans="1:6" x14ac:dyDescent="0.25">
      <c r="A753" s="3">
        <v>64330611</v>
      </c>
      <c r="B753" s="3">
        <v>2904</v>
      </c>
      <c r="C753" s="24">
        <v>7770</v>
      </c>
      <c r="D753" s="4">
        <v>46079</v>
      </c>
      <c r="E753" t="str">
        <f>VLOOKUP($A753,Sheet4!$A:$B,2,0)</f>
        <v>MG Double Caramel Bar 8-3PK</v>
      </c>
      <c r="F753" s="3" t="s">
        <v>56</v>
      </c>
    </row>
    <row r="754" spans="1:6" x14ac:dyDescent="0.25">
      <c r="A754" s="3">
        <v>64330611</v>
      </c>
      <c r="B754" s="3">
        <v>2904</v>
      </c>
      <c r="C754" s="24">
        <v>5819</v>
      </c>
      <c r="D754" s="4">
        <v>46080</v>
      </c>
      <c r="E754" t="str">
        <f>VLOOKUP($A754,Sheet4!$A:$B,2,0)</f>
        <v>MG Double Caramel Bar 8-3PK</v>
      </c>
      <c r="F754" s="3" t="s">
        <v>56</v>
      </c>
    </row>
    <row r="755" spans="1:6" x14ac:dyDescent="0.25">
      <c r="A755" s="3">
        <v>64330611</v>
      </c>
      <c r="B755" s="3">
        <v>2904</v>
      </c>
      <c r="C755" s="24">
        <v>2938</v>
      </c>
      <c r="D755" s="4">
        <v>46080</v>
      </c>
      <c r="E755" t="str">
        <f>VLOOKUP($A755,Sheet4!$A:$B,2,0)</f>
        <v>MG Double Caramel Bar 8-3PK</v>
      </c>
      <c r="F755" s="3" t="s">
        <v>56</v>
      </c>
    </row>
    <row r="756" spans="1:6" x14ac:dyDescent="0.25">
      <c r="A756" s="3">
        <v>64330611</v>
      </c>
      <c r="B756" s="3">
        <v>2904</v>
      </c>
      <c r="C756" s="24">
        <v>7512</v>
      </c>
      <c r="D756" s="4">
        <v>46081</v>
      </c>
      <c r="E756" t="str">
        <f>VLOOKUP($A756,Sheet4!$A:$B,2,0)</f>
        <v>MG Double Caramel Bar 8-3PK</v>
      </c>
      <c r="F756" s="3" t="s">
        <v>56</v>
      </c>
    </row>
    <row r="757" spans="1:6" x14ac:dyDescent="0.25">
      <c r="A757" s="3">
        <v>64330611</v>
      </c>
      <c r="B757" s="3">
        <v>2904</v>
      </c>
      <c r="C757" s="24">
        <v>8607</v>
      </c>
      <c r="D757" s="4">
        <v>46081</v>
      </c>
      <c r="E757" t="str">
        <f>VLOOKUP($A757,Sheet4!$A:$B,2,0)</f>
        <v>MG Double Caramel Bar 8-3PK</v>
      </c>
      <c r="F757" s="3" t="s">
        <v>56</v>
      </c>
    </row>
    <row r="758" spans="1:6" x14ac:dyDescent="0.25">
      <c r="A758" s="3">
        <v>64330611</v>
      </c>
      <c r="B758" s="3">
        <v>2904</v>
      </c>
      <c r="C758" s="24">
        <v>5670</v>
      </c>
      <c r="D758" s="4">
        <v>46082</v>
      </c>
      <c r="E758" t="str">
        <f>VLOOKUP($A758,Sheet4!$A:$B,2,0)</f>
        <v>MG Double Caramel Bar 8-3PK</v>
      </c>
      <c r="F758" s="3" t="s">
        <v>56</v>
      </c>
    </row>
    <row r="759" spans="1:6" x14ac:dyDescent="0.25">
      <c r="A759" s="3">
        <v>64330611</v>
      </c>
      <c r="B759" s="3">
        <v>2904</v>
      </c>
      <c r="C759" s="24">
        <v>8400</v>
      </c>
      <c r="D759" s="4">
        <v>46082</v>
      </c>
      <c r="E759" t="str">
        <f>VLOOKUP($A759,Sheet4!$A:$B,2,0)</f>
        <v>MG Double Caramel Bar 8-3PK</v>
      </c>
      <c r="F759" s="3" t="s">
        <v>56</v>
      </c>
    </row>
    <row r="760" spans="1:6" x14ac:dyDescent="0.25">
      <c r="A760" s="3">
        <v>64330611</v>
      </c>
      <c r="B760" s="3">
        <v>2904</v>
      </c>
      <c r="C760" s="24">
        <v>6154</v>
      </c>
      <c r="D760" s="4">
        <v>46083</v>
      </c>
      <c r="E760" t="str">
        <f>VLOOKUP($A760,Sheet4!$A:$B,2,0)</f>
        <v>MG Double Caramel Bar 8-3PK</v>
      </c>
      <c r="F760" s="3" t="s">
        <v>56</v>
      </c>
    </row>
    <row r="761" spans="1:6" x14ac:dyDescent="0.25">
      <c r="A761" s="3">
        <v>64330611</v>
      </c>
      <c r="B761" s="3">
        <v>2904</v>
      </c>
      <c r="C761" s="24">
        <v>2230</v>
      </c>
      <c r="D761" s="4">
        <v>46083</v>
      </c>
      <c r="E761" t="str">
        <f>VLOOKUP($A761,Sheet4!$A:$B,2,0)</f>
        <v>MG Double Caramel Bar 8-3PK</v>
      </c>
      <c r="F761" s="3" t="s">
        <v>56</v>
      </c>
    </row>
    <row r="762" spans="1:6" x14ac:dyDescent="0.25">
      <c r="A762" s="3">
        <v>64330612</v>
      </c>
      <c r="B762" s="3">
        <v>2904</v>
      </c>
      <c r="C762" s="24">
        <v>2061</v>
      </c>
      <c r="D762" s="4">
        <v>46101</v>
      </c>
      <c r="E762" t="str">
        <f>VLOOKUP($A762,Sheet4!$A:$B,2,0)</f>
        <v>MG Double Caramel Bar 6-6PK</v>
      </c>
      <c r="F762" s="3" t="s">
        <v>56</v>
      </c>
    </row>
    <row r="763" spans="1:6" x14ac:dyDescent="0.25">
      <c r="A763" s="3">
        <v>64330612</v>
      </c>
      <c r="B763" s="3">
        <v>2904</v>
      </c>
      <c r="C763" s="24">
        <v>5434</v>
      </c>
      <c r="D763" s="4">
        <v>46101</v>
      </c>
      <c r="E763" t="str">
        <f>VLOOKUP($A763,Sheet4!$A:$B,2,0)</f>
        <v>MG Double Caramel Bar 6-6PK</v>
      </c>
      <c r="F763" s="3" t="s">
        <v>56</v>
      </c>
    </row>
    <row r="764" spans="1:6" x14ac:dyDescent="0.25">
      <c r="A764" s="3">
        <v>64330612</v>
      </c>
      <c r="B764" s="3">
        <v>2904</v>
      </c>
      <c r="C764" s="24">
        <v>4105</v>
      </c>
      <c r="D764" s="4">
        <v>46102</v>
      </c>
      <c r="E764" t="str">
        <f>VLOOKUP($A764,Sheet4!$A:$B,2,0)</f>
        <v>MG Double Caramel Bar 6-6PK</v>
      </c>
      <c r="F764" s="3" t="s">
        <v>56</v>
      </c>
    </row>
    <row r="765" spans="1:6" x14ac:dyDescent="0.25">
      <c r="A765" s="3">
        <v>64330612</v>
      </c>
      <c r="B765" s="3">
        <v>2904</v>
      </c>
      <c r="C765" s="24">
        <v>4955</v>
      </c>
      <c r="D765" s="4">
        <v>46102</v>
      </c>
      <c r="E765" t="str">
        <f>VLOOKUP($A765,Sheet4!$A:$B,2,0)</f>
        <v>MG Double Caramel Bar 6-6PK</v>
      </c>
      <c r="F765" s="3" t="s">
        <v>56</v>
      </c>
    </row>
    <row r="766" spans="1:6" x14ac:dyDescent="0.25">
      <c r="A766" s="3">
        <v>64330612</v>
      </c>
      <c r="B766" s="3">
        <v>2904</v>
      </c>
      <c r="C766" s="24">
        <v>3922</v>
      </c>
      <c r="D766" s="4">
        <v>46103</v>
      </c>
      <c r="E766" t="str">
        <f>VLOOKUP($A766,Sheet4!$A:$B,2,0)</f>
        <v>MG Double Caramel Bar 6-6PK</v>
      </c>
      <c r="F766" s="3" t="s">
        <v>56</v>
      </c>
    </row>
    <row r="767" spans="1:6" x14ac:dyDescent="0.25">
      <c r="A767" s="3">
        <v>64330612</v>
      </c>
      <c r="B767" s="3">
        <v>2904</v>
      </c>
      <c r="C767" s="24">
        <v>0</v>
      </c>
      <c r="D767" s="4">
        <v>46104</v>
      </c>
      <c r="E767" t="str">
        <f>VLOOKUP($A767,Sheet4!$A:$B,2,0)</f>
        <v>MG Double Caramel Bar 6-6PK</v>
      </c>
      <c r="F767" s="3" t="s">
        <v>56</v>
      </c>
    </row>
    <row r="768" spans="1:6" x14ac:dyDescent="0.25">
      <c r="A768" s="3">
        <v>64331550</v>
      </c>
      <c r="B768" s="3">
        <v>2904</v>
      </c>
      <c r="C768" s="24">
        <v>9083</v>
      </c>
      <c r="D768" s="4">
        <v>46082</v>
      </c>
      <c r="E768" t="str">
        <f>VLOOKUP($A768,Sheet4!$A:$B,2,0)</f>
        <v>MG Double Caramel Bar 1-12PK OOH</v>
      </c>
      <c r="F768" s="3" t="s">
        <v>61</v>
      </c>
    </row>
    <row r="769" spans="1:6" x14ac:dyDescent="0.25">
      <c r="A769" s="3">
        <v>64331550</v>
      </c>
      <c r="B769" s="3">
        <v>2904</v>
      </c>
      <c r="C769" s="24">
        <v>7693</v>
      </c>
      <c r="D769" s="4">
        <v>46083</v>
      </c>
      <c r="E769" t="str">
        <f>VLOOKUP($A769,Sheet4!$A:$B,2,0)</f>
        <v>MG Double Caramel Bar 1-12PK OOH</v>
      </c>
      <c r="F769" s="3" t="s">
        <v>61</v>
      </c>
    </row>
    <row r="770" spans="1:6" x14ac:dyDescent="0.25">
      <c r="A770" s="3">
        <v>64331550</v>
      </c>
      <c r="B770" s="3">
        <v>2904</v>
      </c>
      <c r="C770" s="24">
        <v>11033</v>
      </c>
      <c r="D770" s="4">
        <v>46084</v>
      </c>
      <c r="E770" t="str">
        <f>VLOOKUP($A770,Sheet4!$A:$B,2,0)</f>
        <v>MG Double Caramel Bar 1-12PK OOH</v>
      </c>
      <c r="F770" s="3" t="s">
        <v>61</v>
      </c>
    </row>
    <row r="771" spans="1:6" x14ac:dyDescent="0.25">
      <c r="A771" s="3">
        <v>64331550</v>
      </c>
      <c r="B771" s="3">
        <v>2904</v>
      </c>
      <c r="C771" s="24">
        <v>9631</v>
      </c>
      <c r="D771" s="4">
        <v>46085</v>
      </c>
      <c r="E771" t="str">
        <f>VLOOKUP($A771,Sheet4!$A:$B,2,0)</f>
        <v>MG Double Caramel Bar 1-12PK OOH</v>
      </c>
      <c r="F771" s="3" t="s">
        <v>61</v>
      </c>
    </row>
    <row r="772" spans="1:6" x14ac:dyDescent="0.25">
      <c r="A772" s="3">
        <v>64331550</v>
      </c>
      <c r="B772" s="3">
        <v>2904</v>
      </c>
      <c r="C772" s="24">
        <v>15277</v>
      </c>
      <c r="D772" s="4">
        <v>46085</v>
      </c>
      <c r="E772" t="str">
        <f>VLOOKUP($A772,Sheet4!$A:$B,2,0)</f>
        <v>MG Double Caramel Bar 1-12PK OOH</v>
      </c>
      <c r="F772" s="3" t="s">
        <v>61</v>
      </c>
    </row>
    <row r="773" spans="1:6" x14ac:dyDescent="0.25">
      <c r="A773" s="3">
        <v>64331550</v>
      </c>
      <c r="B773" s="3">
        <v>2904</v>
      </c>
      <c r="C773" s="24">
        <v>10176</v>
      </c>
      <c r="D773" s="4">
        <v>46086</v>
      </c>
      <c r="E773" t="str">
        <f>VLOOKUP($A773,Sheet4!$A:$B,2,0)</f>
        <v>MG Double Caramel Bar 1-12PK OOH</v>
      </c>
      <c r="F773" s="3" t="s">
        <v>61</v>
      </c>
    </row>
    <row r="774" spans="1:6" x14ac:dyDescent="0.25">
      <c r="A774" s="3">
        <v>64331550</v>
      </c>
      <c r="B774" s="3">
        <v>2904</v>
      </c>
      <c r="C774" s="24">
        <v>3336</v>
      </c>
      <c r="D774" s="4">
        <v>46086</v>
      </c>
      <c r="E774" t="str">
        <f>VLOOKUP($A774,Sheet4!$A:$B,2,0)</f>
        <v>MG Double Caramel Bar 1-12PK OOH</v>
      </c>
      <c r="F774" s="3" t="s">
        <v>61</v>
      </c>
    </row>
    <row r="775" spans="1:6" x14ac:dyDescent="0.25">
      <c r="A775" s="3">
        <v>64331550</v>
      </c>
      <c r="B775" s="3">
        <v>2904</v>
      </c>
      <c r="C775" s="24">
        <v>10317</v>
      </c>
      <c r="D775" s="4">
        <v>46087</v>
      </c>
      <c r="E775" t="str">
        <f>VLOOKUP($A775,Sheet4!$A:$B,2,0)</f>
        <v>MG Double Caramel Bar 1-12PK OOH</v>
      </c>
      <c r="F775" s="3" t="s">
        <v>61</v>
      </c>
    </row>
    <row r="776" spans="1:6" x14ac:dyDescent="0.25">
      <c r="A776" s="3">
        <v>64331550</v>
      </c>
      <c r="B776" s="3">
        <v>2904</v>
      </c>
      <c r="C776" s="24">
        <v>12685</v>
      </c>
      <c r="D776" s="4">
        <v>46087</v>
      </c>
      <c r="E776" t="str">
        <f>VLOOKUP($A776,Sheet4!$A:$B,2,0)</f>
        <v>MG Double Caramel Bar 1-12PK OOH</v>
      </c>
      <c r="F776" s="3" t="s">
        <v>61</v>
      </c>
    </row>
    <row r="777" spans="1:6" x14ac:dyDescent="0.25">
      <c r="A777" s="3">
        <v>64331550</v>
      </c>
      <c r="B777" s="3">
        <v>2904</v>
      </c>
      <c r="C777" s="24">
        <v>14670</v>
      </c>
      <c r="D777" s="4">
        <v>46088</v>
      </c>
      <c r="E777" t="str">
        <f>VLOOKUP($A777,Sheet4!$A:$B,2,0)</f>
        <v>MG Double Caramel Bar 1-12PK OOH</v>
      </c>
      <c r="F777" s="3" t="s">
        <v>61</v>
      </c>
    </row>
    <row r="778" spans="1:6" x14ac:dyDescent="0.25">
      <c r="A778" s="3">
        <v>64331550</v>
      </c>
      <c r="B778" s="3">
        <v>2904</v>
      </c>
      <c r="C778" s="24">
        <v>15981</v>
      </c>
      <c r="D778" s="4">
        <v>46088</v>
      </c>
      <c r="E778" t="str">
        <f>VLOOKUP($A778,Sheet4!$A:$B,2,0)</f>
        <v>MG Double Caramel Bar 1-12PK OOH</v>
      </c>
      <c r="F778" s="3" t="s">
        <v>61</v>
      </c>
    </row>
    <row r="779" spans="1:6" x14ac:dyDescent="0.25">
      <c r="A779" s="3">
        <v>64331550</v>
      </c>
      <c r="B779" s="3">
        <v>2904</v>
      </c>
      <c r="C779" s="24">
        <v>9926</v>
      </c>
      <c r="D779" s="4">
        <v>46089</v>
      </c>
      <c r="E779" t="str">
        <f>VLOOKUP($A779,Sheet4!$A:$B,2,0)</f>
        <v>MG Double Caramel Bar 1-12PK OOH</v>
      </c>
      <c r="F779" s="3" t="s">
        <v>61</v>
      </c>
    </row>
    <row r="780" spans="1:6" x14ac:dyDescent="0.25">
      <c r="A780" s="3">
        <v>64331550</v>
      </c>
      <c r="B780" s="3">
        <v>2904</v>
      </c>
      <c r="C780" s="24">
        <v>17206</v>
      </c>
      <c r="D780" s="4">
        <v>46089</v>
      </c>
      <c r="E780" t="str">
        <f>VLOOKUP($A780,Sheet4!$A:$B,2,0)</f>
        <v>MG Double Caramel Bar 1-12PK OOH</v>
      </c>
      <c r="F780" s="3" t="s">
        <v>61</v>
      </c>
    </row>
    <row r="781" spans="1:6" x14ac:dyDescent="0.25">
      <c r="A781" s="3">
        <v>64331550</v>
      </c>
      <c r="B781" s="3">
        <v>2904</v>
      </c>
      <c r="C781" s="24">
        <v>1608</v>
      </c>
      <c r="D781" s="4">
        <v>46090</v>
      </c>
      <c r="E781" t="str">
        <f>VLOOKUP($A781,Sheet4!$A:$B,2,0)</f>
        <v>MG Double Caramel Bar 1-12PK OOH</v>
      </c>
      <c r="F781" s="3" t="s">
        <v>61</v>
      </c>
    </row>
    <row r="782" spans="1:6" x14ac:dyDescent="0.25">
      <c r="A782" s="3">
        <v>64331550</v>
      </c>
      <c r="B782" s="3">
        <v>2904</v>
      </c>
      <c r="C782" s="24">
        <v>7658</v>
      </c>
      <c r="D782" s="4">
        <v>46091</v>
      </c>
      <c r="E782" t="str">
        <f>VLOOKUP($A782,Sheet4!$A:$B,2,0)</f>
        <v>MG Double Caramel Bar 1-12PK OOH</v>
      </c>
      <c r="F782" s="3" t="s">
        <v>61</v>
      </c>
    </row>
    <row r="783" spans="1:6" x14ac:dyDescent="0.25">
      <c r="A783" s="3">
        <v>64331550</v>
      </c>
      <c r="B783" s="3">
        <v>2904</v>
      </c>
      <c r="C783" s="24">
        <v>11679</v>
      </c>
      <c r="D783" s="4">
        <v>46092</v>
      </c>
      <c r="E783" t="str">
        <f>VLOOKUP($A783,Sheet4!$A:$B,2,0)</f>
        <v>MG Double Caramel Bar 1-12PK OOH</v>
      </c>
      <c r="F783" s="3" t="s">
        <v>61</v>
      </c>
    </row>
    <row r="784" spans="1:6" x14ac:dyDescent="0.25">
      <c r="A784" s="3">
        <v>64331550</v>
      </c>
      <c r="B784" s="3">
        <v>2904</v>
      </c>
      <c r="C784" s="24">
        <v>11014</v>
      </c>
      <c r="D784" s="4">
        <v>46092</v>
      </c>
      <c r="E784" t="str">
        <f>VLOOKUP($A784,Sheet4!$A:$B,2,0)</f>
        <v>MG Double Caramel Bar 1-12PK OOH</v>
      </c>
      <c r="F784" s="3" t="s">
        <v>61</v>
      </c>
    </row>
    <row r="785" spans="1:6" x14ac:dyDescent="0.25">
      <c r="A785" s="3">
        <v>64331550</v>
      </c>
      <c r="B785" s="3">
        <v>2904</v>
      </c>
      <c r="C785" s="24">
        <v>10350</v>
      </c>
      <c r="D785" s="4">
        <v>46093</v>
      </c>
      <c r="E785" t="str">
        <f>VLOOKUP($A785,Sheet4!$A:$B,2,0)</f>
        <v>MG Double Caramel Bar 1-12PK OOH</v>
      </c>
      <c r="F785" s="3" t="s">
        <v>61</v>
      </c>
    </row>
    <row r="786" spans="1:6" x14ac:dyDescent="0.25">
      <c r="A786" s="3">
        <v>64331550</v>
      </c>
      <c r="B786" s="3">
        <v>2904</v>
      </c>
      <c r="C786" s="24">
        <v>14971</v>
      </c>
      <c r="D786" s="4">
        <v>46093</v>
      </c>
      <c r="E786" t="str">
        <f>VLOOKUP($A786,Sheet4!$A:$B,2,0)</f>
        <v>MG Double Caramel Bar 1-12PK OOH</v>
      </c>
      <c r="F786" s="3" t="s">
        <v>61</v>
      </c>
    </row>
    <row r="787" spans="1:6" x14ac:dyDescent="0.25">
      <c r="A787" s="3">
        <v>64331550</v>
      </c>
      <c r="B787" s="3">
        <v>2904</v>
      </c>
      <c r="C787" s="24">
        <v>2730</v>
      </c>
      <c r="D787" s="4">
        <v>46094</v>
      </c>
      <c r="E787" t="str">
        <f>VLOOKUP($A787,Sheet4!$A:$B,2,0)</f>
        <v>MG Double Caramel Bar 1-12PK OOH</v>
      </c>
      <c r="F787" s="3" t="s">
        <v>61</v>
      </c>
    </row>
    <row r="788" spans="1:6" x14ac:dyDescent="0.25">
      <c r="A788" s="3">
        <v>64331550</v>
      </c>
      <c r="B788" s="3">
        <v>2904</v>
      </c>
      <c r="C788" s="24">
        <v>11178</v>
      </c>
      <c r="D788" s="4">
        <v>46083</v>
      </c>
      <c r="E788" t="str">
        <f>VLOOKUP($A788,Sheet4!$A:$B,2,0)</f>
        <v>MG Double Caramel Bar 1-12PK OOH</v>
      </c>
      <c r="F788" s="3" t="s">
        <v>61</v>
      </c>
    </row>
    <row r="789" spans="1:6" x14ac:dyDescent="0.25">
      <c r="A789" s="3">
        <v>64331550</v>
      </c>
      <c r="B789" s="3">
        <v>2904</v>
      </c>
      <c r="C789" s="24">
        <v>10584</v>
      </c>
      <c r="D789" s="4">
        <v>46084</v>
      </c>
      <c r="E789" t="str">
        <f>VLOOKUP($A789,Sheet4!$A:$B,2,0)</f>
        <v>MG Double Caramel Bar 1-12PK OOH</v>
      </c>
      <c r="F789" s="3" t="s">
        <v>61</v>
      </c>
    </row>
    <row r="790" spans="1:6" x14ac:dyDescent="0.25">
      <c r="A790" s="3">
        <v>64331550</v>
      </c>
      <c r="B790" s="3">
        <v>2904</v>
      </c>
      <c r="C790" s="24">
        <v>214</v>
      </c>
      <c r="D790" s="4">
        <v>46082</v>
      </c>
      <c r="E790" t="str">
        <f>VLOOKUP($A790,Sheet4!$A:$B,2,0)</f>
        <v>MG Double Caramel Bar 1-12PK OOH</v>
      </c>
      <c r="F790" s="3" t="s">
        <v>61</v>
      </c>
    </row>
    <row r="791" spans="1:6" x14ac:dyDescent="0.25">
      <c r="A791" s="3">
        <v>64331550</v>
      </c>
      <c r="B791" s="3">
        <v>2904</v>
      </c>
      <c r="C791" s="24">
        <v>6099</v>
      </c>
      <c r="D791" s="4">
        <v>46094</v>
      </c>
      <c r="E791" t="str">
        <f>VLOOKUP($A791,Sheet4!$A:$B,2,0)</f>
        <v>MG Double Caramel Bar 1-12PK OOH</v>
      </c>
      <c r="F791" s="3" t="s">
        <v>61</v>
      </c>
    </row>
    <row r="792" spans="1:6" x14ac:dyDescent="0.25">
      <c r="A792" s="3">
        <v>64341106</v>
      </c>
      <c r="B792" s="3">
        <v>2904</v>
      </c>
      <c r="C792" s="24">
        <v>957</v>
      </c>
      <c r="D792" s="4">
        <v>46076</v>
      </c>
      <c r="E792" t="str">
        <f>VLOOKUP($A792,Sheet4!$A:$B,2,0)</f>
        <v>PS Jolly Rancher Pop 6-18PK</v>
      </c>
      <c r="F792" s="3" t="s">
        <v>43</v>
      </c>
    </row>
    <row r="793" spans="1:6" x14ac:dyDescent="0.25">
      <c r="A793" s="3">
        <v>64341106</v>
      </c>
      <c r="B793" s="3">
        <v>2904</v>
      </c>
      <c r="C793" s="24">
        <v>1643</v>
      </c>
      <c r="D793" s="4">
        <v>46076</v>
      </c>
      <c r="E793" t="str">
        <f>VLOOKUP($A793,Sheet4!$A:$B,2,0)</f>
        <v>PS Jolly Rancher Pop 6-18PK</v>
      </c>
      <c r="F793" s="3" t="s">
        <v>43</v>
      </c>
    </row>
    <row r="794" spans="1:6" x14ac:dyDescent="0.25">
      <c r="A794" s="3">
        <v>64341106</v>
      </c>
      <c r="B794" s="3">
        <v>2904</v>
      </c>
      <c r="C794" s="24">
        <v>2819</v>
      </c>
      <c r="D794" s="4">
        <v>46077</v>
      </c>
      <c r="E794" t="str">
        <f>VLOOKUP($A794,Sheet4!$A:$B,2,0)</f>
        <v>PS Jolly Rancher Pop 6-18PK</v>
      </c>
      <c r="F794" s="3" t="s">
        <v>43</v>
      </c>
    </row>
    <row r="795" spans="1:6" x14ac:dyDescent="0.25">
      <c r="A795" s="3">
        <v>64341106</v>
      </c>
      <c r="B795" s="3">
        <v>2904</v>
      </c>
      <c r="C795" s="24">
        <v>438</v>
      </c>
      <c r="D795" s="4">
        <v>46077</v>
      </c>
      <c r="E795" t="str">
        <f>VLOOKUP($A795,Sheet4!$A:$B,2,0)</f>
        <v>PS Jolly Rancher Pop 6-18PK</v>
      </c>
      <c r="F795" s="3" t="s">
        <v>43</v>
      </c>
    </row>
    <row r="796" spans="1:6" x14ac:dyDescent="0.25">
      <c r="A796" s="3">
        <v>64341106</v>
      </c>
      <c r="B796" s="3">
        <v>2904</v>
      </c>
      <c r="C796" s="24">
        <v>1040</v>
      </c>
      <c r="D796" s="4">
        <v>46078</v>
      </c>
      <c r="E796" t="str">
        <f>VLOOKUP($A796,Sheet4!$A:$B,2,0)</f>
        <v>PS Jolly Rancher Pop 6-18PK</v>
      </c>
      <c r="F796" s="3" t="s">
        <v>43</v>
      </c>
    </row>
    <row r="797" spans="1:6" x14ac:dyDescent="0.25">
      <c r="A797" s="3">
        <v>64341106</v>
      </c>
      <c r="B797" s="3">
        <v>2904</v>
      </c>
      <c r="C797" s="24">
        <v>1215</v>
      </c>
      <c r="D797" s="4">
        <v>46078</v>
      </c>
      <c r="E797" t="str">
        <f>VLOOKUP($A797,Sheet4!$A:$B,2,0)</f>
        <v>PS Jolly Rancher Pop 6-18PK</v>
      </c>
      <c r="F797" s="3" t="s">
        <v>43</v>
      </c>
    </row>
    <row r="798" spans="1:6" x14ac:dyDescent="0.25">
      <c r="A798" s="3">
        <v>64341106</v>
      </c>
      <c r="B798" s="3">
        <v>2904</v>
      </c>
      <c r="C798" s="24">
        <v>1383</v>
      </c>
      <c r="D798" s="4">
        <v>46090</v>
      </c>
      <c r="E798" t="str">
        <f>VLOOKUP($A798,Sheet4!$A:$B,2,0)</f>
        <v>PS Jolly Rancher Pop 6-18PK</v>
      </c>
      <c r="F798" s="3" t="s">
        <v>43</v>
      </c>
    </row>
    <row r="799" spans="1:6" x14ac:dyDescent="0.25">
      <c r="A799" s="3">
        <v>64341106</v>
      </c>
      <c r="B799" s="3">
        <v>2904</v>
      </c>
      <c r="C799" s="24">
        <v>1527</v>
      </c>
      <c r="D799" s="4">
        <v>46091</v>
      </c>
      <c r="E799" t="str">
        <f>VLOOKUP($A799,Sheet4!$A:$B,2,0)</f>
        <v>PS Jolly Rancher Pop 6-18PK</v>
      </c>
      <c r="F799" s="3" t="s">
        <v>43</v>
      </c>
    </row>
    <row r="800" spans="1:6" x14ac:dyDescent="0.25">
      <c r="A800" s="3">
        <v>64341106</v>
      </c>
      <c r="B800" s="3">
        <v>2904</v>
      </c>
      <c r="C800" s="24">
        <v>1922</v>
      </c>
      <c r="D800" s="4">
        <v>46091</v>
      </c>
      <c r="E800" t="str">
        <f>VLOOKUP($A800,Sheet4!$A:$B,2,0)</f>
        <v>PS Jolly Rancher Pop 6-18PK</v>
      </c>
      <c r="F800" s="3" t="s">
        <v>43</v>
      </c>
    </row>
    <row r="801" spans="1:6" x14ac:dyDescent="0.25">
      <c r="A801" s="3">
        <v>64341106</v>
      </c>
      <c r="B801" s="3">
        <v>2904</v>
      </c>
      <c r="C801" s="24">
        <v>1300</v>
      </c>
      <c r="D801" s="4">
        <v>46092</v>
      </c>
      <c r="E801" t="str">
        <f>VLOOKUP($A801,Sheet4!$A:$B,2,0)</f>
        <v>PS Jolly Rancher Pop 6-18PK</v>
      </c>
      <c r="F801" s="3" t="s">
        <v>43</v>
      </c>
    </row>
    <row r="802" spans="1:6" x14ac:dyDescent="0.25">
      <c r="A802" s="3">
        <v>64341106</v>
      </c>
      <c r="B802" s="3">
        <v>2904</v>
      </c>
      <c r="C802" s="24">
        <v>1634</v>
      </c>
      <c r="D802" s="4">
        <v>46092</v>
      </c>
      <c r="E802" t="str">
        <f>VLOOKUP($A802,Sheet4!$A:$B,2,0)</f>
        <v>PS Jolly Rancher Pop 6-18PK</v>
      </c>
      <c r="F802" s="3" t="s">
        <v>43</v>
      </c>
    </row>
    <row r="803" spans="1:6" x14ac:dyDescent="0.25">
      <c r="A803" s="3">
        <v>64341106</v>
      </c>
      <c r="B803" s="3">
        <v>2904</v>
      </c>
      <c r="C803" s="24">
        <v>1950</v>
      </c>
      <c r="D803" s="4">
        <v>46093</v>
      </c>
      <c r="E803" t="str">
        <f>VLOOKUP($A803,Sheet4!$A:$B,2,0)</f>
        <v>PS Jolly Rancher Pop 6-18PK</v>
      </c>
      <c r="F803" s="3" t="s">
        <v>43</v>
      </c>
    </row>
    <row r="804" spans="1:6" x14ac:dyDescent="0.25">
      <c r="A804" s="3">
        <v>64341106</v>
      </c>
      <c r="B804" s="3">
        <v>2904</v>
      </c>
      <c r="C804" s="24">
        <v>1869</v>
      </c>
      <c r="D804" s="4">
        <v>46093</v>
      </c>
      <c r="E804" t="str">
        <f>VLOOKUP($A804,Sheet4!$A:$B,2,0)</f>
        <v>PS Jolly Rancher Pop 6-18PK</v>
      </c>
      <c r="F804" s="3" t="s">
        <v>43</v>
      </c>
    </row>
    <row r="805" spans="1:6" x14ac:dyDescent="0.25">
      <c r="A805" s="3">
        <v>64341106</v>
      </c>
      <c r="B805" s="3">
        <v>2904</v>
      </c>
      <c r="C805" s="24">
        <v>2056</v>
      </c>
      <c r="D805" s="4">
        <v>46094</v>
      </c>
      <c r="E805" t="str">
        <f>VLOOKUP($A805,Sheet4!$A:$B,2,0)</f>
        <v>PS Jolly Rancher Pop 6-18PK</v>
      </c>
      <c r="F805" s="3" t="s">
        <v>43</v>
      </c>
    </row>
    <row r="806" spans="1:6" x14ac:dyDescent="0.25">
      <c r="A806" s="3">
        <v>64341106</v>
      </c>
      <c r="B806" s="3">
        <v>2904</v>
      </c>
      <c r="C806" s="24">
        <v>1582</v>
      </c>
      <c r="D806" s="4">
        <v>46094</v>
      </c>
      <c r="E806" t="str">
        <f>VLOOKUP($A806,Sheet4!$A:$B,2,0)</f>
        <v>PS Jolly Rancher Pop 6-18PK</v>
      </c>
      <c r="F806" s="3" t="s">
        <v>43</v>
      </c>
    </row>
    <row r="807" spans="1:6" x14ac:dyDescent="0.25">
      <c r="A807" s="3">
        <v>64341106</v>
      </c>
      <c r="B807" s="3">
        <v>2904</v>
      </c>
      <c r="C807" s="24">
        <v>1418</v>
      </c>
      <c r="D807" s="4">
        <v>46095</v>
      </c>
      <c r="E807" t="str">
        <f>VLOOKUP($A807,Sheet4!$A:$B,2,0)</f>
        <v>PS Jolly Rancher Pop 6-18PK</v>
      </c>
      <c r="F807" s="3" t="s">
        <v>43</v>
      </c>
    </row>
    <row r="808" spans="1:6" x14ac:dyDescent="0.25">
      <c r="A808" s="3">
        <v>64341106</v>
      </c>
      <c r="B808" s="3">
        <v>2904</v>
      </c>
      <c r="C808" s="24">
        <v>3221</v>
      </c>
      <c r="D808" s="4">
        <v>46097</v>
      </c>
      <c r="E808" t="str">
        <f>VLOOKUP($A808,Sheet4!$A:$B,2,0)</f>
        <v>PS Jolly Rancher Pop 6-18PK</v>
      </c>
      <c r="F808" s="3" t="s">
        <v>43</v>
      </c>
    </row>
    <row r="809" spans="1:6" x14ac:dyDescent="0.25">
      <c r="A809" s="3">
        <v>64341106</v>
      </c>
      <c r="B809" s="3">
        <v>2904</v>
      </c>
      <c r="C809" s="24">
        <v>2210</v>
      </c>
      <c r="D809" s="4">
        <v>46097</v>
      </c>
      <c r="E809" t="str">
        <f>VLOOKUP($A809,Sheet4!$A:$B,2,0)</f>
        <v>PS Jolly Rancher Pop 6-18PK</v>
      </c>
      <c r="F809" s="3" t="s">
        <v>43</v>
      </c>
    </row>
    <row r="810" spans="1:6" x14ac:dyDescent="0.25">
      <c r="A810" s="3">
        <v>64341106</v>
      </c>
      <c r="B810" s="3">
        <v>2904</v>
      </c>
      <c r="C810" s="24">
        <v>520</v>
      </c>
      <c r="D810" s="4">
        <v>46098</v>
      </c>
      <c r="E810" t="str">
        <f>VLOOKUP($A810,Sheet4!$A:$B,2,0)</f>
        <v>PS Jolly Rancher Pop 6-18PK</v>
      </c>
      <c r="F810" s="3" t="s">
        <v>43</v>
      </c>
    </row>
    <row r="811" spans="1:6" x14ac:dyDescent="0.25">
      <c r="A811" s="3">
        <v>64341106</v>
      </c>
      <c r="B811" s="3">
        <v>2904</v>
      </c>
      <c r="C811" s="24">
        <v>309</v>
      </c>
      <c r="D811" s="4">
        <v>46099</v>
      </c>
      <c r="E811" t="str">
        <f>VLOOKUP($A811,Sheet4!$A:$B,2,0)</f>
        <v>PS Jolly Rancher Pop 6-18PK</v>
      </c>
      <c r="F811" s="3" t="s">
        <v>43</v>
      </c>
    </row>
    <row r="812" spans="1:6" x14ac:dyDescent="0.25">
      <c r="A812" s="3">
        <v>64341106</v>
      </c>
      <c r="B812" s="3">
        <v>2904</v>
      </c>
      <c r="C812" s="24">
        <v>1170</v>
      </c>
      <c r="D812" s="4">
        <v>46084</v>
      </c>
      <c r="E812" t="str">
        <f>VLOOKUP($A812,Sheet4!$A:$B,2,0)</f>
        <v>PS Jolly Rancher Pop 6-18PK</v>
      </c>
      <c r="F812" s="3" t="s">
        <v>43</v>
      </c>
    </row>
    <row r="813" spans="1:6" x14ac:dyDescent="0.25">
      <c r="A813" s="3">
        <v>64341106</v>
      </c>
      <c r="B813" s="3">
        <v>2904</v>
      </c>
      <c r="C813" s="24">
        <v>1146</v>
      </c>
      <c r="D813" s="4">
        <v>46084</v>
      </c>
      <c r="E813" t="str">
        <f>VLOOKUP($A813,Sheet4!$A:$B,2,0)</f>
        <v>PS Jolly Rancher Pop 6-18PK</v>
      </c>
      <c r="F813" s="3" t="s">
        <v>43</v>
      </c>
    </row>
    <row r="814" spans="1:6" x14ac:dyDescent="0.25">
      <c r="A814" s="3">
        <v>64341106</v>
      </c>
      <c r="B814" s="3">
        <v>2904</v>
      </c>
      <c r="C814" s="24">
        <v>1194</v>
      </c>
      <c r="D814" s="4">
        <v>46085</v>
      </c>
      <c r="E814" t="str">
        <f>VLOOKUP($A814,Sheet4!$A:$B,2,0)</f>
        <v>PS Jolly Rancher Pop 6-18PK</v>
      </c>
      <c r="F814" s="3" t="s">
        <v>43</v>
      </c>
    </row>
    <row r="815" spans="1:6" x14ac:dyDescent="0.25">
      <c r="A815" s="3">
        <v>64341106</v>
      </c>
      <c r="B815" s="3">
        <v>2904</v>
      </c>
      <c r="C815" s="24">
        <v>988</v>
      </c>
      <c r="D815" s="4">
        <v>46085</v>
      </c>
      <c r="E815" t="str">
        <f>VLOOKUP($A815,Sheet4!$A:$B,2,0)</f>
        <v>PS Jolly Rancher Pop 6-18PK</v>
      </c>
      <c r="F815" s="3" t="s">
        <v>43</v>
      </c>
    </row>
    <row r="816" spans="1:6" x14ac:dyDescent="0.25">
      <c r="A816" s="3">
        <v>64341106</v>
      </c>
      <c r="B816" s="3">
        <v>2904</v>
      </c>
      <c r="C816" s="24">
        <v>1502</v>
      </c>
      <c r="D816" s="4">
        <v>46086</v>
      </c>
      <c r="E816" t="str">
        <f>VLOOKUP($A816,Sheet4!$A:$B,2,0)</f>
        <v>PS Jolly Rancher Pop 6-18PK</v>
      </c>
      <c r="F816" s="3" t="s">
        <v>43</v>
      </c>
    </row>
    <row r="817" spans="1:6" x14ac:dyDescent="0.25">
      <c r="A817" s="3">
        <v>64341106</v>
      </c>
      <c r="B817" s="3">
        <v>2904</v>
      </c>
      <c r="C817" s="24">
        <v>128</v>
      </c>
      <c r="D817" s="4">
        <v>46087</v>
      </c>
      <c r="E817" t="str">
        <f>VLOOKUP($A817,Sheet4!$A:$B,2,0)</f>
        <v>PS Jolly Rancher Pop 6-18PK</v>
      </c>
      <c r="F817" s="3" t="s">
        <v>43</v>
      </c>
    </row>
    <row r="818" spans="1:6" x14ac:dyDescent="0.25">
      <c r="A818" s="3">
        <v>64341106</v>
      </c>
      <c r="B818" s="3">
        <v>2904</v>
      </c>
      <c r="C818" s="24">
        <v>-139</v>
      </c>
      <c r="D818" s="4">
        <v>46090</v>
      </c>
      <c r="E818" t="str">
        <f>VLOOKUP($A818,Sheet4!$A:$B,2,0)</f>
        <v>PS Jolly Rancher Pop 6-18PK</v>
      </c>
      <c r="F818" s="3" t="s">
        <v>43</v>
      </c>
    </row>
    <row r="819" spans="1:6" x14ac:dyDescent="0.25">
      <c r="A819" s="3">
        <v>64341106</v>
      </c>
      <c r="B819" s="3">
        <v>2904</v>
      </c>
      <c r="C819" s="24">
        <v>124</v>
      </c>
      <c r="D819" s="4">
        <v>46086</v>
      </c>
      <c r="E819" t="str">
        <f>VLOOKUP($A819,Sheet4!$A:$B,2,0)</f>
        <v>PS Jolly Rancher Pop 6-18PK</v>
      </c>
      <c r="F819" s="3" t="s">
        <v>43</v>
      </c>
    </row>
    <row r="820" spans="1:6" x14ac:dyDescent="0.25">
      <c r="A820" s="3">
        <v>64341106</v>
      </c>
      <c r="B820" s="3">
        <v>2904</v>
      </c>
      <c r="C820" s="24">
        <v>870</v>
      </c>
      <c r="D820" s="4">
        <v>46087</v>
      </c>
      <c r="E820" t="str">
        <f>VLOOKUP($A820,Sheet4!$A:$B,2,0)</f>
        <v>PS Jolly Rancher Pop 6-18PK</v>
      </c>
      <c r="F820" s="3" t="s">
        <v>43</v>
      </c>
    </row>
    <row r="821" spans="1:6" x14ac:dyDescent="0.25">
      <c r="A821" s="3">
        <v>64341106</v>
      </c>
      <c r="B821" s="3">
        <v>2904</v>
      </c>
      <c r="C821" s="24">
        <v>2047</v>
      </c>
      <c r="D821" s="4">
        <v>46088</v>
      </c>
      <c r="E821" t="str">
        <f>VLOOKUP($A821,Sheet4!$A:$B,2,0)</f>
        <v>PS Jolly Rancher Pop 6-18PK</v>
      </c>
      <c r="F821" s="3" t="s">
        <v>43</v>
      </c>
    </row>
    <row r="822" spans="1:6" x14ac:dyDescent="0.25">
      <c r="A822" s="3">
        <v>64341106</v>
      </c>
      <c r="B822" s="3">
        <v>2904</v>
      </c>
      <c r="C822" s="24">
        <v>39</v>
      </c>
      <c r="D822" s="4">
        <v>46088</v>
      </c>
      <c r="E822" t="str">
        <f>VLOOKUP($A822,Sheet4!$A:$B,2,0)</f>
        <v>PS Jolly Rancher Pop 6-18PK</v>
      </c>
      <c r="F822" s="3" t="s">
        <v>43</v>
      </c>
    </row>
    <row r="823" spans="1:6" x14ac:dyDescent="0.25">
      <c r="A823" s="3">
        <v>64341106</v>
      </c>
      <c r="B823" s="3">
        <v>2904</v>
      </c>
      <c r="C823" s="24">
        <v>837</v>
      </c>
      <c r="D823" s="4">
        <v>46089</v>
      </c>
      <c r="E823" t="str">
        <f>VLOOKUP($A823,Sheet4!$A:$B,2,0)</f>
        <v>PS Jolly Rancher Pop 6-18PK</v>
      </c>
      <c r="F823" s="3" t="s">
        <v>43</v>
      </c>
    </row>
    <row r="824" spans="1:6" x14ac:dyDescent="0.25">
      <c r="A824" s="3">
        <v>64341106</v>
      </c>
      <c r="B824" s="3">
        <v>2904</v>
      </c>
      <c r="C824" s="24">
        <v>166</v>
      </c>
      <c r="D824" s="4">
        <v>46089</v>
      </c>
      <c r="E824" t="str">
        <f>VLOOKUP($A824,Sheet4!$A:$B,2,0)</f>
        <v>PS Jolly Rancher Pop 6-18PK</v>
      </c>
      <c r="F824" s="3" t="s">
        <v>43</v>
      </c>
    </row>
    <row r="825" spans="1:6" x14ac:dyDescent="0.25">
      <c r="A825" s="3">
        <v>64341106</v>
      </c>
      <c r="B825" s="3">
        <v>2904</v>
      </c>
      <c r="C825" s="24">
        <v>1034</v>
      </c>
      <c r="D825" s="4">
        <v>46090</v>
      </c>
      <c r="E825" t="str">
        <f>VLOOKUP($A825,Sheet4!$A:$B,2,0)</f>
        <v>PS Jolly Rancher Pop 6-18PK</v>
      </c>
      <c r="F825" s="3" t="s">
        <v>43</v>
      </c>
    </row>
    <row r="826" spans="1:6" x14ac:dyDescent="0.25">
      <c r="A826" s="3">
        <v>64341106</v>
      </c>
      <c r="B826" s="3">
        <v>2904</v>
      </c>
      <c r="C826" s="24">
        <v>1690</v>
      </c>
      <c r="D826" s="4">
        <v>46097</v>
      </c>
      <c r="E826" t="str">
        <f>VLOOKUP($A826,Sheet4!$A:$B,2,0)</f>
        <v>PS Jolly Rancher Pop 6-18PK</v>
      </c>
      <c r="F826" s="3" t="s">
        <v>43</v>
      </c>
    </row>
    <row r="827" spans="1:6" x14ac:dyDescent="0.25">
      <c r="A827" s="3">
        <v>64341106</v>
      </c>
      <c r="B827" s="3">
        <v>2904</v>
      </c>
      <c r="C827" s="24">
        <v>3198</v>
      </c>
      <c r="D827" s="4">
        <v>46098</v>
      </c>
      <c r="E827" t="str">
        <f>VLOOKUP($A827,Sheet4!$A:$B,2,0)</f>
        <v>PS Jolly Rancher Pop 6-18PK</v>
      </c>
      <c r="F827" s="3" t="s">
        <v>43</v>
      </c>
    </row>
    <row r="828" spans="1:6" x14ac:dyDescent="0.25">
      <c r="A828" s="3">
        <v>64341106</v>
      </c>
      <c r="B828" s="3">
        <v>2904</v>
      </c>
      <c r="C828" s="24">
        <v>2730</v>
      </c>
      <c r="D828" s="4">
        <v>46098</v>
      </c>
      <c r="E828" t="str">
        <f>VLOOKUP($A828,Sheet4!$A:$B,2,0)</f>
        <v>PS Jolly Rancher Pop 6-18PK</v>
      </c>
      <c r="F828" s="3" t="s">
        <v>43</v>
      </c>
    </row>
    <row r="829" spans="1:6" x14ac:dyDescent="0.25">
      <c r="A829" s="3">
        <v>64341106</v>
      </c>
      <c r="B829" s="3">
        <v>2904</v>
      </c>
      <c r="C829" s="24">
        <v>1977</v>
      </c>
      <c r="D829" s="4">
        <v>46099</v>
      </c>
      <c r="E829" t="str">
        <f>VLOOKUP($A829,Sheet4!$A:$B,2,0)</f>
        <v>PS Jolly Rancher Pop 6-18PK</v>
      </c>
      <c r="F829" s="3" t="s">
        <v>43</v>
      </c>
    </row>
    <row r="830" spans="1:6" x14ac:dyDescent="0.25">
      <c r="A830" s="3">
        <v>64341106</v>
      </c>
      <c r="B830" s="3">
        <v>2904</v>
      </c>
      <c r="C830" s="24">
        <v>793</v>
      </c>
      <c r="D830" s="4">
        <v>46099</v>
      </c>
      <c r="E830" t="str">
        <f>VLOOKUP($A830,Sheet4!$A:$B,2,0)</f>
        <v>PS Jolly Rancher Pop 6-18PK</v>
      </c>
      <c r="F830" s="3" t="s">
        <v>43</v>
      </c>
    </row>
    <row r="831" spans="1:6" x14ac:dyDescent="0.25">
      <c r="A831" s="3">
        <v>64341106</v>
      </c>
      <c r="B831" s="3">
        <v>2904</v>
      </c>
      <c r="C831" s="24">
        <v>1560</v>
      </c>
      <c r="D831" s="4">
        <v>46100</v>
      </c>
      <c r="E831" t="str">
        <f>VLOOKUP($A831,Sheet4!$A:$B,2,0)</f>
        <v>PS Jolly Rancher Pop 6-18PK</v>
      </c>
      <c r="F831" s="3" t="s">
        <v>43</v>
      </c>
    </row>
    <row r="832" spans="1:6" x14ac:dyDescent="0.25">
      <c r="A832" s="3">
        <v>64341106</v>
      </c>
      <c r="B832" s="3">
        <v>2904</v>
      </c>
      <c r="C832" s="24">
        <v>2821</v>
      </c>
      <c r="D832" s="4">
        <v>46100</v>
      </c>
      <c r="E832" t="str">
        <f>VLOOKUP($A832,Sheet4!$A:$B,2,0)</f>
        <v>PS Jolly Rancher Pop 6-18PK</v>
      </c>
      <c r="F832" s="3" t="s">
        <v>43</v>
      </c>
    </row>
    <row r="833" spans="1:6" x14ac:dyDescent="0.25">
      <c r="A833" s="3">
        <v>64341106</v>
      </c>
      <c r="B833" s="3">
        <v>2904</v>
      </c>
      <c r="C833" s="24">
        <v>2028</v>
      </c>
      <c r="D833" s="4">
        <v>46101</v>
      </c>
      <c r="E833" t="str">
        <f>VLOOKUP($A833,Sheet4!$A:$B,2,0)</f>
        <v>PS Jolly Rancher Pop 6-18PK</v>
      </c>
      <c r="F833" s="3" t="s">
        <v>43</v>
      </c>
    </row>
    <row r="834" spans="1:6" x14ac:dyDescent="0.25">
      <c r="A834" s="3">
        <v>64341106</v>
      </c>
      <c r="B834" s="3">
        <v>2904</v>
      </c>
      <c r="C834" s="24">
        <v>225</v>
      </c>
      <c r="D834" s="4">
        <v>46101</v>
      </c>
      <c r="E834" t="str">
        <f>VLOOKUP($A834,Sheet4!$A:$B,2,0)</f>
        <v>PS Jolly Rancher Pop 6-18PK</v>
      </c>
      <c r="F834" s="3" t="s">
        <v>43</v>
      </c>
    </row>
    <row r="835" spans="1:6" x14ac:dyDescent="0.25">
      <c r="A835" s="3">
        <v>64341106</v>
      </c>
      <c r="B835" s="3">
        <v>2904</v>
      </c>
      <c r="C835" s="24">
        <v>780</v>
      </c>
      <c r="D835" s="4">
        <v>46102</v>
      </c>
      <c r="E835" t="str">
        <f>VLOOKUP($A835,Sheet4!$A:$B,2,0)</f>
        <v>PS Jolly Rancher Pop 6-18PK</v>
      </c>
      <c r="F835" s="3" t="s">
        <v>43</v>
      </c>
    </row>
    <row r="836" spans="1:6" x14ac:dyDescent="0.25">
      <c r="A836" s="3">
        <v>64341106</v>
      </c>
      <c r="B836" s="3">
        <v>2904</v>
      </c>
      <c r="C836" s="24">
        <v>259</v>
      </c>
      <c r="D836" s="4">
        <v>46102</v>
      </c>
      <c r="E836" t="str">
        <f>VLOOKUP($A836,Sheet4!$A:$B,2,0)</f>
        <v>PS Jolly Rancher Pop 6-18PK</v>
      </c>
      <c r="F836" s="3" t="s">
        <v>43</v>
      </c>
    </row>
    <row r="837" spans="1:6" x14ac:dyDescent="0.25">
      <c r="A837" s="3">
        <v>64341106</v>
      </c>
      <c r="B837" s="3">
        <v>2904</v>
      </c>
      <c r="C837" s="24">
        <v>9</v>
      </c>
      <c r="D837" s="4">
        <v>46103</v>
      </c>
      <c r="E837" t="str">
        <f>VLOOKUP($A837,Sheet4!$A:$B,2,0)</f>
        <v>PS Jolly Rancher Pop 6-18PK</v>
      </c>
      <c r="F837" s="3" t="s">
        <v>43</v>
      </c>
    </row>
    <row r="838" spans="1:6" x14ac:dyDescent="0.25">
      <c r="A838" s="3">
        <v>64341106</v>
      </c>
      <c r="B838" s="3">
        <v>2904</v>
      </c>
      <c r="C838" s="24">
        <v>688</v>
      </c>
      <c r="D838" s="4">
        <v>46104</v>
      </c>
      <c r="E838" t="str">
        <f>VLOOKUP($A838,Sheet4!$A:$B,2,0)</f>
        <v>PS Jolly Rancher Pop 6-18PK</v>
      </c>
      <c r="F838" s="3" t="s">
        <v>43</v>
      </c>
    </row>
    <row r="839" spans="1:6" x14ac:dyDescent="0.25">
      <c r="A839" s="3">
        <v>64341106</v>
      </c>
      <c r="B839" s="3">
        <v>2904</v>
      </c>
      <c r="C839" s="24">
        <v>2600</v>
      </c>
      <c r="D839" s="4">
        <v>46104</v>
      </c>
      <c r="E839" t="str">
        <f>VLOOKUP($A839,Sheet4!$A:$B,2,0)</f>
        <v>PS Jolly Rancher Pop 6-18PK</v>
      </c>
      <c r="F839" s="3" t="s">
        <v>43</v>
      </c>
    </row>
    <row r="840" spans="1:6" x14ac:dyDescent="0.25">
      <c r="A840" s="3">
        <v>64341106</v>
      </c>
      <c r="B840" s="3">
        <v>2904</v>
      </c>
      <c r="C840" s="24">
        <v>2067</v>
      </c>
      <c r="D840" s="4">
        <v>46105</v>
      </c>
      <c r="E840" t="str">
        <f>VLOOKUP($A840,Sheet4!$A:$B,2,0)</f>
        <v>PS Jolly Rancher Pop 6-18PK</v>
      </c>
      <c r="F840" s="3" t="s">
        <v>43</v>
      </c>
    </row>
    <row r="841" spans="1:6" x14ac:dyDescent="0.25">
      <c r="A841" s="3">
        <v>64341106</v>
      </c>
      <c r="B841" s="3">
        <v>2904</v>
      </c>
      <c r="C841" s="24">
        <v>3250</v>
      </c>
      <c r="D841" s="4">
        <v>46105</v>
      </c>
      <c r="E841" t="str">
        <f>VLOOKUP($A841,Sheet4!$A:$B,2,0)</f>
        <v>PS Jolly Rancher Pop 6-18PK</v>
      </c>
      <c r="F841" s="3" t="s">
        <v>43</v>
      </c>
    </row>
    <row r="842" spans="1:6" x14ac:dyDescent="0.25">
      <c r="A842" s="3">
        <v>64369035</v>
      </c>
      <c r="B842" s="3">
        <v>2904</v>
      </c>
      <c r="C842" s="24">
        <v>8539</v>
      </c>
      <c r="D842" s="4">
        <v>46105</v>
      </c>
      <c r="E842" t="str">
        <f>VLOOKUP($A842,Sheet4!$A:$B,2,0)</f>
        <v>TAL ND Caramel Toffee Crunch 8 1PT</v>
      </c>
      <c r="F842" s="3" t="s">
        <v>29</v>
      </c>
    </row>
    <row r="843" spans="1:6" x14ac:dyDescent="0.25">
      <c r="A843" s="3">
        <v>64369035</v>
      </c>
      <c r="B843" s="3">
        <v>2904</v>
      </c>
      <c r="C843" s="24">
        <v>2281</v>
      </c>
      <c r="D843" s="4">
        <v>46105</v>
      </c>
      <c r="E843" t="str">
        <f>VLOOKUP($A843,Sheet4!$A:$B,2,0)</f>
        <v>TAL ND Caramel Toffee Crunch 8 1PT</v>
      </c>
      <c r="F843" s="3" t="s">
        <v>29</v>
      </c>
    </row>
    <row r="844" spans="1:6" x14ac:dyDescent="0.25">
      <c r="A844" s="3">
        <v>64373718</v>
      </c>
      <c r="B844" s="3">
        <v>2904</v>
      </c>
      <c r="C844" s="24">
        <v>7039</v>
      </c>
      <c r="D844" s="4">
        <v>46102</v>
      </c>
      <c r="E844" t="str">
        <f>VLOOKUP($A844,Sheet4!$A:$B,2,0)</f>
        <v>BR Smores 6 1.5QT</v>
      </c>
      <c r="F844" s="3" t="s">
        <v>21</v>
      </c>
    </row>
    <row r="845" spans="1:6" x14ac:dyDescent="0.25">
      <c r="A845" s="3">
        <v>64373718</v>
      </c>
      <c r="B845" s="3">
        <v>2904</v>
      </c>
      <c r="C845" s="24">
        <v>6965</v>
      </c>
      <c r="D845" s="4">
        <v>46103</v>
      </c>
      <c r="E845" t="str">
        <f>VLOOKUP($A845,Sheet4!$A:$B,2,0)</f>
        <v>BR Smores 6 1.5QT</v>
      </c>
      <c r="F845" s="3" t="s">
        <v>21</v>
      </c>
    </row>
    <row r="846" spans="1:6" x14ac:dyDescent="0.25">
      <c r="A846" s="3">
        <v>64373718</v>
      </c>
      <c r="B846" s="3">
        <v>2904</v>
      </c>
      <c r="C846" s="24">
        <v>4130</v>
      </c>
      <c r="D846" s="4">
        <v>46104</v>
      </c>
      <c r="E846" t="str">
        <f>VLOOKUP($A846,Sheet4!$A:$B,2,0)</f>
        <v>BR Smores 6 1.5QT</v>
      </c>
      <c r="F846" s="3" t="s">
        <v>21</v>
      </c>
    </row>
    <row r="847" spans="1:6" x14ac:dyDescent="0.25">
      <c r="A847" s="3">
        <v>64373718</v>
      </c>
      <c r="B847" s="3">
        <v>2904</v>
      </c>
      <c r="C847" s="24">
        <v>986</v>
      </c>
      <c r="D847" s="4">
        <v>46104</v>
      </c>
      <c r="E847" t="str">
        <f>VLOOKUP($A847,Sheet4!$A:$B,2,0)</f>
        <v>BR Smores 6 1.5QT</v>
      </c>
      <c r="F847" s="3" t="s">
        <v>21</v>
      </c>
    </row>
    <row r="848" spans="1:6" x14ac:dyDescent="0.25">
      <c r="A848" s="3">
        <v>64373718</v>
      </c>
      <c r="B848" s="3">
        <v>2904</v>
      </c>
      <c r="C848" s="24">
        <v>8272</v>
      </c>
      <c r="D848" s="4">
        <v>46102</v>
      </c>
      <c r="E848" t="str">
        <f>VLOOKUP($A848,Sheet4!$A:$B,2,0)</f>
        <v>BR Smores 6 1.5QT</v>
      </c>
      <c r="F848" s="3" t="s">
        <v>21</v>
      </c>
    </row>
    <row r="849" spans="1:6" x14ac:dyDescent="0.25">
      <c r="A849" s="3">
        <v>64373718</v>
      </c>
      <c r="B849" s="3">
        <v>2904</v>
      </c>
      <c r="C849" s="24">
        <v>6063</v>
      </c>
      <c r="D849" s="4">
        <v>46103</v>
      </c>
      <c r="E849" t="str">
        <f>VLOOKUP($A849,Sheet4!$A:$B,2,0)</f>
        <v>BR Smores 6 1.5QT</v>
      </c>
      <c r="F849" s="3" t="s">
        <v>21</v>
      </c>
    </row>
    <row r="850" spans="1:6" x14ac:dyDescent="0.25">
      <c r="A850" s="3">
        <v>64389651</v>
      </c>
      <c r="B850" s="3">
        <v>2904</v>
      </c>
      <c r="C850" s="24">
        <v>1408</v>
      </c>
      <c r="D850" s="4">
        <v>46090</v>
      </c>
      <c r="E850" t="str">
        <f>VLOOKUP($A850,Sheet4!$A:$B,2,0)</f>
        <v>BR Strawberry Shortcake 6 1.5QT</v>
      </c>
      <c r="F850" s="3" t="s">
        <v>17</v>
      </c>
    </row>
    <row r="851" spans="1:6" x14ac:dyDescent="0.25">
      <c r="A851" s="3">
        <v>64389651</v>
      </c>
      <c r="B851" s="3">
        <v>2904</v>
      </c>
      <c r="C851" s="24">
        <v>6864</v>
      </c>
      <c r="D851" s="4">
        <v>46091</v>
      </c>
      <c r="E851" t="str">
        <f>VLOOKUP($A851,Sheet4!$A:$B,2,0)</f>
        <v>BR Strawberry Shortcake 6 1.5QT</v>
      </c>
      <c r="F851" s="3" t="s">
        <v>17</v>
      </c>
    </row>
    <row r="852" spans="1:6" x14ac:dyDescent="0.25">
      <c r="A852" s="3">
        <v>64389651</v>
      </c>
      <c r="B852" s="3">
        <v>2904</v>
      </c>
      <c r="C852" s="24">
        <v>5808</v>
      </c>
      <c r="D852" s="4">
        <v>46091</v>
      </c>
      <c r="E852" t="str">
        <f>VLOOKUP($A852,Sheet4!$A:$B,2,0)</f>
        <v>BR Strawberry Shortcake 6 1.5QT</v>
      </c>
      <c r="F852" s="3" t="s">
        <v>17</v>
      </c>
    </row>
    <row r="853" spans="1:6" x14ac:dyDescent="0.25">
      <c r="A853" s="3">
        <v>64389651</v>
      </c>
      <c r="B853" s="3">
        <v>2904</v>
      </c>
      <c r="C853" s="24">
        <v>5808</v>
      </c>
      <c r="D853" s="4">
        <v>46092</v>
      </c>
      <c r="E853" t="str">
        <f>VLOOKUP($A853,Sheet4!$A:$B,2,0)</f>
        <v>BR Strawberry Shortcake 6 1.5QT</v>
      </c>
      <c r="F853" s="3" t="s">
        <v>17</v>
      </c>
    </row>
    <row r="854" spans="1:6" x14ac:dyDescent="0.25">
      <c r="A854" s="3">
        <v>64389651</v>
      </c>
      <c r="B854" s="3">
        <v>2904</v>
      </c>
      <c r="C854" s="24">
        <v>7216</v>
      </c>
      <c r="D854" s="4">
        <v>46092</v>
      </c>
      <c r="E854" t="str">
        <f>VLOOKUP($A854,Sheet4!$A:$B,2,0)</f>
        <v>BR Strawberry Shortcake 6 1.5QT</v>
      </c>
      <c r="F854" s="3" t="s">
        <v>17</v>
      </c>
    </row>
    <row r="855" spans="1:6" x14ac:dyDescent="0.25">
      <c r="A855" s="3">
        <v>64389651</v>
      </c>
      <c r="B855" s="3">
        <v>2904</v>
      </c>
      <c r="C855" s="24">
        <v>6864</v>
      </c>
      <c r="D855" s="4">
        <v>46093</v>
      </c>
      <c r="E855" t="str">
        <f>VLOOKUP($A855,Sheet4!$A:$B,2,0)</f>
        <v>BR Strawberry Shortcake 6 1.5QT</v>
      </c>
      <c r="F855" s="3" t="s">
        <v>17</v>
      </c>
    </row>
    <row r="856" spans="1:6" x14ac:dyDescent="0.25">
      <c r="A856" s="3">
        <v>64389651</v>
      </c>
      <c r="B856" s="3">
        <v>2904</v>
      </c>
      <c r="C856" s="24">
        <v>7216</v>
      </c>
      <c r="D856" s="4">
        <v>46093</v>
      </c>
      <c r="E856" t="str">
        <f>VLOOKUP($A856,Sheet4!$A:$B,2,0)</f>
        <v>BR Strawberry Shortcake 6 1.5QT</v>
      </c>
      <c r="F856" s="3" t="s">
        <v>17</v>
      </c>
    </row>
    <row r="857" spans="1:6" x14ac:dyDescent="0.25">
      <c r="A857" s="3">
        <v>64389651</v>
      </c>
      <c r="B857" s="3">
        <v>2904</v>
      </c>
      <c r="C857" s="24">
        <v>2176</v>
      </c>
      <c r="D857" s="4">
        <v>46094</v>
      </c>
      <c r="E857" t="str">
        <f>VLOOKUP($A857,Sheet4!$A:$B,2,0)</f>
        <v>BR Strawberry Shortcake 6 1.5QT</v>
      </c>
      <c r="F857" s="3" t="s">
        <v>17</v>
      </c>
    </row>
    <row r="858" spans="1:6" x14ac:dyDescent="0.25">
      <c r="A858" s="3">
        <v>64393723</v>
      </c>
      <c r="B858" s="3">
        <v>2904</v>
      </c>
      <c r="C858" s="24">
        <v>3778</v>
      </c>
      <c r="D858" s="4">
        <v>46077</v>
      </c>
      <c r="E858" t="str">
        <f>VLOOKUP($A858,Sheet4!$A:$B,2,0)</f>
        <v>MG Double Chocolate Bar 8-3PK</v>
      </c>
      <c r="F858" s="3" t="s">
        <v>61</v>
      </c>
    </row>
    <row r="859" spans="1:6" x14ac:dyDescent="0.25">
      <c r="A859" s="3">
        <v>64393723</v>
      </c>
      <c r="B859" s="3">
        <v>2904</v>
      </c>
      <c r="C859" s="24">
        <v>3683</v>
      </c>
      <c r="D859" s="4">
        <v>46078</v>
      </c>
      <c r="E859" t="str">
        <f>VLOOKUP($A859,Sheet4!$A:$B,2,0)</f>
        <v>MG Double Chocolate Bar 8-3PK</v>
      </c>
      <c r="F859" s="3" t="s">
        <v>61</v>
      </c>
    </row>
    <row r="860" spans="1:6" x14ac:dyDescent="0.25">
      <c r="A860" s="3">
        <v>64393723</v>
      </c>
      <c r="B860" s="3">
        <v>2904</v>
      </c>
      <c r="C860" s="24">
        <v>4215</v>
      </c>
      <c r="D860" s="4">
        <v>46078</v>
      </c>
      <c r="E860" t="str">
        <f>VLOOKUP($A860,Sheet4!$A:$B,2,0)</f>
        <v>MG Double Chocolate Bar 8-3PK</v>
      </c>
      <c r="F860" s="3" t="s">
        <v>61</v>
      </c>
    </row>
    <row r="861" spans="1:6" x14ac:dyDescent="0.25">
      <c r="A861" s="3">
        <v>64393723</v>
      </c>
      <c r="B861" s="3">
        <v>2904</v>
      </c>
      <c r="C861" s="24">
        <v>4989</v>
      </c>
      <c r="D861" s="4">
        <v>46079</v>
      </c>
      <c r="E861" t="str">
        <f>VLOOKUP($A861,Sheet4!$A:$B,2,0)</f>
        <v>MG Double Chocolate Bar 8-3PK</v>
      </c>
      <c r="F861" s="3" t="s">
        <v>61</v>
      </c>
    </row>
    <row r="862" spans="1:6" x14ac:dyDescent="0.25">
      <c r="A862" s="3">
        <v>64393723</v>
      </c>
      <c r="B862" s="3">
        <v>2904</v>
      </c>
      <c r="C862" s="24">
        <v>7980</v>
      </c>
      <c r="D862" s="4">
        <v>46079</v>
      </c>
      <c r="E862" t="str">
        <f>VLOOKUP($A862,Sheet4!$A:$B,2,0)</f>
        <v>MG Double Chocolate Bar 8-3PK</v>
      </c>
      <c r="F862" s="3" t="s">
        <v>61</v>
      </c>
    </row>
    <row r="863" spans="1:6" x14ac:dyDescent="0.25">
      <c r="A863" s="3">
        <v>64393723</v>
      </c>
      <c r="B863" s="3">
        <v>2904</v>
      </c>
      <c r="C863" s="24">
        <v>5151</v>
      </c>
      <c r="D863" s="4">
        <v>46080</v>
      </c>
      <c r="E863" t="str">
        <f>VLOOKUP($A863,Sheet4!$A:$B,2,0)</f>
        <v>MG Double Chocolate Bar 8-3PK</v>
      </c>
      <c r="F863" s="3" t="s">
        <v>61</v>
      </c>
    </row>
    <row r="864" spans="1:6" x14ac:dyDescent="0.25">
      <c r="A864" s="3">
        <v>64393723</v>
      </c>
      <c r="B864" s="3">
        <v>2904</v>
      </c>
      <c r="C864" s="24">
        <v>7183</v>
      </c>
      <c r="D864" s="4">
        <v>46080</v>
      </c>
      <c r="E864" t="str">
        <f>VLOOKUP($A864,Sheet4!$A:$B,2,0)</f>
        <v>MG Double Chocolate Bar 8-3PK</v>
      </c>
      <c r="F864" s="3" t="s">
        <v>61</v>
      </c>
    </row>
    <row r="865" spans="1:6" x14ac:dyDescent="0.25">
      <c r="A865" s="3">
        <v>64393723</v>
      </c>
      <c r="B865" s="3">
        <v>2904</v>
      </c>
      <c r="C865" s="24">
        <v>3414</v>
      </c>
      <c r="D865" s="4">
        <v>46081</v>
      </c>
      <c r="E865" t="str">
        <f>VLOOKUP($A865,Sheet4!$A:$B,2,0)</f>
        <v>MG Double Chocolate Bar 8-3PK</v>
      </c>
      <c r="F865" s="3" t="s">
        <v>61</v>
      </c>
    </row>
    <row r="866" spans="1:6" x14ac:dyDescent="0.25">
      <c r="A866" s="3">
        <v>64394583</v>
      </c>
      <c r="B866" s="3">
        <v>2904</v>
      </c>
      <c r="C866" s="24">
        <v>239</v>
      </c>
      <c r="D866" s="4">
        <v>46078</v>
      </c>
      <c r="E866" t="str">
        <f>VLOOKUP($A866,Sheet4!$A:$B,2,0)</f>
        <v>BJ US-SUN-CookieVermontster-8 427ML</v>
      </c>
      <c r="F866" s="3" t="s">
        <v>46</v>
      </c>
    </row>
    <row r="867" spans="1:6" x14ac:dyDescent="0.25">
      <c r="A867" s="3">
        <v>64394583</v>
      </c>
      <c r="B867" s="3">
        <v>2904</v>
      </c>
      <c r="C867" s="24">
        <v>111</v>
      </c>
      <c r="D867" s="4">
        <v>46078</v>
      </c>
      <c r="E867" t="str">
        <f>VLOOKUP($A867,Sheet4!$A:$B,2,0)</f>
        <v>BJ US-SUN-CookieVermontster-8 427ML</v>
      </c>
      <c r="F867" s="3" t="s">
        <v>46</v>
      </c>
    </row>
    <row r="868" spans="1:6" x14ac:dyDescent="0.25">
      <c r="A868" s="3">
        <v>64394585</v>
      </c>
      <c r="B868" s="3">
        <v>2904</v>
      </c>
      <c r="C868" s="24">
        <v>2160</v>
      </c>
      <c r="D868" s="4">
        <v>46079</v>
      </c>
      <c r="E868" t="str">
        <f>VLOOKUP($A868,Sheet4!$A:$B,2,0)</f>
        <v>BJ US-SUN-DulceDelish-8 427ML</v>
      </c>
      <c r="F868" s="3" t="s">
        <v>46</v>
      </c>
    </row>
    <row r="869" spans="1:6" x14ac:dyDescent="0.25">
      <c r="A869" s="3">
        <v>64394585</v>
      </c>
      <c r="B869" s="3">
        <v>2904</v>
      </c>
      <c r="C869" s="24">
        <v>6060</v>
      </c>
      <c r="D869" s="4">
        <v>46080</v>
      </c>
      <c r="E869" t="str">
        <f>VLOOKUP($A869,Sheet4!$A:$B,2,0)</f>
        <v>BJ US-SUN-DulceDelish-8 427ML</v>
      </c>
      <c r="F869" s="3" t="s">
        <v>46</v>
      </c>
    </row>
    <row r="870" spans="1:6" x14ac:dyDescent="0.25">
      <c r="A870" s="3">
        <v>64394585</v>
      </c>
      <c r="B870" s="3">
        <v>2904</v>
      </c>
      <c r="C870" s="24">
        <v>9722</v>
      </c>
      <c r="D870" s="4">
        <v>46080</v>
      </c>
      <c r="E870" t="str">
        <f>VLOOKUP($A870,Sheet4!$A:$B,2,0)</f>
        <v>BJ US-SUN-DulceDelish-8 427ML</v>
      </c>
      <c r="F870" s="3" t="s">
        <v>46</v>
      </c>
    </row>
    <row r="871" spans="1:6" x14ac:dyDescent="0.25">
      <c r="A871" s="3">
        <v>64394585</v>
      </c>
      <c r="B871" s="3">
        <v>2904</v>
      </c>
      <c r="C871" s="24">
        <v>5729</v>
      </c>
      <c r="D871" s="4">
        <v>46081</v>
      </c>
      <c r="E871" t="str">
        <f>VLOOKUP($A871,Sheet4!$A:$B,2,0)</f>
        <v>BJ US-SUN-DulceDelish-8 427ML</v>
      </c>
      <c r="F871" s="3" t="s">
        <v>46</v>
      </c>
    </row>
    <row r="872" spans="1:6" x14ac:dyDescent="0.25">
      <c r="A872" s="3">
        <v>64775327</v>
      </c>
      <c r="B872" s="3">
        <v>2904</v>
      </c>
      <c r="C872" s="24">
        <v>5104</v>
      </c>
      <c r="D872" s="4">
        <v>46076</v>
      </c>
      <c r="E872" t="str">
        <f>VLOOKUP($A872,Sheet4!$A:$B,2,0)</f>
        <v>BR CS Brownie A La Mode 6 1.5QT</v>
      </c>
      <c r="F872" s="3" t="s">
        <v>21</v>
      </c>
    </row>
    <row r="873" spans="1:6" x14ac:dyDescent="0.25">
      <c r="A873" s="3">
        <v>64775327</v>
      </c>
      <c r="B873" s="3">
        <v>2904</v>
      </c>
      <c r="C873" s="24">
        <v>7136</v>
      </c>
      <c r="D873" s="4">
        <v>46077</v>
      </c>
      <c r="E873" t="str">
        <f>VLOOKUP($A873,Sheet4!$A:$B,2,0)</f>
        <v>BR CS Brownie A La Mode 6 1.5QT</v>
      </c>
      <c r="F873" s="3" t="s">
        <v>21</v>
      </c>
    </row>
    <row r="874" spans="1:6" x14ac:dyDescent="0.25">
      <c r="A874" s="3">
        <v>64775327</v>
      </c>
      <c r="B874" s="3">
        <v>2904</v>
      </c>
      <c r="C874" s="24">
        <v>5057</v>
      </c>
      <c r="D874" s="4">
        <v>46077</v>
      </c>
      <c r="E874" t="str">
        <f>VLOOKUP($A874,Sheet4!$A:$B,2,0)</f>
        <v>BR CS Brownie A La Mode 6 1.5QT</v>
      </c>
      <c r="F874" s="3" t="s">
        <v>21</v>
      </c>
    </row>
    <row r="875" spans="1:6" x14ac:dyDescent="0.25">
      <c r="A875" s="3">
        <v>64775327</v>
      </c>
      <c r="B875" s="3">
        <v>2904</v>
      </c>
      <c r="C875" s="24">
        <v>6686</v>
      </c>
      <c r="D875" s="4">
        <v>46078</v>
      </c>
      <c r="E875" t="str">
        <f>VLOOKUP($A875,Sheet4!$A:$B,2,0)</f>
        <v>BR CS Brownie A La Mode 6 1.5QT</v>
      </c>
      <c r="F875" s="3" t="s">
        <v>21</v>
      </c>
    </row>
    <row r="876" spans="1:6" x14ac:dyDescent="0.25">
      <c r="A876" s="3">
        <v>64775327</v>
      </c>
      <c r="B876" s="3">
        <v>2904</v>
      </c>
      <c r="C876" s="24">
        <v>5565</v>
      </c>
      <c r="D876" s="4">
        <v>46078</v>
      </c>
      <c r="E876" t="str">
        <f>VLOOKUP($A876,Sheet4!$A:$B,2,0)</f>
        <v>BR CS Brownie A La Mode 6 1.5QT</v>
      </c>
      <c r="F876" s="3" t="s">
        <v>21</v>
      </c>
    </row>
    <row r="877" spans="1:6" x14ac:dyDescent="0.25">
      <c r="A877" s="3">
        <v>64775327</v>
      </c>
      <c r="B877" s="3">
        <v>2904</v>
      </c>
      <c r="C877" s="24">
        <v>539</v>
      </c>
      <c r="D877" s="4">
        <v>46079</v>
      </c>
      <c r="E877" t="str">
        <f>VLOOKUP($A877,Sheet4!$A:$B,2,0)</f>
        <v>BR CS Brownie A La Mode 6 1.5QT</v>
      </c>
      <c r="F877" s="3" t="s">
        <v>21</v>
      </c>
    </row>
    <row r="878" spans="1:6" x14ac:dyDescent="0.25">
      <c r="A878" s="3">
        <v>64775327</v>
      </c>
      <c r="B878" s="3">
        <v>2904</v>
      </c>
      <c r="C878" s="24">
        <v>5456</v>
      </c>
      <c r="D878" s="4">
        <v>46076</v>
      </c>
      <c r="E878" t="str">
        <f>VLOOKUP($A878,Sheet4!$A:$B,2,0)</f>
        <v>BR CS Brownie A La Mode 6 1.5QT</v>
      </c>
      <c r="F878" s="3" t="s">
        <v>21</v>
      </c>
    </row>
    <row r="879" spans="1:6" x14ac:dyDescent="0.25">
      <c r="A879" s="3">
        <v>64782365</v>
      </c>
      <c r="B879" s="3">
        <v>2904</v>
      </c>
      <c r="C879" s="24">
        <v>3647</v>
      </c>
      <c r="D879" s="4">
        <v>46076</v>
      </c>
      <c r="E879" t="str">
        <f>VLOOKUP($A879,Sheet4!$A:$B,2,0)</f>
        <v>MG Milk Chocolate 8-3PK</v>
      </c>
      <c r="F879" s="3" t="s">
        <v>61</v>
      </c>
    </row>
    <row r="880" spans="1:6" x14ac:dyDescent="0.25">
      <c r="A880" s="3">
        <v>64782365</v>
      </c>
      <c r="B880" s="3">
        <v>2904</v>
      </c>
      <c r="C880" s="24">
        <v>7743</v>
      </c>
      <c r="D880" s="4">
        <v>46076</v>
      </c>
      <c r="E880" t="str">
        <f>VLOOKUP($A880,Sheet4!$A:$B,2,0)</f>
        <v>MG Milk Chocolate 8-3PK</v>
      </c>
      <c r="F880" s="3" t="s">
        <v>61</v>
      </c>
    </row>
    <row r="881" spans="1:6" x14ac:dyDescent="0.25">
      <c r="A881" s="3">
        <v>64782365</v>
      </c>
      <c r="B881" s="3">
        <v>2904</v>
      </c>
      <c r="C881" s="24">
        <v>1260</v>
      </c>
      <c r="D881" s="4">
        <v>46077</v>
      </c>
      <c r="E881" t="str">
        <f>VLOOKUP($A881,Sheet4!$A:$B,2,0)</f>
        <v>MG Milk Chocolate 8-3PK</v>
      </c>
      <c r="F881" s="3" t="s">
        <v>61</v>
      </c>
    </row>
    <row r="882" spans="1:6" x14ac:dyDescent="0.25">
      <c r="A882" s="3">
        <v>64958122</v>
      </c>
      <c r="B882" s="3">
        <v>2904</v>
      </c>
      <c r="C882" s="24">
        <v>15477</v>
      </c>
      <c r="D882" s="4">
        <v>46097</v>
      </c>
      <c r="E882" t="str">
        <f>VLOOKUP($A882,Sheet4!$A:$B,2,0)</f>
        <v>Yasso Sea Salt Caramel 8-4pk</v>
      </c>
      <c r="F882" s="3" t="s">
        <v>33</v>
      </c>
    </row>
    <row r="883" spans="1:6" x14ac:dyDescent="0.25">
      <c r="A883" s="3">
        <v>64958122</v>
      </c>
      <c r="B883" s="3">
        <v>2904</v>
      </c>
      <c r="C883" s="24">
        <v>2970</v>
      </c>
      <c r="D883" s="4">
        <v>46097</v>
      </c>
      <c r="E883" t="str">
        <f>VLOOKUP($A883,Sheet4!$A:$B,2,0)</f>
        <v>Yasso Sea Salt Caramel 8-4pk</v>
      </c>
      <c r="F883" s="3" t="s">
        <v>33</v>
      </c>
    </row>
    <row r="884" spans="1:6" x14ac:dyDescent="0.25">
      <c r="A884" s="3">
        <v>64958122</v>
      </c>
      <c r="B884" s="3">
        <v>2904</v>
      </c>
      <c r="C884" s="24">
        <v>660</v>
      </c>
      <c r="D884" s="4">
        <v>46098</v>
      </c>
      <c r="E884" t="str">
        <f>VLOOKUP($A884,Sheet4!$A:$B,2,0)</f>
        <v>Yasso Sea Salt Caramel 8-4pk</v>
      </c>
      <c r="F884" s="3" t="s">
        <v>33</v>
      </c>
    </row>
    <row r="885" spans="1:6" x14ac:dyDescent="0.25">
      <c r="A885" s="3">
        <v>64958122</v>
      </c>
      <c r="B885" s="3">
        <v>2904</v>
      </c>
      <c r="C885" s="24">
        <v>330</v>
      </c>
      <c r="D885" s="4">
        <v>46099</v>
      </c>
      <c r="E885" t="str">
        <f>VLOOKUP($A885,Sheet4!$A:$B,2,0)</f>
        <v>Yasso Sea Salt Caramel 8-4pk</v>
      </c>
      <c r="F885" s="3" t="s">
        <v>33</v>
      </c>
    </row>
    <row r="886" spans="1:6" x14ac:dyDescent="0.25">
      <c r="A886" s="3">
        <v>64958122</v>
      </c>
      <c r="B886" s="3">
        <v>2904</v>
      </c>
      <c r="C886" s="24">
        <v>5610</v>
      </c>
      <c r="D886" s="4">
        <v>46090</v>
      </c>
      <c r="E886" t="str">
        <f>VLOOKUP($A886,Sheet4!$A:$B,2,0)</f>
        <v>Yasso Sea Salt Caramel 8-4pk</v>
      </c>
      <c r="F886" s="3" t="s">
        <v>33</v>
      </c>
    </row>
    <row r="887" spans="1:6" x14ac:dyDescent="0.25">
      <c r="A887" s="3">
        <v>64958122</v>
      </c>
      <c r="B887" s="3">
        <v>2904</v>
      </c>
      <c r="C887" s="24">
        <v>8085</v>
      </c>
      <c r="D887" s="4">
        <v>46091</v>
      </c>
      <c r="E887" t="str">
        <f>VLOOKUP($A887,Sheet4!$A:$B,2,0)</f>
        <v>Yasso Sea Salt Caramel 8-4pk</v>
      </c>
      <c r="F887" s="3" t="s">
        <v>33</v>
      </c>
    </row>
    <row r="888" spans="1:6" x14ac:dyDescent="0.25">
      <c r="A888" s="3">
        <v>64958122</v>
      </c>
      <c r="B888" s="3">
        <v>2904</v>
      </c>
      <c r="C888" s="24">
        <v>8580</v>
      </c>
      <c r="D888" s="4">
        <v>46091</v>
      </c>
      <c r="E888" t="str">
        <f>VLOOKUP($A888,Sheet4!$A:$B,2,0)</f>
        <v>Yasso Sea Salt Caramel 8-4pk</v>
      </c>
      <c r="F888" s="3" t="s">
        <v>33</v>
      </c>
    </row>
    <row r="889" spans="1:6" x14ac:dyDescent="0.25">
      <c r="A889" s="3">
        <v>64958122</v>
      </c>
      <c r="B889" s="3">
        <v>2904</v>
      </c>
      <c r="C889" s="24">
        <v>6509</v>
      </c>
      <c r="D889" s="4">
        <v>46092</v>
      </c>
      <c r="E889" t="str">
        <f>VLOOKUP($A889,Sheet4!$A:$B,2,0)</f>
        <v>Yasso Sea Salt Caramel 8-4pk</v>
      </c>
      <c r="F889" s="3" t="s">
        <v>33</v>
      </c>
    </row>
    <row r="890" spans="1:6" x14ac:dyDescent="0.25">
      <c r="A890" s="3">
        <v>64958122</v>
      </c>
      <c r="B890" s="3">
        <v>2904</v>
      </c>
      <c r="C890" s="24">
        <v>165</v>
      </c>
      <c r="D890" s="4">
        <v>46093</v>
      </c>
      <c r="E890" t="str">
        <f>VLOOKUP($A890,Sheet4!$A:$B,2,0)</f>
        <v>Yasso Sea Salt Caramel 8-4pk</v>
      </c>
      <c r="F890" s="3" t="s">
        <v>33</v>
      </c>
    </row>
    <row r="891" spans="1:6" x14ac:dyDescent="0.25">
      <c r="A891" s="3">
        <v>64958122</v>
      </c>
      <c r="B891" s="3">
        <v>2904</v>
      </c>
      <c r="C891" s="24">
        <v>7539</v>
      </c>
      <c r="D891" s="4">
        <v>46092</v>
      </c>
      <c r="E891" t="str">
        <f>VLOOKUP($A891,Sheet4!$A:$B,2,0)</f>
        <v>Yasso Sea Salt Caramel 8-4pk</v>
      </c>
      <c r="F891" s="3" t="s">
        <v>33</v>
      </c>
    </row>
    <row r="892" spans="1:6" x14ac:dyDescent="0.25">
      <c r="A892" s="3">
        <v>64958122</v>
      </c>
      <c r="B892" s="3">
        <v>2904</v>
      </c>
      <c r="C892" s="24">
        <v>9570</v>
      </c>
      <c r="D892" s="4">
        <v>46093</v>
      </c>
      <c r="E892" t="str">
        <f>VLOOKUP($A892,Sheet4!$A:$B,2,0)</f>
        <v>Yasso Sea Salt Caramel 8-4pk</v>
      </c>
      <c r="F892" s="3" t="s">
        <v>33</v>
      </c>
    </row>
    <row r="893" spans="1:6" x14ac:dyDescent="0.25">
      <c r="A893" s="3">
        <v>64958122</v>
      </c>
      <c r="B893" s="3">
        <v>2904</v>
      </c>
      <c r="C893" s="24">
        <v>4315</v>
      </c>
      <c r="D893" s="4">
        <v>46093</v>
      </c>
      <c r="E893" t="str">
        <f>VLOOKUP($A893,Sheet4!$A:$B,2,0)</f>
        <v>Yasso Sea Salt Caramel 8-4pk</v>
      </c>
      <c r="F893" s="3" t="s">
        <v>33</v>
      </c>
    </row>
    <row r="894" spans="1:6" x14ac:dyDescent="0.25">
      <c r="A894" s="3">
        <v>64958122</v>
      </c>
      <c r="B894" s="3">
        <v>2904</v>
      </c>
      <c r="C894" s="24">
        <v>6582</v>
      </c>
      <c r="D894" s="4">
        <v>46094</v>
      </c>
      <c r="E894" t="str">
        <f>VLOOKUP($A894,Sheet4!$A:$B,2,0)</f>
        <v>Yasso Sea Salt Caramel 8-4pk</v>
      </c>
      <c r="F894" s="3" t="s">
        <v>33</v>
      </c>
    </row>
    <row r="895" spans="1:6" x14ac:dyDescent="0.25">
      <c r="A895" s="3">
        <v>64958122</v>
      </c>
      <c r="B895" s="3">
        <v>2904</v>
      </c>
      <c r="C895" s="24">
        <v>165</v>
      </c>
      <c r="D895" s="4">
        <v>46104</v>
      </c>
      <c r="E895" t="str">
        <f>VLOOKUP($A895,Sheet4!$A:$B,2,0)</f>
        <v>Yasso Sea Salt Caramel 8-4pk</v>
      </c>
      <c r="F895" s="3" t="s">
        <v>33</v>
      </c>
    </row>
    <row r="896" spans="1:6" x14ac:dyDescent="0.25">
      <c r="A896" s="3">
        <v>64958122</v>
      </c>
      <c r="B896" s="3">
        <v>2904</v>
      </c>
      <c r="C896" s="24">
        <v>2310</v>
      </c>
      <c r="D896" s="4">
        <v>46094</v>
      </c>
      <c r="E896" t="str">
        <f>VLOOKUP($A896,Sheet4!$A:$B,2,0)</f>
        <v>Yasso Sea Salt Caramel 8-4pk</v>
      </c>
      <c r="F896" s="3" t="s">
        <v>33</v>
      </c>
    </row>
    <row r="897" spans="1:6" x14ac:dyDescent="0.25">
      <c r="A897" s="3">
        <v>64958122</v>
      </c>
      <c r="B897" s="3">
        <v>2904</v>
      </c>
      <c r="C897" s="24">
        <v>7590</v>
      </c>
      <c r="D897" s="4">
        <v>46095</v>
      </c>
      <c r="E897" t="str">
        <f>VLOOKUP($A897,Sheet4!$A:$B,2,0)</f>
        <v>Yasso Sea Salt Caramel 8-4pk</v>
      </c>
      <c r="F897" s="3" t="s">
        <v>33</v>
      </c>
    </row>
    <row r="898" spans="1:6" x14ac:dyDescent="0.25">
      <c r="A898" s="3">
        <v>64958122</v>
      </c>
      <c r="B898" s="3">
        <v>2904</v>
      </c>
      <c r="C898" s="24">
        <v>495</v>
      </c>
      <c r="D898" s="4">
        <v>46097</v>
      </c>
      <c r="E898" t="str">
        <f>VLOOKUP($A898,Sheet4!$A:$B,2,0)</f>
        <v>Yasso Sea Salt Caramel 8-4pk</v>
      </c>
      <c r="F898" s="3" t="s">
        <v>33</v>
      </c>
    </row>
    <row r="899" spans="1:6" x14ac:dyDescent="0.25">
      <c r="A899" s="3">
        <v>64958122</v>
      </c>
      <c r="B899" s="3">
        <v>2904</v>
      </c>
      <c r="C899" s="24">
        <v>-88</v>
      </c>
      <c r="D899" s="4">
        <v>46100</v>
      </c>
      <c r="E899" t="str">
        <f>VLOOKUP($A899,Sheet4!$A:$B,2,0)</f>
        <v>Yasso Sea Salt Caramel 8-4pk</v>
      </c>
      <c r="F899" s="3" t="s">
        <v>33</v>
      </c>
    </row>
    <row r="900" spans="1:6" x14ac:dyDescent="0.25">
      <c r="A900" s="3">
        <v>64958122</v>
      </c>
      <c r="B900" s="3">
        <v>2904</v>
      </c>
      <c r="C900" s="24">
        <v>1880</v>
      </c>
      <c r="D900" s="4">
        <v>46097</v>
      </c>
      <c r="E900" t="str">
        <f>VLOOKUP($A900,Sheet4!$A:$B,2,0)</f>
        <v>Yasso Sea Salt Caramel 8-4pk</v>
      </c>
      <c r="F900" s="3" t="s">
        <v>33</v>
      </c>
    </row>
    <row r="901" spans="1:6" x14ac:dyDescent="0.25">
      <c r="A901" s="3">
        <v>64958122</v>
      </c>
      <c r="B901" s="3">
        <v>2904</v>
      </c>
      <c r="C901" s="24">
        <v>165</v>
      </c>
      <c r="D901" s="4">
        <v>46098</v>
      </c>
      <c r="E901" t="str">
        <f>VLOOKUP($A901,Sheet4!$A:$B,2,0)</f>
        <v>Yasso Sea Salt Caramel 8-4pk</v>
      </c>
      <c r="F901" s="3" t="s">
        <v>33</v>
      </c>
    </row>
    <row r="902" spans="1:6" x14ac:dyDescent="0.25">
      <c r="A902" s="3">
        <v>64958125</v>
      </c>
      <c r="B902" s="3">
        <v>2904</v>
      </c>
      <c r="C902" s="24">
        <v>165</v>
      </c>
      <c r="D902" s="4">
        <v>46076</v>
      </c>
      <c r="E902" t="str">
        <f>VLOOKUP($A902,Sheet4!$A:$B,2,0)</f>
        <v>Yasso Chocolate Fudge 8-4pk</v>
      </c>
      <c r="F902" s="3" t="s">
        <v>33</v>
      </c>
    </row>
    <row r="903" spans="1:6" x14ac:dyDescent="0.25">
      <c r="A903" s="3">
        <v>64958127</v>
      </c>
      <c r="B903" s="3">
        <v>2904</v>
      </c>
      <c r="C903" s="24">
        <v>5717</v>
      </c>
      <c r="D903" s="4">
        <v>46098</v>
      </c>
      <c r="E903" t="str">
        <f>VLOOKUP($A903,Sheet4!$A:$B,2,0)</f>
        <v>Yasso Coffee Chocolate Chip 8-4pk</v>
      </c>
      <c r="F903" s="3" t="s">
        <v>33</v>
      </c>
    </row>
    <row r="904" spans="1:6" x14ac:dyDescent="0.25">
      <c r="A904" s="3">
        <v>64958127</v>
      </c>
      <c r="B904" s="3">
        <v>2904</v>
      </c>
      <c r="C904" s="24">
        <v>-2103</v>
      </c>
      <c r="D904" s="4">
        <v>46101</v>
      </c>
      <c r="E904" t="str">
        <f>VLOOKUP($A904,Sheet4!$A:$B,2,0)</f>
        <v>Yasso Coffee Chocolate Chip 8-4pk</v>
      </c>
      <c r="F904" s="3" t="s">
        <v>33</v>
      </c>
    </row>
    <row r="905" spans="1:6" x14ac:dyDescent="0.25">
      <c r="A905" s="3">
        <v>64958127</v>
      </c>
      <c r="B905" s="3">
        <v>2904</v>
      </c>
      <c r="C905" s="24">
        <v>13530</v>
      </c>
      <c r="D905" s="4">
        <v>46100</v>
      </c>
      <c r="E905" t="str">
        <f>VLOOKUP($A905,Sheet4!$A:$B,2,0)</f>
        <v>Yasso Coffee Chocolate Chip 8-4pk</v>
      </c>
      <c r="F905" s="3" t="s">
        <v>33</v>
      </c>
    </row>
    <row r="906" spans="1:6" x14ac:dyDescent="0.25">
      <c r="A906" s="3">
        <v>64958127</v>
      </c>
      <c r="B906" s="3">
        <v>2904</v>
      </c>
      <c r="C906" s="24">
        <v>8906</v>
      </c>
      <c r="D906" s="4">
        <v>46100</v>
      </c>
      <c r="E906" t="str">
        <f>VLOOKUP($A906,Sheet4!$A:$B,2,0)</f>
        <v>Yasso Coffee Chocolate Chip 8-4pk</v>
      </c>
      <c r="F906" s="3" t="s">
        <v>33</v>
      </c>
    </row>
    <row r="907" spans="1:6" x14ac:dyDescent="0.25">
      <c r="A907" s="3">
        <v>64958127</v>
      </c>
      <c r="B907" s="3">
        <v>2904</v>
      </c>
      <c r="C907" s="24">
        <v>6765</v>
      </c>
      <c r="D907" s="4">
        <v>46101</v>
      </c>
      <c r="E907" t="str">
        <f>VLOOKUP($A907,Sheet4!$A:$B,2,0)</f>
        <v>Yasso Coffee Chocolate Chip 8-4pk</v>
      </c>
      <c r="F907" s="3" t="s">
        <v>33</v>
      </c>
    </row>
    <row r="908" spans="1:6" x14ac:dyDescent="0.25">
      <c r="A908" s="3">
        <v>64958127</v>
      </c>
      <c r="B908" s="3">
        <v>2904</v>
      </c>
      <c r="C908" s="24">
        <v>4019</v>
      </c>
      <c r="D908" s="4">
        <v>46101</v>
      </c>
      <c r="E908" t="str">
        <f>VLOOKUP($A908,Sheet4!$A:$B,2,0)</f>
        <v>Yasso Coffee Chocolate Chip 8-4pk</v>
      </c>
      <c r="F908" s="3" t="s">
        <v>33</v>
      </c>
    </row>
    <row r="909" spans="1:6" x14ac:dyDescent="0.25">
      <c r="A909" s="3">
        <v>64958127</v>
      </c>
      <c r="B909" s="3">
        <v>2904</v>
      </c>
      <c r="C909" s="24">
        <v>6105</v>
      </c>
      <c r="D909" s="4">
        <v>46102</v>
      </c>
      <c r="E909" t="str">
        <f>VLOOKUP($A909,Sheet4!$A:$B,2,0)</f>
        <v>Yasso Coffee Chocolate Chip 8-4pk</v>
      </c>
      <c r="F909" s="3" t="s">
        <v>33</v>
      </c>
    </row>
    <row r="910" spans="1:6" x14ac:dyDescent="0.25">
      <c r="A910" s="3">
        <v>64958127</v>
      </c>
      <c r="B910" s="3">
        <v>2904</v>
      </c>
      <c r="C910" s="24">
        <v>10725</v>
      </c>
      <c r="D910" s="4">
        <v>46102</v>
      </c>
      <c r="E910" t="str">
        <f>VLOOKUP($A910,Sheet4!$A:$B,2,0)</f>
        <v>Yasso Coffee Chocolate Chip 8-4pk</v>
      </c>
      <c r="F910" s="3" t="s">
        <v>33</v>
      </c>
    </row>
    <row r="911" spans="1:6" x14ac:dyDescent="0.25">
      <c r="A911" s="3">
        <v>64958127</v>
      </c>
      <c r="B911" s="3">
        <v>2904</v>
      </c>
      <c r="C911" s="24">
        <v>9239</v>
      </c>
      <c r="D911" s="4">
        <v>46103</v>
      </c>
      <c r="E911" t="str">
        <f>VLOOKUP($A911,Sheet4!$A:$B,2,0)</f>
        <v>Yasso Coffee Chocolate Chip 8-4pk</v>
      </c>
      <c r="F911" s="3" t="s">
        <v>33</v>
      </c>
    </row>
    <row r="912" spans="1:6" x14ac:dyDescent="0.25">
      <c r="A912" s="3">
        <v>64958127</v>
      </c>
      <c r="B912" s="3">
        <v>2904</v>
      </c>
      <c r="C912" s="24">
        <v>9570</v>
      </c>
      <c r="D912" s="4">
        <v>46103</v>
      </c>
      <c r="E912" t="str">
        <f>VLOOKUP($A912,Sheet4!$A:$B,2,0)</f>
        <v>Yasso Coffee Chocolate Chip 8-4pk</v>
      </c>
      <c r="F912" s="3" t="s">
        <v>33</v>
      </c>
    </row>
    <row r="913" spans="1:6" x14ac:dyDescent="0.25">
      <c r="A913" s="3">
        <v>64958127</v>
      </c>
      <c r="B913" s="3">
        <v>2904</v>
      </c>
      <c r="C913" s="24">
        <v>155</v>
      </c>
      <c r="D913" s="4">
        <v>46104</v>
      </c>
      <c r="E913" t="str">
        <f>VLOOKUP($A913,Sheet4!$A:$B,2,0)</f>
        <v>Yasso Coffee Chocolate Chip 8-4pk</v>
      </c>
      <c r="F913" s="3" t="s">
        <v>33</v>
      </c>
    </row>
    <row r="914" spans="1:6" x14ac:dyDescent="0.25">
      <c r="A914" s="3">
        <v>64958127</v>
      </c>
      <c r="B914" s="3">
        <v>2904</v>
      </c>
      <c r="C914" s="24">
        <v>7053</v>
      </c>
      <c r="D914" s="4">
        <v>46098</v>
      </c>
      <c r="E914" t="str">
        <f>VLOOKUP($A914,Sheet4!$A:$B,2,0)</f>
        <v>Yasso Coffee Chocolate Chip 8-4pk</v>
      </c>
      <c r="F914" s="3" t="s">
        <v>33</v>
      </c>
    </row>
    <row r="915" spans="1:6" x14ac:dyDescent="0.25">
      <c r="A915" s="3">
        <v>64958127</v>
      </c>
      <c r="B915" s="3">
        <v>2904</v>
      </c>
      <c r="C915" s="24">
        <v>8085</v>
      </c>
      <c r="D915" s="4">
        <v>46099</v>
      </c>
      <c r="E915" t="str">
        <f>VLOOKUP($A915,Sheet4!$A:$B,2,0)</f>
        <v>Yasso Coffee Chocolate Chip 8-4pk</v>
      </c>
      <c r="F915" s="3" t="s">
        <v>33</v>
      </c>
    </row>
    <row r="916" spans="1:6" x14ac:dyDescent="0.25">
      <c r="A916" s="3">
        <v>64958128</v>
      </c>
      <c r="B916" s="3">
        <v>2904</v>
      </c>
      <c r="C916" s="24">
        <v>165</v>
      </c>
      <c r="D916" s="4">
        <v>46077</v>
      </c>
      <c r="E916" t="str">
        <f>VLOOKUP($A916,Sheet4!$A:$B,2,0)</f>
        <v>Yasso Mint Chocolate Chip 8-4pk</v>
      </c>
      <c r="F916" s="3" t="s">
        <v>33</v>
      </c>
    </row>
    <row r="917" spans="1:6" x14ac:dyDescent="0.25">
      <c r="A917" s="3">
        <v>64958128</v>
      </c>
      <c r="B917" s="3">
        <v>2904</v>
      </c>
      <c r="C917" s="24">
        <v>585</v>
      </c>
      <c r="D917" s="4">
        <v>46084</v>
      </c>
      <c r="E917" t="str">
        <f>VLOOKUP($A917,Sheet4!$A:$B,2,0)</f>
        <v>Yasso Mint Chocolate Chip 8-4pk</v>
      </c>
      <c r="F917" s="3" t="s">
        <v>33</v>
      </c>
    </row>
    <row r="918" spans="1:6" x14ac:dyDescent="0.25">
      <c r="A918" s="3">
        <v>64958128</v>
      </c>
      <c r="B918" s="3">
        <v>2904</v>
      </c>
      <c r="C918" s="24">
        <v>8580</v>
      </c>
      <c r="D918" s="4">
        <v>46084</v>
      </c>
      <c r="E918" t="str">
        <f>VLOOKUP($A918,Sheet4!$A:$B,2,0)</f>
        <v>Yasso Mint Chocolate Chip 8-4pk</v>
      </c>
      <c r="F918" s="3" t="s">
        <v>33</v>
      </c>
    </row>
    <row r="919" spans="1:6" x14ac:dyDescent="0.25">
      <c r="A919" s="3">
        <v>64958128</v>
      </c>
      <c r="B919" s="3">
        <v>2904</v>
      </c>
      <c r="C919" s="24">
        <v>9356</v>
      </c>
      <c r="D919" s="4">
        <v>46085</v>
      </c>
      <c r="E919" t="str">
        <f>VLOOKUP($A919,Sheet4!$A:$B,2,0)</f>
        <v>Yasso Mint Chocolate Chip 8-4pk</v>
      </c>
      <c r="F919" s="3" t="s">
        <v>33</v>
      </c>
    </row>
    <row r="920" spans="1:6" x14ac:dyDescent="0.25">
      <c r="A920" s="3">
        <v>64958128</v>
      </c>
      <c r="B920" s="3">
        <v>2904</v>
      </c>
      <c r="C920" s="24">
        <v>8745</v>
      </c>
      <c r="D920" s="4">
        <v>46085</v>
      </c>
      <c r="E920" t="str">
        <f>VLOOKUP($A920,Sheet4!$A:$B,2,0)</f>
        <v>Yasso Mint Chocolate Chip 8-4pk</v>
      </c>
      <c r="F920" s="3" t="s">
        <v>33</v>
      </c>
    </row>
    <row r="921" spans="1:6" x14ac:dyDescent="0.25">
      <c r="A921" s="3">
        <v>64958128</v>
      </c>
      <c r="B921" s="3">
        <v>2904</v>
      </c>
      <c r="C921" s="24">
        <v>8580</v>
      </c>
      <c r="D921" s="4">
        <v>46086</v>
      </c>
      <c r="E921" t="str">
        <f>VLOOKUP($A921,Sheet4!$A:$B,2,0)</f>
        <v>Yasso Mint Chocolate Chip 8-4pk</v>
      </c>
      <c r="F921" s="3" t="s">
        <v>33</v>
      </c>
    </row>
    <row r="922" spans="1:6" x14ac:dyDescent="0.25">
      <c r="A922" s="3">
        <v>64958128</v>
      </c>
      <c r="B922" s="3">
        <v>2904</v>
      </c>
      <c r="C922" s="24">
        <v>7862</v>
      </c>
      <c r="D922" s="4">
        <v>46086</v>
      </c>
      <c r="E922" t="str">
        <f>VLOOKUP($A922,Sheet4!$A:$B,2,0)</f>
        <v>Yasso Mint Chocolate Chip 8-4pk</v>
      </c>
      <c r="F922" s="3" t="s">
        <v>33</v>
      </c>
    </row>
    <row r="923" spans="1:6" x14ac:dyDescent="0.25">
      <c r="A923" s="3">
        <v>64958128</v>
      </c>
      <c r="B923" s="3">
        <v>2904</v>
      </c>
      <c r="C923" s="24">
        <v>9045</v>
      </c>
      <c r="D923" s="4">
        <v>46087</v>
      </c>
      <c r="E923" t="str">
        <f>VLOOKUP($A923,Sheet4!$A:$B,2,0)</f>
        <v>Yasso Mint Chocolate Chip 8-4pk</v>
      </c>
      <c r="F923" s="3" t="s">
        <v>33</v>
      </c>
    </row>
    <row r="924" spans="1:6" x14ac:dyDescent="0.25">
      <c r="A924" s="3">
        <v>64958128</v>
      </c>
      <c r="B924" s="3">
        <v>2904</v>
      </c>
      <c r="C924" s="24">
        <v>1320</v>
      </c>
      <c r="D924" s="4">
        <v>46087</v>
      </c>
      <c r="E924" t="str">
        <f>VLOOKUP($A924,Sheet4!$A:$B,2,0)</f>
        <v>Yasso Mint Chocolate Chip 8-4pk</v>
      </c>
      <c r="F924" s="3" t="s">
        <v>33</v>
      </c>
    </row>
    <row r="925" spans="1:6" x14ac:dyDescent="0.25">
      <c r="A925" s="3">
        <v>64958128</v>
      </c>
      <c r="B925" s="3">
        <v>2904</v>
      </c>
      <c r="C925" s="24">
        <v>9540</v>
      </c>
      <c r="D925" s="4">
        <v>46088</v>
      </c>
      <c r="E925" t="str">
        <f>VLOOKUP($A925,Sheet4!$A:$B,2,0)</f>
        <v>Yasso Mint Chocolate Chip 8-4pk</v>
      </c>
      <c r="F925" s="3" t="s">
        <v>33</v>
      </c>
    </row>
    <row r="926" spans="1:6" x14ac:dyDescent="0.25">
      <c r="A926" s="3">
        <v>64958128</v>
      </c>
      <c r="B926" s="3">
        <v>2904</v>
      </c>
      <c r="C926" s="24">
        <v>10230</v>
      </c>
      <c r="D926" s="4">
        <v>46088</v>
      </c>
      <c r="E926" t="str">
        <f>VLOOKUP($A926,Sheet4!$A:$B,2,0)</f>
        <v>Yasso Mint Chocolate Chip 8-4pk</v>
      </c>
      <c r="F926" s="3" t="s">
        <v>33</v>
      </c>
    </row>
    <row r="927" spans="1:6" x14ac:dyDescent="0.25">
      <c r="A927" s="3">
        <v>64958128</v>
      </c>
      <c r="B927" s="3">
        <v>2904</v>
      </c>
      <c r="C927" s="24">
        <v>9075</v>
      </c>
      <c r="D927" s="4">
        <v>46089</v>
      </c>
      <c r="E927" t="str">
        <f>VLOOKUP($A927,Sheet4!$A:$B,2,0)</f>
        <v>Yasso Mint Chocolate Chip 8-4pk</v>
      </c>
      <c r="F927" s="3" t="s">
        <v>33</v>
      </c>
    </row>
    <row r="928" spans="1:6" x14ac:dyDescent="0.25">
      <c r="A928" s="3">
        <v>64958128</v>
      </c>
      <c r="B928" s="3">
        <v>2904</v>
      </c>
      <c r="C928" s="24">
        <v>7229</v>
      </c>
      <c r="D928" s="4">
        <v>46089</v>
      </c>
      <c r="E928" t="str">
        <f>VLOOKUP($A928,Sheet4!$A:$B,2,0)</f>
        <v>Yasso Mint Chocolate Chip 8-4pk</v>
      </c>
      <c r="F928" s="3" t="s">
        <v>33</v>
      </c>
    </row>
    <row r="929" spans="1:6" x14ac:dyDescent="0.25">
      <c r="A929" s="3">
        <v>64958128</v>
      </c>
      <c r="B929" s="3">
        <v>2904</v>
      </c>
      <c r="C929" s="24">
        <v>207</v>
      </c>
      <c r="D929" s="4">
        <v>46090</v>
      </c>
      <c r="E929" t="str">
        <f>VLOOKUP($A929,Sheet4!$A:$B,2,0)</f>
        <v>Yasso Mint Chocolate Chip 8-4pk</v>
      </c>
      <c r="F929" s="3" t="s">
        <v>33</v>
      </c>
    </row>
    <row r="930" spans="1:6" x14ac:dyDescent="0.25">
      <c r="A930" s="3">
        <v>64976837</v>
      </c>
      <c r="B930" s="3">
        <v>2904</v>
      </c>
      <c r="C930" s="24">
        <v>2475</v>
      </c>
      <c r="D930" s="4">
        <v>46081</v>
      </c>
      <c r="E930" t="str">
        <f>VLOOKUP($A930,Sheet4!$A:$B,2,0)</f>
        <v>Yasso Cherry Chocolate Crunch 8-4pk</v>
      </c>
      <c r="F930" s="3" t="s">
        <v>33</v>
      </c>
    </row>
    <row r="931" spans="1:6" x14ac:dyDescent="0.25">
      <c r="A931" s="3">
        <v>64976837</v>
      </c>
      <c r="B931" s="3">
        <v>2904</v>
      </c>
      <c r="C931" s="24">
        <v>2101</v>
      </c>
      <c r="D931" s="4">
        <v>46082</v>
      </c>
      <c r="E931" t="str">
        <f>VLOOKUP($A931,Sheet4!$A:$B,2,0)</f>
        <v>Yasso Cherry Chocolate Crunch 8-4pk</v>
      </c>
      <c r="F931" s="3" t="s">
        <v>33</v>
      </c>
    </row>
    <row r="932" spans="1:6" x14ac:dyDescent="0.25">
      <c r="A932" s="3">
        <v>64976837</v>
      </c>
      <c r="B932" s="3">
        <v>2904</v>
      </c>
      <c r="C932" s="24">
        <v>6248</v>
      </c>
      <c r="D932" s="4">
        <v>46082</v>
      </c>
      <c r="E932" t="str">
        <f>VLOOKUP($A932,Sheet4!$A:$B,2,0)</f>
        <v>Yasso Cherry Chocolate Crunch 8-4pk</v>
      </c>
      <c r="F932" s="3" t="s">
        <v>33</v>
      </c>
    </row>
    <row r="933" spans="1:6" x14ac:dyDescent="0.25">
      <c r="A933" s="3">
        <v>64976837</v>
      </c>
      <c r="B933" s="3">
        <v>2904</v>
      </c>
      <c r="C933" s="24">
        <v>5115</v>
      </c>
      <c r="D933" s="4">
        <v>46083</v>
      </c>
      <c r="E933" t="str">
        <f>VLOOKUP($A933,Sheet4!$A:$B,2,0)</f>
        <v>Yasso Cherry Chocolate Crunch 8-4pk</v>
      </c>
      <c r="F933" s="3" t="s">
        <v>33</v>
      </c>
    </row>
    <row r="934" spans="1:6" x14ac:dyDescent="0.25">
      <c r="A934" s="3">
        <v>64976837</v>
      </c>
      <c r="B934" s="3">
        <v>2904</v>
      </c>
      <c r="C934" s="24">
        <v>1819</v>
      </c>
      <c r="D934" s="4">
        <v>46083</v>
      </c>
      <c r="E934" t="str">
        <f>VLOOKUP($A934,Sheet4!$A:$B,2,0)</f>
        <v>Yasso Cherry Chocolate Crunch 8-4pk</v>
      </c>
      <c r="F934" s="3" t="s">
        <v>33</v>
      </c>
    </row>
    <row r="935" spans="1:6" x14ac:dyDescent="0.25">
      <c r="A935" s="3">
        <v>64976848</v>
      </c>
      <c r="B935" s="3">
        <v>2904</v>
      </c>
      <c r="C935" s="24">
        <v>150</v>
      </c>
      <c r="D935" s="4">
        <v>46078</v>
      </c>
      <c r="E935" t="str">
        <f>VLOOKUP($A935,Sheet4!$A:$B,2,0)</f>
        <v>Yasso Fudge Chocolate Crunch 8-4pk</v>
      </c>
      <c r="F935" s="3" t="s">
        <v>37</v>
      </c>
    </row>
    <row r="936" spans="1:6" x14ac:dyDescent="0.25">
      <c r="A936" s="3">
        <v>64976849</v>
      </c>
      <c r="B936" s="3">
        <v>2904</v>
      </c>
      <c r="C936" s="24">
        <v>495</v>
      </c>
      <c r="D936" s="4">
        <v>46077</v>
      </c>
      <c r="E936" t="str">
        <f>VLOOKUP($A936,Sheet4!$A:$B,2,0)</f>
        <v>Yasso Mint Chocolate Crunch 8-4pk</v>
      </c>
      <c r="F936" s="3" t="s">
        <v>33</v>
      </c>
    </row>
    <row r="937" spans="1:6" x14ac:dyDescent="0.25">
      <c r="A937" s="3">
        <v>64976849</v>
      </c>
      <c r="B937" s="3">
        <v>2904</v>
      </c>
      <c r="C937" s="24">
        <v>1425</v>
      </c>
      <c r="D937" s="4">
        <v>46078</v>
      </c>
      <c r="E937" t="str">
        <f>VLOOKUP($A937,Sheet4!$A:$B,2,0)</f>
        <v>Yasso Mint Chocolate Crunch 8-4pk</v>
      </c>
      <c r="F937" s="3" t="s">
        <v>33</v>
      </c>
    </row>
    <row r="938" spans="1:6" x14ac:dyDescent="0.25">
      <c r="A938" s="3">
        <v>64976849</v>
      </c>
      <c r="B938" s="3">
        <v>2904</v>
      </c>
      <c r="C938" s="24">
        <v>4708</v>
      </c>
      <c r="D938" s="4">
        <v>46078</v>
      </c>
      <c r="E938" t="str">
        <f>VLOOKUP($A938,Sheet4!$A:$B,2,0)</f>
        <v>Yasso Mint Chocolate Crunch 8-4pk</v>
      </c>
      <c r="F938" s="3" t="s">
        <v>33</v>
      </c>
    </row>
    <row r="939" spans="1:6" x14ac:dyDescent="0.25">
      <c r="A939" s="3">
        <v>64976849</v>
      </c>
      <c r="B939" s="3">
        <v>2904</v>
      </c>
      <c r="C939" s="24">
        <v>5260</v>
      </c>
      <c r="D939" s="4">
        <v>46079</v>
      </c>
      <c r="E939" t="str">
        <f>VLOOKUP($A939,Sheet4!$A:$B,2,0)</f>
        <v>Yasso Mint Chocolate Crunch 8-4pk</v>
      </c>
      <c r="F939" s="3" t="s">
        <v>33</v>
      </c>
    </row>
    <row r="940" spans="1:6" x14ac:dyDescent="0.25">
      <c r="A940" s="3">
        <v>64976849</v>
      </c>
      <c r="B940" s="3">
        <v>2904</v>
      </c>
      <c r="C940" s="24">
        <v>2708</v>
      </c>
      <c r="D940" s="4">
        <v>46079</v>
      </c>
      <c r="E940" t="str">
        <f>VLOOKUP($A940,Sheet4!$A:$B,2,0)</f>
        <v>Yasso Mint Chocolate Crunch 8-4pk</v>
      </c>
      <c r="F940" s="3" t="s">
        <v>33</v>
      </c>
    </row>
    <row r="941" spans="1:6" x14ac:dyDescent="0.25">
      <c r="A941" s="3">
        <v>64976849</v>
      </c>
      <c r="B941" s="3">
        <v>2904</v>
      </c>
      <c r="C941" s="24">
        <v>6930</v>
      </c>
      <c r="D941" s="4">
        <v>46080</v>
      </c>
      <c r="E941" t="str">
        <f>VLOOKUP($A941,Sheet4!$A:$B,2,0)</f>
        <v>Yasso Mint Chocolate Crunch 8-4pk</v>
      </c>
      <c r="F941" s="3" t="s">
        <v>33</v>
      </c>
    </row>
    <row r="942" spans="1:6" x14ac:dyDescent="0.25">
      <c r="A942" s="3">
        <v>64976849</v>
      </c>
      <c r="B942" s="3">
        <v>2904</v>
      </c>
      <c r="C942" s="24">
        <v>2083</v>
      </c>
      <c r="D942" s="4">
        <v>46080</v>
      </c>
      <c r="E942" t="str">
        <f>VLOOKUP($A942,Sheet4!$A:$B,2,0)</f>
        <v>Yasso Mint Chocolate Crunch 8-4pk</v>
      </c>
      <c r="F942" s="3" t="s">
        <v>33</v>
      </c>
    </row>
    <row r="943" spans="1:6" x14ac:dyDescent="0.25">
      <c r="A943" s="3">
        <v>64976851</v>
      </c>
      <c r="B943" s="3">
        <v>2904</v>
      </c>
      <c r="C943" s="24">
        <v>2805</v>
      </c>
      <c r="D943" s="4">
        <v>46104</v>
      </c>
      <c r="E943" t="str">
        <f>VLOOKUP($A943,Sheet4!$A:$B,2,0)</f>
        <v>Yasso Caramel Chocolate Crunch 8-4pk</v>
      </c>
      <c r="F943" s="3" t="s">
        <v>33</v>
      </c>
    </row>
    <row r="944" spans="1:6" x14ac:dyDescent="0.25">
      <c r="A944" s="3">
        <v>64976851</v>
      </c>
      <c r="B944" s="3">
        <v>2904</v>
      </c>
      <c r="C944" s="24">
        <v>3436</v>
      </c>
      <c r="D944" s="4">
        <v>46105</v>
      </c>
      <c r="E944" t="str">
        <f>VLOOKUP($A944,Sheet4!$A:$B,2,0)</f>
        <v>Yasso Caramel Chocolate Crunch 8-4pk</v>
      </c>
      <c r="F944" s="3" t="s">
        <v>33</v>
      </c>
    </row>
    <row r="945" spans="1:6" x14ac:dyDescent="0.25">
      <c r="A945" s="3">
        <v>64976851</v>
      </c>
      <c r="B945" s="3">
        <v>2904</v>
      </c>
      <c r="C945" s="24">
        <v>5558</v>
      </c>
      <c r="D945" s="4">
        <v>46105</v>
      </c>
      <c r="E945" t="str">
        <f>VLOOKUP($A945,Sheet4!$A:$B,2,0)</f>
        <v>Yasso Caramel Chocolate Crunch 8-4pk</v>
      </c>
      <c r="F945" s="3" t="s">
        <v>33</v>
      </c>
    </row>
    <row r="946" spans="1:6" x14ac:dyDescent="0.25">
      <c r="A946" s="3">
        <v>64979407</v>
      </c>
      <c r="B946" s="3">
        <v>2904</v>
      </c>
      <c r="C946" s="24">
        <v>1325</v>
      </c>
      <c r="D946" s="4">
        <v>46079</v>
      </c>
      <c r="E946" t="str">
        <f>VLOOKUP($A946,Sheet4!$A:$B,2,0)</f>
        <v>BR Reeses PB Carbsmart Bar 8-6PK</v>
      </c>
      <c r="F946" s="3" t="s">
        <v>37</v>
      </c>
    </row>
    <row r="947" spans="1:6" x14ac:dyDescent="0.25">
      <c r="A947" s="3">
        <v>64979407</v>
      </c>
      <c r="B947" s="3">
        <v>2904</v>
      </c>
      <c r="C947" s="24">
        <v>4004</v>
      </c>
      <c r="D947" s="4">
        <v>46080</v>
      </c>
      <c r="E947" t="str">
        <f>VLOOKUP($A947,Sheet4!$A:$B,2,0)</f>
        <v>BR Reeses PB Carbsmart Bar 8-6PK</v>
      </c>
      <c r="F947" s="3" t="s">
        <v>37</v>
      </c>
    </row>
    <row r="948" spans="1:6" x14ac:dyDescent="0.25">
      <c r="A948" s="3">
        <v>64979407</v>
      </c>
      <c r="B948" s="3">
        <v>2904</v>
      </c>
      <c r="C948" s="24">
        <v>5148</v>
      </c>
      <c r="D948" s="4">
        <v>46077</v>
      </c>
      <c r="E948" t="str">
        <f>VLOOKUP($A948,Sheet4!$A:$B,2,0)</f>
        <v>BR Reeses PB Carbsmart Bar 8-6PK</v>
      </c>
      <c r="F948" s="3" t="s">
        <v>37</v>
      </c>
    </row>
    <row r="949" spans="1:6" x14ac:dyDescent="0.25">
      <c r="A949" s="3">
        <v>64979407</v>
      </c>
      <c r="B949" s="3">
        <v>2904</v>
      </c>
      <c r="C949" s="24">
        <v>4121</v>
      </c>
      <c r="D949" s="4">
        <v>46078</v>
      </c>
      <c r="E949" t="str">
        <f>VLOOKUP($A949,Sheet4!$A:$B,2,0)</f>
        <v>BR Reeses PB Carbsmart Bar 8-6PK</v>
      </c>
      <c r="F949" s="3" t="s">
        <v>37</v>
      </c>
    </row>
    <row r="950" spans="1:6" x14ac:dyDescent="0.25">
      <c r="A950" s="3">
        <v>64979407</v>
      </c>
      <c r="B950" s="3">
        <v>2904</v>
      </c>
      <c r="C950" s="24">
        <v>715</v>
      </c>
      <c r="D950" s="4">
        <v>46077</v>
      </c>
      <c r="E950" t="str">
        <f>VLOOKUP($A950,Sheet4!$A:$B,2,0)</f>
        <v>BR Reeses PB Carbsmart Bar 8-6PK</v>
      </c>
      <c r="F950" s="3" t="s">
        <v>37</v>
      </c>
    </row>
    <row r="951" spans="1:6" x14ac:dyDescent="0.25">
      <c r="A951" s="3">
        <v>64979407</v>
      </c>
      <c r="B951" s="3">
        <v>2904</v>
      </c>
      <c r="C951" s="24">
        <v>3861</v>
      </c>
      <c r="D951" s="4">
        <v>46080</v>
      </c>
      <c r="E951" t="str">
        <f>VLOOKUP($A951,Sheet4!$A:$B,2,0)</f>
        <v>BR Reeses PB Carbsmart Bar 8-6PK</v>
      </c>
      <c r="F951" s="3" t="s">
        <v>37</v>
      </c>
    </row>
    <row r="952" spans="1:6" x14ac:dyDescent="0.25">
      <c r="A952" s="3">
        <v>64979407</v>
      </c>
      <c r="B952" s="3">
        <v>2904</v>
      </c>
      <c r="C952" s="24">
        <v>5005</v>
      </c>
      <c r="D952" s="4">
        <v>46081</v>
      </c>
      <c r="E952" t="str">
        <f>VLOOKUP($A952,Sheet4!$A:$B,2,0)</f>
        <v>BR Reeses PB Carbsmart Bar 8-6PK</v>
      </c>
      <c r="F952" s="3" t="s">
        <v>37</v>
      </c>
    </row>
    <row r="953" spans="1:6" x14ac:dyDescent="0.25">
      <c r="A953" s="3">
        <v>64979407</v>
      </c>
      <c r="B953" s="3">
        <v>2904</v>
      </c>
      <c r="C953" s="24">
        <v>4433</v>
      </c>
      <c r="D953" s="4">
        <v>46078</v>
      </c>
      <c r="E953" t="str">
        <f>VLOOKUP($A953,Sheet4!$A:$B,2,0)</f>
        <v>BR Reeses PB Carbsmart Bar 8-6PK</v>
      </c>
      <c r="F953" s="3" t="s">
        <v>37</v>
      </c>
    </row>
    <row r="954" spans="1:6" x14ac:dyDescent="0.25">
      <c r="A954" s="3">
        <v>64979407</v>
      </c>
      <c r="B954" s="3">
        <v>2904</v>
      </c>
      <c r="C954" s="24">
        <v>4240</v>
      </c>
      <c r="D954" s="4">
        <v>46079</v>
      </c>
      <c r="E954" t="str">
        <f>VLOOKUP($A954,Sheet4!$A:$B,2,0)</f>
        <v>BR Reeses PB Carbsmart Bar 8-6PK</v>
      </c>
      <c r="F954" s="3" t="s">
        <v>37</v>
      </c>
    </row>
    <row r="955" spans="1:6" x14ac:dyDescent="0.25">
      <c r="A955" s="3">
        <v>64979407</v>
      </c>
      <c r="B955" s="3">
        <v>2904</v>
      </c>
      <c r="C955" s="24">
        <v>6435</v>
      </c>
      <c r="D955" s="4">
        <v>46081</v>
      </c>
      <c r="E955" t="str">
        <f>VLOOKUP($A955,Sheet4!$A:$B,2,0)</f>
        <v>BR Reeses PB Carbsmart Bar 8-6PK</v>
      </c>
      <c r="F955" s="3" t="s">
        <v>37</v>
      </c>
    </row>
    <row r="956" spans="1:6" x14ac:dyDescent="0.25">
      <c r="A956" s="3">
        <v>64979407</v>
      </c>
      <c r="B956" s="3">
        <v>2904</v>
      </c>
      <c r="C956" s="24">
        <v>1056</v>
      </c>
      <c r="D956" s="4">
        <v>46082</v>
      </c>
      <c r="E956" t="str">
        <f>VLOOKUP($A956,Sheet4!$A:$B,2,0)</f>
        <v>BR Reeses PB Carbsmart Bar 8-6PK</v>
      </c>
      <c r="F956" s="3" t="s">
        <v>37</v>
      </c>
    </row>
    <row r="957" spans="1:6" x14ac:dyDescent="0.25">
      <c r="A957" s="3">
        <v>64979407</v>
      </c>
      <c r="B957" s="3">
        <v>2904</v>
      </c>
      <c r="C957" s="24">
        <v>286</v>
      </c>
      <c r="D957" s="4">
        <v>46083</v>
      </c>
      <c r="E957" t="str">
        <f>VLOOKUP($A957,Sheet4!$A:$B,2,0)</f>
        <v>BR Reeses PB Carbsmart Bar 8-6PK</v>
      </c>
      <c r="F957" s="3" t="s">
        <v>37</v>
      </c>
    </row>
    <row r="958" spans="1:6" x14ac:dyDescent="0.25">
      <c r="A958" s="3">
        <v>64984152</v>
      </c>
      <c r="B958" s="3">
        <v>2904</v>
      </c>
      <c r="C958" s="24">
        <v>-6</v>
      </c>
      <c r="D958" s="4">
        <v>46094</v>
      </c>
      <c r="E958" t="str">
        <f>VLOOKUP($A958,Sheet4!$A:$B,2,0)</f>
        <v>BJ US-SUN-PBBlondie-8 427ml</v>
      </c>
      <c r="F958" s="3" t="s">
        <v>46</v>
      </c>
    </row>
    <row r="959" spans="1:6" x14ac:dyDescent="0.25">
      <c r="A959" s="3">
        <v>64986251</v>
      </c>
      <c r="B959" s="3">
        <v>2904</v>
      </c>
      <c r="C959" s="24">
        <v>-120</v>
      </c>
      <c r="D959" s="4">
        <v>46078</v>
      </c>
      <c r="E959" t="str">
        <f>VLOOKUP($A959,Sheet4!$A:$B,2,0)</f>
        <v>BJ US-SUN-StrawBaeShortcake-8 427ML</v>
      </c>
      <c r="F959" s="3" t="s">
        <v>46</v>
      </c>
    </row>
    <row r="960" spans="1:6" x14ac:dyDescent="0.25">
      <c r="A960" s="3">
        <v>64986251</v>
      </c>
      <c r="B960" s="3">
        <v>2904</v>
      </c>
      <c r="C960" s="24">
        <v>3118</v>
      </c>
      <c r="D960" s="4">
        <v>46083</v>
      </c>
      <c r="E960" t="str">
        <f>VLOOKUP($A960,Sheet4!$A:$B,2,0)</f>
        <v>BJ US-SUN-StrawBaeShortcake-8 427ML</v>
      </c>
      <c r="F960" s="3" t="s">
        <v>46</v>
      </c>
    </row>
    <row r="961" spans="1:6" x14ac:dyDescent="0.25">
      <c r="A961" s="3">
        <v>64986251</v>
      </c>
      <c r="B961" s="3">
        <v>2904</v>
      </c>
      <c r="C961" s="24">
        <v>9425</v>
      </c>
      <c r="D961" s="4">
        <v>46084</v>
      </c>
      <c r="E961" t="str">
        <f>VLOOKUP($A961,Sheet4!$A:$B,2,0)</f>
        <v>BJ US-SUN-StrawBaeShortcake-8 427ML</v>
      </c>
      <c r="F961" s="3" t="s">
        <v>46</v>
      </c>
    </row>
    <row r="962" spans="1:6" x14ac:dyDescent="0.25">
      <c r="A962" s="3">
        <v>64986251</v>
      </c>
      <c r="B962" s="3">
        <v>2904</v>
      </c>
      <c r="C962" s="24">
        <v>8258</v>
      </c>
      <c r="D962" s="4">
        <v>46084</v>
      </c>
      <c r="E962" t="str">
        <f>VLOOKUP($A962,Sheet4!$A:$B,2,0)</f>
        <v>BJ US-SUN-StrawBaeShortcake-8 427ML</v>
      </c>
      <c r="F962" s="3" t="s">
        <v>46</v>
      </c>
    </row>
    <row r="963" spans="1:6" x14ac:dyDescent="0.25">
      <c r="A963" s="3">
        <v>64986251</v>
      </c>
      <c r="B963" s="3">
        <v>2904</v>
      </c>
      <c r="C963" s="24">
        <v>10457</v>
      </c>
      <c r="D963" s="4">
        <v>46085</v>
      </c>
      <c r="E963" t="str">
        <f>VLOOKUP($A963,Sheet4!$A:$B,2,0)</f>
        <v>BJ US-SUN-StrawBaeShortcake-8 427ML</v>
      </c>
      <c r="F963" s="3" t="s">
        <v>46</v>
      </c>
    </row>
    <row r="964" spans="1:6" x14ac:dyDescent="0.25">
      <c r="A964" s="3">
        <v>64986251</v>
      </c>
      <c r="B964" s="3">
        <v>2904</v>
      </c>
      <c r="C964" s="24">
        <v>-15</v>
      </c>
      <c r="D964" s="4">
        <v>46094</v>
      </c>
      <c r="E964" t="str">
        <f>VLOOKUP($A964,Sheet4!$A:$B,2,0)</f>
        <v>BJ US-SUN-StrawBaeShortcake-8 427ML</v>
      </c>
      <c r="F964" s="3" t="s">
        <v>46</v>
      </c>
    </row>
    <row r="965" spans="1:6" x14ac:dyDescent="0.25">
      <c r="A965" s="3">
        <v>64986251</v>
      </c>
      <c r="B965" s="3">
        <v>2904</v>
      </c>
      <c r="C965" s="24">
        <v>6433</v>
      </c>
      <c r="D965" s="4">
        <v>46085</v>
      </c>
      <c r="E965" t="str">
        <f>VLOOKUP($A965,Sheet4!$A:$B,2,0)</f>
        <v>BJ US-SUN-StrawBaeShortcake-8 427ML</v>
      </c>
      <c r="F965" s="3" t="s">
        <v>46</v>
      </c>
    </row>
    <row r="966" spans="1:6" x14ac:dyDescent="0.25">
      <c r="A966" s="3">
        <v>64986251</v>
      </c>
      <c r="B966" s="3">
        <v>2904</v>
      </c>
      <c r="C966" s="24">
        <v>240</v>
      </c>
      <c r="D966" s="4">
        <v>46086</v>
      </c>
      <c r="E966" t="str">
        <f>VLOOKUP($A966,Sheet4!$A:$B,2,0)</f>
        <v>BJ US-SUN-StrawBaeShortcake-8 427ML</v>
      </c>
      <c r="F966" s="3" t="s">
        <v>46</v>
      </c>
    </row>
    <row r="967" spans="1:6" x14ac:dyDescent="0.25">
      <c r="A967" s="3">
        <v>64988055</v>
      </c>
      <c r="B967" s="3">
        <v>2904</v>
      </c>
      <c r="C967" s="24">
        <v>3965</v>
      </c>
      <c r="D967" s="4">
        <v>46103</v>
      </c>
      <c r="E967" t="str">
        <f>VLOOKUP($A967,Sheet4!$A:$B,2,0)</f>
        <v>BR CO-B NY Style Cheesecake 6 1.5QT</v>
      </c>
      <c r="F967" s="3" t="s">
        <v>17</v>
      </c>
    </row>
    <row r="968" spans="1:6" x14ac:dyDescent="0.25">
      <c r="A968" s="3">
        <v>64988055</v>
      </c>
      <c r="B968" s="3">
        <v>2904</v>
      </c>
      <c r="C968" s="24">
        <v>4333</v>
      </c>
      <c r="D968" s="4">
        <v>46103</v>
      </c>
      <c r="E968" t="str">
        <f>VLOOKUP($A968,Sheet4!$A:$B,2,0)</f>
        <v>BR CO-B NY Style Cheesecake 6 1.5QT</v>
      </c>
      <c r="F968" s="3" t="s">
        <v>17</v>
      </c>
    </row>
    <row r="969" spans="1:6" x14ac:dyDescent="0.25">
      <c r="A969" s="3">
        <v>64988055</v>
      </c>
      <c r="B969" s="3">
        <v>2904</v>
      </c>
      <c r="C969" s="24">
        <v>4290</v>
      </c>
      <c r="D969" s="4">
        <v>46104</v>
      </c>
      <c r="E969" t="str">
        <f>VLOOKUP($A969,Sheet4!$A:$B,2,0)</f>
        <v>BR CO-B NY Style Cheesecake 6 1.5QT</v>
      </c>
      <c r="F969" s="3" t="s">
        <v>17</v>
      </c>
    </row>
    <row r="970" spans="1:6" x14ac:dyDescent="0.25">
      <c r="A970" s="3">
        <v>64988055</v>
      </c>
      <c r="B970" s="3">
        <v>2904</v>
      </c>
      <c r="C970" s="24">
        <v>5104</v>
      </c>
      <c r="D970" s="4">
        <v>46104</v>
      </c>
      <c r="E970" t="str">
        <f>VLOOKUP($A970,Sheet4!$A:$B,2,0)</f>
        <v>BR CO-B NY Style Cheesecake 6 1.5QT</v>
      </c>
      <c r="F970" s="3" t="s">
        <v>17</v>
      </c>
    </row>
    <row r="971" spans="1:6" x14ac:dyDescent="0.25">
      <c r="A971" s="3">
        <v>64988055</v>
      </c>
      <c r="B971" s="3">
        <v>2904</v>
      </c>
      <c r="C971" s="24">
        <v>168</v>
      </c>
      <c r="D971" s="4">
        <v>46105</v>
      </c>
      <c r="E971" t="str">
        <f>VLOOKUP($A971,Sheet4!$A:$B,2,0)</f>
        <v>BR CO-B NY Style Cheesecake 6 1.5QT</v>
      </c>
      <c r="F971" s="3" t="s">
        <v>17</v>
      </c>
    </row>
    <row r="972" spans="1:6" x14ac:dyDescent="0.25">
      <c r="A972" s="3">
        <v>64988056</v>
      </c>
      <c r="B972" s="3">
        <v>2904</v>
      </c>
      <c r="C972" s="24">
        <v>5984</v>
      </c>
      <c r="D972" s="4">
        <v>46084</v>
      </c>
      <c r="E972" t="str">
        <f>VLOOKUP($A972,Sheet4!$A:$B,2,0)</f>
        <v>BR Butter Pecan 6 1.5QT</v>
      </c>
      <c r="F972" s="3" t="s">
        <v>21</v>
      </c>
    </row>
    <row r="973" spans="1:6" x14ac:dyDescent="0.25">
      <c r="A973" s="3">
        <v>64988056</v>
      </c>
      <c r="B973" s="3">
        <v>2904</v>
      </c>
      <c r="C973" s="24">
        <v>6684</v>
      </c>
      <c r="D973" s="4">
        <v>46085</v>
      </c>
      <c r="E973" t="str">
        <f>VLOOKUP($A973,Sheet4!$A:$B,2,0)</f>
        <v>BR Butter Pecan 6 1.5QT</v>
      </c>
      <c r="F973" s="3" t="s">
        <v>21</v>
      </c>
    </row>
    <row r="974" spans="1:6" x14ac:dyDescent="0.25">
      <c r="A974" s="3">
        <v>64988056</v>
      </c>
      <c r="B974" s="3">
        <v>2904</v>
      </c>
      <c r="C974" s="24">
        <v>2992</v>
      </c>
      <c r="D974" s="4">
        <v>46085</v>
      </c>
      <c r="E974" t="str">
        <f>VLOOKUP($A974,Sheet4!$A:$B,2,0)</f>
        <v>BR Butter Pecan 6 1.5QT</v>
      </c>
      <c r="F974" s="3" t="s">
        <v>21</v>
      </c>
    </row>
    <row r="975" spans="1:6" x14ac:dyDescent="0.25">
      <c r="A975" s="3">
        <v>64988056</v>
      </c>
      <c r="B975" s="3">
        <v>2904</v>
      </c>
      <c r="C975" s="24">
        <v>6688</v>
      </c>
      <c r="D975" s="4">
        <v>46086</v>
      </c>
      <c r="E975" t="str">
        <f>VLOOKUP($A975,Sheet4!$A:$B,2,0)</f>
        <v>BR Butter Pecan 6 1.5QT</v>
      </c>
      <c r="F975" s="3" t="s">
        <v>21</v>
      </c>
    </row>
    <row r="976" spans="1:6" x14ac:dyDescent="0.25">
      <c r="A976" s="3">
        <v>64988056</v>
      </c>
      <c r="B976" s="3">
        <v>2904</v>
      </c>
      <c r="C976" s="24">
        <v>1400</v>
      </c>
      <c r="D976" s="4">
        <v>46086</v>
      </c>
      <c r="E976" t="str">
        <f>VLOOKUP($A976,Sheet4!$A:$B,2,0)</f>
        <v>BR Butter Pecan 6 1.5QT</v>
      </c>
      <c r="F976" s="3" t="s">
        <v>21</v>
      </c>
    </row>
    <row r="977" spans="1:6" x14ac:dyDescent="0.25">
      <c r="A977" s="3">
        <v>64988056</v>
      </c>
      <c r="B977" s="3">
        <v>2904</v>
      </c>
      <c r="C977" s="24">
        <v>3872</v>
      </c>
      <c r="D977" s="4">
        <v>46094</v>
      </c>
      <c r="E977" t="str">
        <f>VLOOKUP($A977,Sheet4!$A:$B,2,0)</f>
        <v>BR Butter Pecan 6 1.5QT</v>
      </c>
      <c r="F977" s="3" t="s">
        <v>17</v>
      </c>
    </row>
    <row r="978" spans="1:6" x14ac:dyDescent="0.25">
      <c r="A978" s="3">
        <v>64988056</v>
      </c>
      <c r="B978" s="3">
        <v>2904</v>
      </c>
      <c r="C978" s="24">
        <v>6512</v>
      </c>
      <c r="D978" s="4">
        <v>46095</v>
      </c>
      <c r="E978" t="str">
        <f>VLOOKUP($A978,Sheet4!$A:$B,2,0)</f>
        <v>BR Butter Pecan 6 1.5QT</v>
      </c>
      <c r="F978" s="3" t="s">
        <v>17</v>
      </c>
    </row>
    <row r="979" spans="1:6" x14ac:dyDescent="0.25">
      <c r="A979" s="3">
        <v>64988056</v>
      </c>
      <c r="B979" s="3">
        <v>2904</v>
      </c>
      <c r="C979" s="24">
        <v>704</v>
      </c>
      <c r="D979" s="4">
        <v>46097</v>
      </c>
      <c r="E979" t="str">
        <f>VLOOKUP($A979,Sheet4!$A:$B,2,0)</f>
        <v>BR Butter Pecan 6 1.5QT</v>
      </c>
      <c r="F979" s="3" t="s">
        <v>17</v>
      </c>
    </row>
    <row r="980" spans="1:6" x14ac:dyDescent="0.25">
      <c r="A980" s="3">
        <v>64988056</v>
      </c>
      <c r="B980" s="3">
        <v>2904</v>
      </c>
      <c r="C980" s="24">
        <v>12406</v>
      </c>
      <c r="D980" s="4">
        <v>46097</v>
      </c>
      <c r="E980" t="str">
        <f>VLOOKUP($A980,Sheet4!$A:$B,2,0)</f>
        <v>BR Butter Pecan 6 1.5QT</v>
      </c>
      <c r="F980" s="3" t="s">
        <v>17</v>
      </c>
    </row>
    <row r="981" spans="1:6" x14ac:dyDescent="0.25">
      <c r="A981" s="3">
        <v>64988056</v>
      </c>
      <c r="B981" s="3">
        <v>2904</v>
      </c>
      <c r="C981" s="24">
        <v>9047</v>
      </c>
      <c r="D981" s="4">
        <v>46097</v>
      </c>
      <c r="E981" t="str">
        <f>VLOOKUP($A981,Sheet4!$A:$B,2,0)</f>
        <v>BR Butter Pecan 6 1.5QT</v>
      </c>
      <c r="F981" s="3" t="s">
        <v>17</v>
      </c>
    </row>
    <row r="982" spans="1:6" x14ac:dyDescent="0.25">
      <c r="A982" s="3">
        <v>64988056</v>
      </c>
      <c r="B982" s="3">
        <v>2904</v>
      </c>
      <c r="C982" s="24">
        <v>0</v>
      </c>
      <c r="D982" s="4">
        <v>46083</v>
      </c>
      <c r="E982" t="str">
        <f>VLOOKUP($A982,Sheet4!$A:$B,2,0)</f>
        <v>BR Butter Pecan 6 1.5QT</v>
      </c>
      <c r="F982" s="3" t="s">
        <v>17</v>
      </c>
    </row>
    <row r="983" spans="1:6" x14ac:dyDescent="0.25">
      <c r="A983" s="3">
        <v>64988056</v>
      </c>
      <c r="B983" s="3">
        <v>2904</v>
      </c>
      <c r="C983" s="24">
        <v>682</v>
      </c>
      <c r="D983" s="4">
        <v>46083</v>
      </c>
      <c r="E983" t="str">
        <f>VLOOKUP($A983,Sheet4!$A:$B,2,0)</f>
        <v>BR Butter Pecan 6 1.5QT</v>
      </c>
      <c r="F983" s="3" t="s">
        <v>21</v>
      </c>
    </row>
    <row r="984" spans="1:6" x14ac:dyDescent="0.25">
      <c r="A984" s="3">
        <v>64988056</v>
      </c>
      <c r="B984" s="3">
        <v>2904</v>
      </c>
      <c r="C984" s="24">
        <v>4290</v>
      </c>
      <c r="D984" s="4">
        <v>46084</v>
      </c>
      <c r="E984" t="str">
        <f>VLOOKUP($A984,Sheet4!$A:$B,2,0)</f>
        <v>BR Butter Pecan 6 1.5QT</v>
      </c>
      <c r="F984" s="3" t="s">
        <v>21</v>
      </c>
    </row>
    <row r="985" spans="1:6" x14ac:dyDescent="0.25">
      <c r="A985" s="3">
        <v>64988056</v>
      </c>
      <c r="B985" s="3">
        <v>2904</v>
      </c>
      <c r="C985" s="24">
        <v>3861</v>
      </c>
      <c r="D985" s="4">
        <v>46083</v>
      </c>
      <c r="E985" t="str">
        <f>VLOOKUP($A985,Sheet4!$A:$B,2,0)</f>
        <v>BR Butter Pecan 6 1.5QT</v>
      </c>
      <c r="F985" s="3" t="s">
        <v>21</v>
      </c>
    </row>
    <row r="986" spans="1:6" x14ac:dyDescent="0.25">
      <c r="A986" s="3">
        <v>64988056</v>
      </c>
      <c r="B986" s="3">
        <v>2904</v>
      </c>
      <c r="C986" s="24">
        <v>-88</v>
      </c>
      <c r="D986" s="4">
        <v>46084</v>
      </c>
      <c r="E986" t="str">
        <f>VLOOKUP($A986,Sheet4!$A:$B,2,0)</f>
        <v>BR Butter Pecan 6 1.5QT</v>
      </c>
      <c r="F986" s="3" t="s">
        <v>21</v>
      </c>
    </row>
    <row r="987" spans="1:6" x14ac:dyDescent="0.25">
      <c r="A987" s="3">
        <v>64988056</v>
      </c>
      <c r="B987" s="3">
        <v>2904</v>
      </c>
      <c r="C987" s="24">
        <v>479</v>
      </c>
      <c r="D987" s="4">
        <v>46097</v>
      </c>
      <c r="E987" t="str">
        <f>VLOOKUP($A987,Sheet4!$A:$B,2,0)</f>
        <v>BR Butter Pecan 6 1.5QT</v>
      </c>
      <c r="F987" s="3" t="s">
        <v>17</v>
      </c>
    </row>
    <row r="988" spans="1:6" x14ac:dyDescent="0.25">
      <c r="A988" s="3">
        <v>64988056</v>
      </c>
      <c r="B988" s="3">
        <v>2904</v>
      </c>
      <c r="C988" s="24">
        <v>704</v>
      </c>
      <c r="D988" s="4">
        <v>46098</v>
      </c>
      <c r="E988" t="str">
        <f>VLOOKUP($A988,Sheet4!$A:$B,2,0)</f>
        <v>BR Butter Pecan 6 1.5QT</v>
      </c>
      <c r="F988" s="3" t="s">
        <v>17</v>
      </c>
    </row>
    <row r="989" spans="1:6" x14ac:dyDescent="0.25">
      <c r="A989" s="3">
        <v>64988056</v>
      </c>
      <c r="B989" s="3">
        <v>2904</v>
      </c>
      <c r="C989" s="24">
        <v>-704</v>
      </c>
      <c r="D989" s="4">
        <v>46101</v>
      </c>
      <c r="E989" t="str">
        <f>VLOOKUP($A989,Sheet4!$A:$B,2,0)</f>
        <v>BR Butter Pecan 6 1.5QT</v>
      </c>
      <c r="F989" s="3" t="s">
        <v>17</v>
      </c>
    </row>
    <row r="990" spans="1:6" x14ac:dyDescent="0.25">
      <c r="A990" s="3">
        <v>64988927</v>
      </c>
      <c r="B990" s="3">
        <v>2904</v>
      </c>
      <c r="C990" s="24">
        <v>9456</v>
      </c>
      <c r="D990" s="4">
        <v>46076</v>
      </c>
      <c r="E990" t="str">
        <f>VLOOKUP($A990,Sheet4!$A:$B,2,0)</f>
        <v>BJ R01-SUN-CookieVermontster-8 427ml</v>
      </c>
      <c r="F990" s="3" t="s">
        <v>46</v>
      </c>
    </row>
    <row r="991" spans="1:6" x14ac:dyDescent="0.25">
      <c r="A991" s="3">
        <v>64988927</v>
      </c>
      <c r="B991" s="3">
        <v>2904</v>
      </c>
      <c r="C991" s="24">
        <v>1761</v>
      </c>
      <c r="D991" s="4">
        <v>46077</v>
      </c>
      <c r="E991" t="str">
        <f>VLOOKUP($A991,Sheet4!$A:$B,2,0)</f>
        <v>BJ R01-SUN-CookieVermontster-8 427ml</v>
      </c>
      <c r="F991" s="3" t="s">
        <v>46</v>
      </c>
    </row>
    <row r="992" spans="1:6" x14ac:dyDescent="0.25">
      <c r="A992" s="3">
        <v>64999042</v>
      </c>
      <c r="B992" s="3">
        <v>2904</v>
      </c>
      <c r="C992" s="24">
        <v>3360</v>
      </c>
      <c r="D992" s="4">
        <v>46076</v>
      </c>
      <c r="E992" t="str">
        <f>VLOOKUP($A992,Sheet4!$A:$B,2,0)</f>
        <v>Yasso Coffee Chocolate Chip 8-14z</v>
      </c>
      <c r="F992" s="3" t="s">
        <v>54</v>
      </c>
    </row>
    <row r="993" spans="1:6" x14ac:dyDescent="0.25">
      <c r="A993" s="3">
        <v>64999042</v>
      </c>
      <c r="B993" s="3">
        <v>2904</v>
      </c>
      <c r="C993" s="24">
        <v>8396</v>
      </c>
      <c r="D993" s="4">
        <v>46077</v>
      </c>
      <c r="E993" t="str">
        <f>VLOOKUP($A993,Sheet4!$A:$B,2,0)</f>
        <v>Yasso Coffee Chocolate Chip 8-14z</v>
      </c>
      <c r="F993" s="3" t="s">
        <v>54</v>
      </c>
    </row>
    <row r="994" spans="1:6" x14ac:dyDescent="0.25">
      <c r="A994" s="3">
        <v>64999042</v>
      </c>
      <c r="B994" s="3">
        <v>2904</v>
      </c>
      <c r="C994" s="24">
        <v>6048</v>
      </c>
      <c r="D994" s="4">
        <v>46077</v>
      </c>
      <c r="E994" t="str">
        <f>VLOOKUP($A994,Sheet4!$A:$B,2,0)</f>
        <v>Yasso Coffee Chocolate Chip 8-14z</v>
      </c>
      <c r="F994" s="3" t="s">
        <v>54</v>
      </c>
    </row>
    <row r="995" spans="1:6" x14ac:dyDescent="0.25">
      <c r="A995" s="3">
        <v>64999042</v>
      </c>
      <c r="B995" s="3">
        <v>2904</v>
      </c>
      <c r="C995" s="24">
        <v>10018</v>
      </c>
      <c r="D995" s="4">
        <v>46078</v>
      </c>
      <c r="E995" t="str">
        <f>VLOOKUP($A995,Sheet4!$A:$B,2,0)</f>
        <v>Yasso Coffee Chocolate Chip 8-14z</v>
      </c>
      <c r="F995" s="3" t="s">
        <v>54</v>
      </c>
    </row>
    <row r="996" spans="1:6" x14ac:dyDescent="0.25">
      <c r="A996" s="3">
        <v>64999042</v>
      </c>
      <c r="B996" s="3">
        <v>2904</v>
      </c>
      <c r="C996" s="24">
        <v>2401</v>
      </c>
      <c r="D996" s="4">
        <v>46078</v>
      </c>
      <c r="E996" t="str">
        <f>VLOOKUP($A996,Sheet4!$A:$B,2,0)</f>
        <v>Yasso Coffee Chocolate Chip 8-14z</v>
      </c>
      <c r="F996" s="3" t="s">
        <v>54</v>
      </c>
    </row>
    <row r="997" spans="1:6" x14ac:dyDescent="0.25">
      <c r="A997" s="3">
        <v>64999042</v>
      </c>
      <c r="B997" s="3">
        <v>2904</v>
      </c>
      <c r="C997" s="24">
        <v>5121</v>
      </c>
      <c r="D997" s="4">
        <v>46079</v>
      </c>
      <c r="E997" t="str">
        <f>VLOOKUP($A997,Sheet4!$A:$B,2,0)</f>
        <v>Yasso Coffee Chocolate Chip 8-14z</v>
      </c>
      <c r="F997" s="3" t="s">
        <v>54</v>
      </c>
    </row>
    <row r="998" spans="1:6" x14ac:dyDescent="0.25">
      <c r="A998" s="3">
        <v>64999042</v>
      </c>
      <c r="B998" s="3">
        <v>2904</v>
      </c>
      <c r="C998" s="24">
        <v>-15</v>
      </c>
      <c r="D998" s="4">
        <v>46100</v>
      </c>
      <c r="E998" t="str">
        <f>VLOOKUP($A998,Sheet4!$A:$B,2,0)</f>
        <v>Yasso Coffee Chocolate Chip 8-14z</v>
      </c>
      <c r="F998" s="3" t="s">
        <v>54</v>
      </c>
    </row>
    <row r="999" spans="1:6" x14ac:dyDescent="0.25">
      <c r="A999" s="3">
        <v>64999042</v>
      </c>
      <c r="B999" s="3">
        <v>2904</v>
      </c>
      <c r="C999" s="24">
        <v>7890</v>
      </c>
      <c r="D999" s="4">
        <v>46079</v>
      </c>
      <c r="E999" t="str">
        <f>VLOOKUP($A999,Sheet4!$A:$B,2,0)</f>
        <v>Yasso Coffee Chocolate Chip 8-14z</v>
      </c>
      <c r="F999" s="3" t="s">
        <v>54</v>
      </c>
    </row>
    <row r="1000" spans="1:6" x14ac:dyDescent="0.25">
      <c r="A1000" s="3">
        <v>64999042</v>
      </c>
      <c r="B1000" s="3">
        <v>2904</v>
      </c>
      <c r="C1000" s="24">
        <v>10860</v>
      </c>
      <c r="D1000" s="4">
        <v>46080</v>
      </c>
      <c r="E1000" t="str">
        <f>VLOOKUP($A1000,Sheet4!$A:$B,2,0)</f>
        <v>Yasso Coffee Chocolate Chip 8-14z</v>
      </c>
      <c r="F1000" s="3" t="s">
        <v>54</v>
      </c>
    </row>
    <row r="1001" spans="1:6" x14ac:dyDescent="0.25">
      <c r="A1001" s="3">
        <v>64999042</v>
      </c>
      <c r="B1001" s="3">
        <v>2904</v>
      </c>
      <c r="C1001" s="24">
        <v>5416</v>
      </c>
      <c r="D1001" s="4">
        <v>46080</v>
      </c>
      <c r="E1001" t="str">
        <f>VLOOKUP($A1001,Sheet4!$A:$B,2,0)</f>
        <v>Yasso Coffee Chocolate Chip 8-14z</v>
      </c>
      <c r="F1001" s="3" t="s">
        <v>54</v>
      </c>
    </row>
    <row r="1002" spans="1:6" x14ac:dyDescent="0.25">
      <c r="A1002" s="3">
        <v>64999042</v>
      </c>
      <c r="B1002" s="3">
        <v>2904</v>
      </c>
      <c r="C1002" s="24">
        <v>386</v>
      </c>
      <c r="D1002" s="4">
        <v>46081</v>
      </c>
      <c r="E1002" t="str">
        <f>VLOOKUP($A1002,Sheet4!$A:$B,2,0)</f>
        <v>Yasso Coffee Chocolate Chip 8-14z</v>
      </c>
      <c r="F1002" s="3" t="s">
        <v>54</v>
      </c>
    </row>
    <row r="1003" spans="1:6" x14ac:dyDescent="0.25">
      <c r="A1003" s="3">
        <v>65242605</v>
      </c>
      <c r="B1003" s="3">
        <v>2904</v>
      </c>
      <c r="C1003" s="24">
        <v>5813</v>
      </c>
      <c r="D1003" s="4">
        <v>46093</v>
      </c>
      <c r="E1003" t="str">
        <f>VLOOKUP($A1003,Sheet4!$A:$B,2,0)</f>
        <v>Talenti Mediterranean Mint 8p 473ml</v>
      </c>
      <c r="F1003" s="3" t="s">
        <v>27</v>
      </c>
    </row>
    <row r="1004" spans="1:6" x14ac:dyDescent="0.25">
      <c r="A1004" s="3">
        <v>65242605</v>
      </c>
      <c r="B1004" s="3">
        <v>2904</v>
      </c>
      <c r="C1004" s="24">
        <v>5746</v>
      </c>
      <c r="D1004" s="4">
        <v>46093</v>
      </c>
      <c r="E1004" t="str">
        <f>VLOOKUP($A1004,Sheet4!$A:$B,2,0)</f>
        <v>Talenti Mediterranean Mint 8p 473ml</v>
      </c>
      <c r="F1004" s="3" t="s">
        <v>27</v>
      </c>
    </row>
    <row r="1005" spans="1:6" x14ac:dyDescent="0.25">
      <c r="A1005" s="3">
        <v>65458353</v>
      </c>
      <c r="B1005" s="3">
        <v>2904</v>
      </c>
      <c r="C1005" s="24">
        <v>0</v>
      </c>
      <c r="D1005" s="4">
        <v>46085</v>
      </c>
      <c r="E1005" t="str">
        <f>VLOOKUP($A1005,Sheet4!$A:$B,2,0)</f>
        <v>BJ R01-SUN-StrawBaeShortcake-8 427ML</v>
      </c>
      <c r="F1005" s="3" t="s">
        <v>46</v>
      </c>
    </row>
    <row r="1006" spans="1:6" x14ac:dyDescent="0.25">
      <c r="A1006" s="3">
        <v>65458353</v>
      </c>
      <c r="B1006" s="3">
        <v>2904</v>
      </c>
      <c r="C1006" s="24">
        <v>7680</v>
      </c>
      <c r="D1006" s="4">
        <v>46086</v>
      </c>
      <c r="E1006" t="str">
        <f>VLOOKUP($A1006,Sheet4!$A:$B,2,0)</f>
        <v>BJ R01-SUN-StrawBaeShortcake-8 427ML</v>
      </c>
      <c r="F1006" s="3" t="s">
        <v>46</v>
      </c>
    </row>
    <row r="1007" spans="1:6" x14ac:dyDescent="0.25">
      <c r="A1007" s="3">
        <v>65458353</v>
      </c>
      <c r="B1007" s="3">
        <v>2904</v>
      </c>
      <c r="C1007" s="24">
        <v>382</v>
      </c>
      <c r="D1007" s="4">
        <v>46087</v>
      </c>
      <c r="E1007" t="str">
        <f>VLOOKUP($A1007,Sheet4!$A:$B,2,0)</f>
        <v>BJ R01-SUN-StrawBaeShortcake-8 427ML</v>
      </c>
      <c r="F1007" s="3" t="s">
        <v>46</v>
      </c>
    </row>
    <row r="1008" spans="1:6" x14ac:dyDescent="0.25">
      <c r="A1008" s="3">
        <v>65459033</v>
      </c>
      <c r="B1008" s="3">
        <v>2904</v>
      </c>
      <c r="C1008" s="24">
        <v>15</v>
      </c>
      <c r="D1008" s="4">
        <v>46097</v>
      </c>
      <c r="E1008" t="str">
        <f>VLOOKUP($A1008,Sheet4!$A:$B,2,0)</f>
        <v>BR Strawberry Shortcake 8 1PT</v>
      </c>
      <c r="F1008" s="3" t="s">
        <v>54</v>
      </c>
    </row>
    <row r="1009" spans="1:6" x14ac:dyDescent="0.25">
      <c r="A1009" s="3">
        <v>65471855</v>
      </c>
      <c r="B1009" s="3">
        <v>2904</v>
      </c>
      <c r="C1009" s="24">
        <v>960</v>
      </c>
      <c r="D1009" s="4">
        <v>46076</v>
      </c>
      <c r="E1009" t="str">
        <f>VLOOKUP($A1009,Sheet4!$A:$B,2,0)</f>
        <v>BR Creamsicle 8 1PT</v>
      </c>
      <c r="F1009" s="3" t="s">
        <v>54</v>
      </c>
    </row>
    <row r="1010" spans="1:6" x14ac:dyDescent="0.25">
      <c r="A1010" s="3">
        <v>65594416</v>
      </c>
      <c r="B1010" s="3">
        <v>2904</v>
      </c>
      <c r="C1010" s="24">
        <v>3456</v>
      </c>
      <c r="D1010" s="4">
        <v>46100</v>
      </c>
      <c r="E1010" t="str">
        <f>VLOOKUP($A1010,Sheet4!$A:$B,2,0)</f>
        <v>MG Bars Dubai Chocolate 1-12pk</v>
      </c>
      <c r="F1010" s="3" t="s">
        <v>61</v>
      </c>
    </row>
    <row r="1011" spans="1:6" x14ac:dyDescent="0.25">
      <c r="A1011" s="3">
        <v>65594416</v>
      </c>
      <c r="B1011" s="3">
        <v>2904</v>
      </c>
      <c r="C1011" s="24">
        <v>5532</v>
      </c>
      <c r="D1011" s="4">
        <v>46101</v>
      </c>
      <c r="E1011" t="str">
        <f>VLOOKUP($A1011,Sheet4!$A:$B,2,0)</f>
        <v>MG Bars Dubai Chocolate 1-12pk</v>
      </c>
      <c r="F1011" s="3" t="s">
        <v>61</v>
      </c>
    </row>
    <row r="1012" spans="1:6" x14ac:dyDescent="0.25">
      <c r="A1012" s="3">
        <v>65594416</v>
      </c>
      <c r="B1012" s="3">
        <v>2904</v>
      </c>
      <c r="C1012" s="24">
        <v>8405</v>
      </c>
      <c r="D1012" s="4">
        <v>46101</v>
      </c>
      <c r="E1012" t="str">
        <f>VLOOKUP($A1012,Sheet4!$A:$B,2,0)</f>
        <v>MG Bars Dubai Chocolate 1-12pk</v>
      </c>
      <c r="F1012" s="3" t="s">
        <v>61</v>
      </c>
    </row>
    <row r="1013" spans="1:6" x14ac:dyDescent="0.25">
      <c r="A1013" s="3">
        <v>65594416</v>
      </c>
      <c r="B1013" s="3">
        <v>2904</v>
      </c>
      <c r="C1013" s="24">
        <v>9263</v>
      </c>
      <c r="D1013" s="4">
        <v>46102</v>
      </c>
      <c r="E1013" t="str">
        <f>VLOOKUP($A1013,Sheet4!$A:$B,2,0)</f>
        <v>MG Bars Dubai Chocolate 1-12pk</v>
      </c>
      <c r="F1013" s="3" t="s">
        <v>61</v>
      </c>
    </row>
    <row r="1014" spans="1:6" x14ac:dyDescent="0.25">
      <c r="A1014" s="3">
        <v>65594416</v>
      </c>
      <c r="B1014" s="3">
        <v>2904</v>
      </c>
      <c r="C1014" s="24">
        <v>19871</v>
      </c>
      <c r="D1014" s="4">
        <v>46102</v>
      </c>
      <c r="E1014" t="str">
        <f>VLOOKUP($A1014,Sheet4!$A:$B,2,0)</f>
        <v>MG Bars Dubai Chocolate 1-12pk</v>
      </c>
      <c r="F1014" s="3" t="s">
        <v>61</v>
      </c>
    </row>
    <row r="1015" spans="1:6" x14ac:dyDescent="0.25">
      <c r="A1015" s="3">
        <v>65594416</v>
      </c>
      <c r="B1015" s="3">
        <v>2904</v>
      </c>
      <c r="C1015" s="24">
        <v>14256</v>
      </c>
      <c r="D1015" s="4">
        <v>46103</v>
      </c>
      <c r="E1015" t="str">
        <f>VLOOKUP($A1015,Sheet4!$A:$B,2,0)</f>
        <v>MG Bars Dubai Chocolate 1-12pk</v>
      </c>
      <c r="F1015" s="3" t="s">
        <v>61</v>
      </c>
    </row>
    <row r="1016" spans="1:6" x14ac:dyDescent="0.25">
      <c r="A1016" s="3">
        <v>65594416</v>
      </c>
      <c r="B1016" s="3">
        <v>2904</v>
      </c>
      <c r="C1016" s="24">
        <v>10629</v>
      </c>
      <c r="D1016" s="4">
        <v>46103</v>
      </c>
      <c r="E1016" t="str">
        <f>VLOOKUP($A1016,Sheet4!$A:$B,2,0)</f>
        <v>MG Bars Dubai Chocolate 1-12pk</v>
      </c>
      <c r="F1016" s="3" t="s">
        <v>61</v>
      </c>
    </row>
    <row r="1017" spans="1:6" x14ac:dyDescent="0.25">
      <c r="A1017" s="3">
        <v>65594416</v>
      </c>
      <c r="B1017" s="3">
        <v>2904</v>
      </c>
      <c r="C1017" s="24">
        <v>11118</v>
      </c>
      <c r="D1017" s="4">
        <v>46104</v>
      </c>
      <c r="E1017" t="str">
        <f>VLOOKUP($A1017,Sheet4!$A:$B,2,0)</f>
        <v>MG Bars Dubai Chocolate 1-12pk</v>
      </c>
      <c r="F1017" s="3" t="s">
        <v>61</v>
      </c>
    </row>
    <row r="1018" spans="1:6" x14ac:dyDescent="0.25">
      <c r="A1018" s="3">
        <v>65594416</v>
      </c>
      <c r="B1018" s="3">
        <v>2904</v>
      </c>
      <c r="C1018" s="24">
        <v>7479</v>
      </c>
      <c r="D1018" s="4">
        <v>46104</v>
      </c>
      <c r="E1018" t="str">
        <f>VLOOKUP($A1018,Sheet4!$A:$B,2,0)</f>
        <v>MG Bars Dubai Chocolate 1-12pk</v>
      </c>
      <c r="F1018" s="3" t="s">
        <v>61</v>
      </c>
    </row>
    <row r="1019" spans="1:6" x14ac:dyDescent="0.25">
      <c r="A1019" s="3">
        <v>65594416</v>
      </c>
      <c r="B1019" s="3">
        <v>2904</v>
      </c>
      <c r="C1019" s="24">
        <v>12744</v>
      </c>
      <c r="D1019" s="4">
        <v>46105</v>
      </c>
      <c r="E1019" t="str">
        <f>VLOOKUP($A1019,Sheet4!$A:$B,2,0)</f>
        <v>MG Bars Dubai Chocolate 1-12pk</v>
      </c>
      <c r="F1019" s="3" t="s">
        <v>61</v>
      </c>
    </row>
    <row r="1020" spans="1:6" x14ac:dyDescent="0.25">
      <c r="A1020" s="3">
        <v>65594416</v>
      </c>
      <c r="B1020" s="3">
        <v>2904</v>
      </c>
      <c r="C1020" s="24">
        <v>16722</v>
      </c>
      <c r="D1020" s="4">
        <v>46105</v>
      </c>
      <c r="E1020" t="str">
        <f>VLOOKUP($A1020,Sheet4!$A:$B,2,0)</f>
        <v>MG Bars Dubai Chocolate 1-12pk</v>
      </c>
      <c r="F1020" s="3" t="s">
        <v>61</v>
      </c>
    </row>
    <row r="1021" spans="1:6" x14ac:dyDescent="0.25">
      <c r="A1021" s="3">
        <v>67826412</v>
      </c>
      <c r="B1021" s="3">
        <v>2904</v>
      </c>
      <c r="C1021" s="24">
        <v>120</v>
      </c>
      <c r="D1021" s="4">
        <v>46076</v>
      </c>
      <c r="E1021" t="str">
        <f>VLOOKUP($A1021,Sheet4!$A:$B,2,0)</f>
        <v>BJ US-IC-ChunkyMonkey-FTNG-8 1PT</v>
      </c>
      <c r="F1021" s="3" t="s">
        <v>54</v>
      </c>
    </row>
    <row r="1022" spans="1:6" x14ac:dyDescent="0.25">
      <c r="A1022" s="3">
        <v>67826412</v>
      </c>
      <c r="B1022" s="3">
        <v>2904</v>
      </c>
      <c r="C1022" s="24">
        <v>10884</v>
      </c>
      <c r="D1022" s="4">
        <v>46092</v>
      </c>
      <c r="E1022" t="str">
        <f>VLOOKUP($A1022,Sheet4!$A:$B,2,0)</f>
        <v>BJ US-IC-ChunkyMonkey-FTNG-8 1PT</v>
      </c>
      <c r="F1022" s="3" t="s">
        <v>54</v>
      </c>
    </row>
    <row r="1023" spans="1:6" x14ac:dyDescent="0.25">
      <c r="A1023" s="3">
        <v>67826412</v>
      </c>
      <c r="B1023" s="3">
        <v>2904</v>
      </c>
      <c r="C1023" s="24">
        <v>9360</v>
      </c>
      <c r="D1023" s="4">
        <v>46093</v>
      </c>
      <c r="E1023" t="str">
        <f>VLOOKUP($A1023,Sheet4!$A:$B,2,0)</f>
        <v>BJ US-IC-ChunkyMonkey-FTNG-8 1PT</v>
      </c>
      <c r="F1023" s="3" t="s">
        <v>54</v>
      </c>
    </row>
    <row r="1024" spans="1:6" x14ac:dyDescent="0.25">
      <c r="A1024" s="3">
        <v>67826412</v>
      </c>
      <c r="B1024" s="3">
        <v>2904</v>
      </c>
      <c r="C1024" s="24">
        <v>10800</v>
      </c>
      <c r="D1024" s="4">
        <v>46093</v>
      </c>
      <c r="E1024" t="str">
        <f>VLOOKUP($A1024,Sheet4!$A:$B,2,0)</f>
        <v>BJ US-IC-ChunkyMonkey-FTNG-8 1PT</v>
      </c>
      <c r="F1024" s="3" t="s">
        <v>54</v>
      </c>
    </row>
    <row r="1025" spans="1:6" x14ac:dyDescent="0.25">
      <c r="A1025" s="3">
        <v>67826412</v>
      </c>
      <c r="B1025" s="3">
        <v>2904</v>
      </c>
      <c r="C1025" s="24">
        <v>8321</v>
      </c>
      <c r="D1025" s="4">
        <v>46094</v>
      </c>
      <c r="E1025" t="str">
        <f>VLOOKUP($A1025,Sheet4!$A:$B,2,0)</f>
        <v>BJ US-IC-ChunkyMonkey-FTNG-8 1PT</v>
      </c>
      <c r="F1025" s="3" t="s">
        <v>54</v>
      </c>
    </row>
    <row r="1026" spans="1:6" x14ac:dyDescent="0.25">
      <c r="A1026" s="3">
        <v>67826412</v>
      </c>
      <c r="B1026" s="3">
        <v>2904</v>
      </c>
      <c r="C1026" s="24">
        <v>-481</v>
      </c>
      <c r="D1026" s="4">
        <v>46100</v>
      </c>
      <c r="E1026" t="str">
        <f>VLOOKUP($A1026,Sheet4!$A:$B,2,0)</f>
        <v>BJ US-IC-ChunkyMonkey-FTNG-8 1PT</v>
      </c>
      <c r="F1026" s="3" t="s">
        <v>54</v>
      </c>
    </row>
    <row r="1027" spans="1:6" x14ac:dyDescent="0.25">
      <c r="A1027" s="3">
        <v>67826412</v>
      </c>
      <c r="B1027" s="3">
        <v>2904</v>
      </c>
      <c r="C1027" s="24">
        <v>9600</v>
      </c>
      <c r="D1027" s="4">
        <v>46094</v>
      </c>
      <c r="E1027" t="str">
        <f>VLOOKUP($A1027,Sheet4!$A:$B,2,0)</f>
        <v>BJ US-IC-ChunkyMonkey-FTNG-8 1PT</v>
      </c>
      <c r="F1027" s="3" t="s">
        <v>54</v>
      </c>
    </row>
    <row r="1028" spans="1:6" x14ac:dyDescent="0.25">
      <c r="A1028" s="3">
        <v>67826412</v>
      </c>
      <c r="B1028" s="3">
        <v>2904</v>
      </c>
      <c r="C1028" s="24">
        <v>240</v>
      </c>
      <c r="D1028" s="4">
        <v>46095</v>
      </c>
      <c r="E1028" t="str">
        <f>VLOOKUP($A1028,Sheet4!$A:$B,2,0)</f>
        <v>BJ US-IC-ChunkyMonkey-FTNG-8 1PT</v>
      </c>
      <c r="F1028" s="3" t="s">
        <v>54</v>
      </c>
    </row>
    <row r="1029" spans="1:6" x14ac:dyDescent="0.25">
      <c r="A1029" s="3">
        <v>67826412</v>
      </c>
      <c r="B1029" s="3">
        <v>2904</v>
      </c>
      <c r="C1029" s="24">
        <v>196</v>
      </c>
      <c r="D1029" s="4">
        <v>46097</v>
      </c>
      <c r="E1029" t="str">
        <f>VLOOKUP($A1029,Sheet4!$A:$B,2,0)</f>
        <v>BJ US-IC-ChunkyMonkey-FTNG-8 1PT</v>
      </c>
      <c r="F1029" s="3" t="s">
        <v>54</v>
      </c>
    </row>
    <row r="1030" spans="1:6" x14ac:dyDescent="0.25">
      <c r="A1030" s="3">
        <v>67826412</v>
      </c>
      <c r="B1030" s="3">
        <v>2904</v>
      </c>
      <c r="C1030" s="24">
        <v>2400</v>
      </c>
      <c r="D1030" s="4">
        <v>46092</v>
      </c>
      <c r="E1030" t="str">
        <f>VLOOKUP($A1030,Sheet4!$A:$B,2,0)</f>
        <v>BJ US-IC-ChunkyMonkey-FTNG-8 1PT</v>
      </c>
      <c r="F1030" s="3" t="s">
        <v>54</v>
      </c>
    </row>
    <row r="1031" spans="1:6" x14ac:dyDescent="0.25">
      <c r="A1031" s="3">
        <v>68354587</v>
      </c>
      <c r="B1031" s="3">
        <v>2904</v>
      </c>
      <c r="C1031" s="24">
        <v>6404</v>
      </c>
      <c r="D1031" s="4">
        <v>46100</v>
      </c>
      <c r="E1031" t="str">
        <f>VLOOKUP($A1031,Sheet4!$A:$B,2,0)</f>
        <v>BJ US-TOP-TIRAMISU-8 450ml</v>
      </c>
      <c r="F1031" s="3" t="s">
        <v>46</v>
      </c>
    </row>
    <row r="1032" spans="1:6" x14ac:dyDescent="0.25">
      <c r="A1032" s="3">
        <v>68354587</v>
      </c>
      <c r="B1032" s="3">
        <v>2904</v>
      </c>
      <c r="C1032" s="24">
        <v>8720</v>
      </c>
      <c r="D1032" s="4">
        <v>46101</v>
      </c>
      <c r="E1032" t="str">
        <f>VLOOKUP($A1032,Sheet4!$A:$B,2,0)</f>
        <v>BJ US-TOP-TIRAMISU-8 450ml</v>
      </c>
      <c r="F1032" s="3" t="s">
        <v>46</v>
      </c>
    </row>
    <row r="1033" spans="1:6" x14ac:dyDescent="0.25">
      <c r="A1033" s="3">
        <v>68354587</v>
      </c>
      <c r="B1033" s="3">
        <v>2904</v>
      </c>
      <c r="C1033" s="24">
        <v>10136</v>
      </c>
      <c r="D1033" s="4">
        <v>46101</v>
      </c>
      <c r="E1033" t="str">
        <f>VLOOKUP($A1033,Sheet4!$A:$B,2,0)</f>
        <v>BJ US-TOP-TIRAMISU-8 450ml</v>
      </c>
      <c r="F1033" s="3" t="s">
        <v>46</v>
      </c>
    </row>
    <row r="1034" spans="1:6" x14ac:dyDescent="0.25">
      <c r="A1034" s="3">
        <v>68354587</v>
      </c>
      <c r="B1034" s="3">
        <v>2904</v>
      </c>
      <c r="C1034" s="24">
        <v>5531</v>
      </c>
      <c r="D1034" s="4">
        <v>46102</v>
      </c>
      <c r="E1034" t="str">
        <f>VLOOKUP($A1034,Sheet4!$A:$B,2,0)</f>
        <v>BJ US-TOP-TIRAMISU-8 450ml</v>
      </c>
      <c r="F1034" s="3" t="s">
        <v>46</v>
      </c>
    </row>
    <row r="1035" spans="1:6" x14ac:dyDescent="0.25">
      <c r="A1035" s="3">
        <v>68354588</v>
      </c>
      <c r="B1035" s="3">
        <v>2904</v>
      </c>
      <c r="C1035" s="24">
        <v>4695</v>
      </c>
      <c r="D1035" s="4">
        <v>46076</v>
      </c>
      <c r="E1035" t="str">
        <f>VLOOKUP($A1035,Sheet4!$A:$B,2,0)</f>
        <v>BJ US-TOP-SLTDCRMLBRWNIE-8 450ml</v>
      </c>
      <c r="F1035" s="3" t="s">
        <v>46</v>
      </c>
    </row>
    <row r="1036" spans="1:6" x14ac:dyDescent="0.25">
      <c r="A1036" s="3">
        <v>68354588</v>
      </c>
      <c r="B1036" s="3">
        <v>2904</v>
      </c>
      <c r="C1036" s="24">
        <v>7398</v>
      </c>
      <c r="D1036" s="4">
        <v>46077</v>
      </c>
      <c r="E1036" t="str">
        <f>VLOOKUP($A1036,Sheet4!$A:$B,2,0)</f>
        <v>BJ US-TOP-SLTDCRMLBRWNIE-8 450ml</v>
      </c>
      <c r="F1036" s="3" t="s">
        <v>46</v>
      </c>
    </row>
    <row r="1037" spans="1:6" x14ac:dyDescent="0.25">
      <c r="A1037" s="3">
        <v>68354588</v>
      </c>
      <c r="B1037" s="3">
        <v>2904</v>
      </c>
      <c r="C1037" s="24">
        <v>-15</v>
      </c>
      <c r="D1037" s="4">
        <v>46094</v>
      </c>
      <c r="E1037" t="str">
        <f>VLOOKUP($A1037,Sheet4!$A:$B,2,0)</f>
        <v>BJ US-TOP-SLTDCRMLBRWNIE-8 450ml</v>
      </c>
      <c r="F1037" s="3" t="s">
        <v>46</v>
      </c>
    </row>
    <row r="1038" spans="1:6" x14ac:dyDescent="0.25">
      <c r="A1038" s="3">
        <v>68354588</v>
      </c>
      <c r="B1038" s="3">
        <v>2904</v>
      </c>
      <c r="C1038" s="24">
        <v>11430</v>
      </c>
      <c r="D1038" s="4">
        <v>46077</v>
      </c>
      <c r="E1038" t="str">
        <f>VLOOKUP($A1038,Sheet4!$A:$B,2,0)</f>
        <v>BJ US-TOP-SLTDCRMLBRWNIE-8 450ml</v>
      </c>
      <c r="F1038" s="3" t="s">
        <v>46</v>
      </c>
    </row>
    <row r="1039" spans="1:6" x14ac:dyDescent="0.25">
      <c r="A1039" s="3">
        <v>68354588</v>
      </c>
      <c r="B1039" s="3">
        <v>2904</v>
      </c>
      <c r="C1039" s="24">
        <v>8635</v>
      </c>
      <c r="D1039" s="4">
        <v>46078</v>
      </c>
      <c r="E1039" t="str">
        <f>VLOOKUP($A1039,Sheet4!$A:$B,2,0)</f>
        <v>BJ US-TOP-SLTDCRMLBRWNIE-8 450ml</v>
      </c>
      <c r="F1039" s="3" t="s">
        <v>46</v>
      </c>
    </row>
    <row r="1040" spans="1:6" x14ac:dyDescent="0.25">
      <c r="A1040" s="3">
        <v>68354588</v>
      </c>
      <c r="B1040" s="3">
        <v>2904</v>
      </c>
      <c r="C1040" s="24">
        <v>-229</v>
      </c>
      <c r="D1040" s="4">
        <v>46080</v>
      </c>
      <c r="E1040" t="str">
        <f>VLOOKUP($A1040,Sheet4!$A:$B,2,0)</f>
        <v>BJ US-TOP-SLTDCRMLBRWNIE-8 450ml</v>
      </c>
      <c r="F1040" s="3" t="s">
        <v>46</v>
      </c>
    </row>
    <row r="1041" spans="1:6" x14ac:dyDescent="0.25">
      <c r="A1041" s="3">
        <v>68354588</v>
      </c>
      <c r="B1041" s="3">
        <v>2904</v>
      </c>
      <c r="C1041" s="24">
        <v>11369</v>
      </c>
      <c r="D1041" s="4">
        <v>46078</v>
      </c>
      <c r="E1041" t="str">
        <f>VLOOKUP($A1041,Sheet4!$A:$B,2,0)</f>
        <v>BJ US-TOP-SLTDCRMLBRWNIE-8 450ml</v>
      </c>
      <c r="F1041" s="3" t="s">
        <v>46</v>
      </c>
    </row>
    <row r="1042" spans="1:6" x14ac:dyDescent="0.25">
      <c r="A1042" s="3">
        <v>68354588</v>
      </c>
      <c r="B1042" s="3">
        <v>2904</v>
      </c>
      <c r="C1042" s="24">
        <v>6880</v>
      </c>
      <c r="D1042" s="4">
        <v>46079</v>
      </c>
      <c r="E1042" t="str">
        <f>VLOOKUP($A1042,Sheet4!$A:$B,2,0)</f>
        <v>BJ US-TOP-SLTDCRMLBRWNIE-8 450ml</v>
      </c>
      <c r="F1042" s="3" t="s">
        <v>46</v>
      </c>
    </row>
    <row r="1043" spans="1:6" x14ac:dyDescent="0.25">
      <c r="A1043" s="3">
        <v>68626039</v>
      </c>
      <c r="B1043" s="3">
        <v>2904</v>
      </c>
      <c r="C1043" s="24">
        <v>1859</v>
      </c>
      <c r="D1043" s="4">
        <v>46097</v>
      </c>
      <c r="E1043" t="str">
        <f>VLOOKUP($A1043,Sheet4!$A:$B,2,0)</f>
        <v>BR Cookies and Cream 8 1PT</v>
      </c>
      <c r="F1043" s="3" t="s">
        <v>46</v>
      </c>
    </row>
    <row r="1044" spans="1:6" x14ac:dyDescent="0.25">
      <c r="A1044" s="3">
        <v>68626039</v>
      </c>
      <c r="B1044" s="3">
        <v>2904</v>
      </c>
      <c r="C1044" s="24">
        <v>5993</v>
      </c>
      <c r="D1044" s="4">
        <v>46098</v>
      </c>
      <c r="E1044" t="str">
        <f>VLOOKUP($A1044,Sheet4!$A:$B,2,0)</f>
        <v>BR Cookies and Cream 8 1PT</v>
      </c>
      <c r="F1044" s="3" t="s">
        <v>46</v>
      </c>
    </row>
    <row r="1045" spans="1:6" x14ac:dyDescent="0.25">
      <c r="A1045" s="3">
        <v>68626039</v>
      </c>
      <c r="B1045" s="3">
        <v>2904</v>
      </c>
      <c r="C1045" s="24">
        <v>9232</v>
      </c>
      <c r="D1045" s="4">
        <v>46098</v>
      </c>
      <c r="E1045" t="str">
        <f>VLOOKUP($A1045,Sheet4!$A:$B,2,0)</f>
        <v>BR Cookies and Cream 8 1PT</v>
      </c>
      <c r="F1045" s="3" t="s">
        <v>46</v>
      </c>
    </row>
    <row r="1046" spans="1:6" x14ac:dyDescent="0.25">
      <c r="A1046" s="3">
        <v>68626039</v>
      </c>
      <c r="B1046" s="3">
        <v>2904</v>
      </c>
      <c r="C1046" s="24">
        <v>7416</v>
      </c>
      <c r="D1046" s="4">
        <v>46099</v>
      </c>
      <c r="E1046" t="str">
        <f>VLOOKUP($A1046,Sheet4!$A:$B,2,0)</f>
        <v>BR Cookies and Cream 8 1PT</v>
      </c>
      <c r="F1046" s="3" t="s">
        <v>46</v>
      </c>
    </row>
    <row r="1047" spans="1:6" x14ac:dyDescent="0.25">
      <c r="A1047" s="3">
        <v>68626039</v>
      </c>
      <c r="B1047" s="3">
        <v>2904</v>
      </c>
      <c r="C1047" s="24">
        <v>11379</v>
      </c>
      <c r="D1047" s="4">
        <v>46099</v>
      </c>
      <c r="E1047" t="str">
        <f>VLOOKUP($A1047,Sheet4!$A:$B,2,0)</f>
        <v>BR Cookies and Cream 8 1PT</v>
      </c>
      <c r="F1047" s="3" t="s">
        <v>46</v>
      </c>
    </row>
    <row r="1048" spans="1:6" x14ac:dyDescent="0.25">
      <c r="A1048" s="3">
        <v>68626039</v>
      </c>
      <c r="B1048" s="3">
        <v>2904</v>
      </c>
      <c r="C1048" s="24">
        <v>2147</v>
      </c>
      <c r="D1048" s="4">
        <v>46100</v>
      </c>
      <c r="E1048" t="str">
        <f>VLOOKUP($A1048,Sheet4!$A:$B,2,0)</f>
        <v>BR Cookies and Cream 8 1PT</v>
      </c>
      <c r="F1048" s="3" t="s">
        <v>46</v>
      </c>
    </row>
    <row r="1049" spans="1:6" x14ac:dyDescent="0.25">
      <c r="A1049" s="3">
        <v>68649095</v>
      </c>
      <c r="B1049" s="3">
        <v>2904</v>
      </c>
      <c r="C1049" s="24">
        <v>8922</v>
      </c>
      <c r="D1049" s="4">
        <v>46092</v>
      </c>
      <c r="E1049" t="str">
        <f>VLOOKUP($A1049,Sheet4!$A:$B,2,0)</f>
        <v>BJ US-TOP-DirtCake-8 450ML</v>
      </c>
      <c r="F1049" s="3" t="s">
        <v>46</v>
      </c>
    </row>
    <row r="1050" spans="1:6" x14ac:dyDescent="0.25">
      <c r="A1050" s="3">
        <v>68649095</v>
      </c>
      <c r="B1050" s="3">
        <v>2904</v>
      </c>
      <c r="C1050" s="24">
        <v>6584</v>
      </c>
      <c r="D1050" s="4">
        <v>46093</v>
      </c>
      <c r="E1050" t="str">
        <f>VLOOKUP($A1050,Sheet4!$A:$B,2,0)</f>
        <v>BJ US-TOP-DirtCake-8 450ML</v>
      </c>
      <c r="F1050" s="3" t="s">
        <v>46</v>
      </c>
    </row>
    <row r="1051" spans="1:6" x14ac:dyDescent="0.25">
      <c r="A1051" s="3">
        <v>68649095</v>
      </c>
      <c r="B1051" s="3">
        <v>2904</v>
      </c>
      <c r="C1051" s="24">
        <v>3000</v>
      </c>
      <c r="D1051" s="4">
        <v>46090</v>
      </c>
      <c r="E1051" t="str">
        <f>VLOOKUP($A1051,Sheet4!$A:$B,2,0)</f>
        <v>BJ US-TOP-DirtCake-8 450ML</v>
      </c>
      <c r="F1051" s="3" t="s">
        <v>46</v>
      </c>
    </row>
    <row r="1052" spans="1:6" x14ac:dyDescent="0.25">
      <c r="A1052" s="3">
        <v>68649095</v>
      </c>
      <c r="B1052" s="3">
        <v>2904</v>
      </c>
      <c r="C1052" s="24">
        <v>7805</v>
      </c>
      <c r="D1052" s="4">
        <v>46091</v>
      </c>
      <c r="E1052" t="str">
        <f>VLOOKUP($A1052,Sheet4!$A:$B,2,0)</f>
        <v>BJ US-TOP-DirtCake-8 450ML</v>
      </c>
      <c r="F1052" s="3" t="s">
        <v>46</v>
      </c>
    </row>
    <row r="1053" spans="1:6" x14ac:dyDescent="0.25">
      <c r="A1053" s="3">
        <v>68649095</v>
      </c>
      <c r="B1053" s="3">
        <v>2904</v>
      </c>
      <c r="C1053" s="24">
        <v>4742</v>
      </c>
      <c r="D1053" s="4">
        <v>46091</v>
      </c>
      <c r="E1053" t="str">
        <f>VLOOKUP($A1053,Sheet4!$A:$B,2,0)</f>
        <v>BJ US-TOP-DirtCake-8 450ML</v>
      </c>
      <c r="F1053" s="3" t="s">
        <v>46</v>
      </c>
    </row>
    <row r="1054" spans="1:6" x14ac:dyDescent="0.25">
      <c r="A1054" s="3">
        <v>68649095</v>
      </c>
      <c r="B1054" s="3">
        <v>2904</v>
      </c>
      <c r="C1054" s="24">
        <v>5424</v>
      </c>
      <c r="D1054" s="4">
        <v>46092</v>
      </c>
      <c r="E1054" t="str">
        <f>VLOOKUP($A1054,Sheet4!$A:$B,2,0)</f>
        <v>BJ US-TOP-DirtCake-8 450ML</v>
      </c>
      <c r="F1054" s="3" t="s">
        <v>46</v>
      </c>
    </row>
    <row r="1055" spans="1:6" x14ac:dyDescent="0.25">
      <c r="A1055" s="3">
        <v>68649095</v>
      </c>
      <c r="B1055" s="3">
        <v>2904</v>
      </c>
      <c r="C1055" s="24">
        <v>675</v>
      </c>
      <c r="D1055" s="4">
        <v>46093</v>
      </c>
      <c r="E1055" t="str">
        <f>VLOOKUP($A1055,Sheet4!$A:$B,2,0)</f>
        <v>BJ US-TOP-DirtCake-8 450ML</v>
      </c>
      <c r="F1055" s="3" t="s">
        <v>46</v>
      </c>
    </row>
    <row r="1056" spans="1:6" x14ac:dyDescent="0.25">
      <c r="A1056" s="3">
        <v>68649095</v>
      </c>
      <c r="B1056" s="3">
        <v>2904</v>
      </c>
      <c r="C1056" s="24">
        <v>-30</v>
      </c>
      <c r="D1056" s="4">
        <v>46104</v>
      </c>
      <c r="E1056" t="str">
        <f>VLOOKUP($A1056,Sheet4!$A:$B,2,0)</f>
        <v>BJ US-TOP-DirtCake-8 450ML</v>
      </c>
      <c r="F1056" s="3" t="s">
        <v>46</v>
      </c>
    </row>
    <row r="1057" spans="1:6" x14ac:dyDescent="0.25">
      <c r="A1057" s="3">
        <v>68649095</v>
      </c>
      <c r="B1057" s="3">
        <v>2904</v>
      </c>
      <c r="C1057" s="24">
        <v>8629</v>
      </c>
      <c r="D1057" s="4">
        <v>46093</v>
      </c>
      <c r="E1057" t="str">
        <f>VLOOKUP($A1057,Sheet4!$A:$B,2,0)</f>
        <v>BJ US-TOP-DirtCake-8 450ML</v>
      </c>
      <c r="F1057" s="3" t="s">
        <v>46</v>
      </c>
    </row>
    <row r="1058" spans="1:6" x14ac:dyDescent="0.25">
      <c r="A1058" s="3">
        <v>68649095</v>
      </c>
      <c r="B1058" s="3">
        <v>2904</v>
      </c>
      <c r="C1058" s="24">
        <v>-240</v>
      </c>
      <c r="D1058" s="4">
        <v>46100</v>
      </c>
      <c r="E1058" t="str">
        <f>VLOOKUP($A1058,Sheet4!$A:$B,2,0)</f>
        <v>BJ US-TOP-DirtCake-8 450ML</v>
      </c>
      <c r="F1058" s="3" t="s">
        <v>46</v>
      </c>
    </row>
    <row r="1059" spans="1:6" x14ac:dyDescent="0.25">
      <c r="A1059" s="3">
        <v>68649097</v>
      </c>
      <c r="B1059" s="3">
        <v>2904</v>
      </c>
      <c r="C1059" s="24">
        <v>720</v>
      </c>
      <c r="D1059" s="4">
        <v>46094</v>
      </c>
      <c r="E1059" t="str">
        <f>VLOOKUP($A1059,Sheet4!$A:$B,2,0)</f>
        <v>BJ US-TOP-RaspCheesecake-8 450ML</v>
      </c>
      <c r="F1059" s="3" t="s">
        <v>46</v>
      </c>
    </row>
    <row r="1060" spans="1:6" x14ac:dyDescent="0.25">
      <c r="A1060" s="3">
        <v>68649097</v>
      </c>
      <c r="B1060" s="3">
        <v>2904</v>
      </c>
      <c r="C1060" s="24">
        <v>11204</v>
      </c>
      <c r="D1060" s="4">
        <v>46094</v>
      </c>
      <c r="E1060" t="str">
        <f>VLOOKUP($A1060,Sheet4!$A:$B,2,0)</f>
        <v>BJ US-TOP-RaspCheesecake-8 450ML</v>
      </c>
      <c r="F1060" s="3" t="s">
        <v>46</v>
      </c>
    </row>
    <row r="1061" spans="1:6" x14ac:dyDescent="0.25">
      <c r="A1061" s="3">
        <v>68649097</v>
      </c>
      <c r="B1061" s="3">
        <v>2904</v>
      </c>
      <c r="C1061" s="24">
        <v>5284</v>
      </c>
      <c r="D1061" s="4">
        <v>46095</v>
      </c>
      <c r="E1061" t="str">
        <f>VLOOKUP($A1061,Sheet4!$A:$B,2,0)</f>
        <v>BJ US-TOP-RaspCheesecake-8 450ML</v>
      </c>
      <c r="F1061" s="3" t="s">
        <v>46</v>
      </c>
    </row>
    <row r="1062" spans="1:6" x14ac:dyDescent="0.25">
      <c r="A1062" s="3">
        <v>68649097</v>
      </c>
      <c r="B1062" s="3">
        <v>2904</v>
      </c>
      <c r="C1062" s="24">
        <v>0</v>
      </c>
      <c r="D1062" s="4">
        <v>46097</v>
      </c>
      <c r="E1062" t="str">
        <f>VLOOKUP($A1062,Sheet4!$A:$B,2,0)</f>
        <v>BJ US-TOP-RaspCheesecake-8 450ML</v>
      </c>
      <c r="F1062" s="3" t="s">
        <v>46</v>
      </c>
    </row>
    <row r="1063" spans="1:6" x14ac:dyDescent="0.25">
      <c r="A1063" s="3">
        <v>68654238</v>
      </c>
      <c r="B1063" s="3">
        <v>2904</v>
      </c>
      <c r="C1063" s="24">
        <v>3762</v>
      </c>
      <c r="D1063" s="4">
        <v>46090</v>
      </c>
      <c r="E1063" t="str">
        <f>VLOOKUP($A1063,Sheet4!$A:$B,2,0)</f>
        <v>BJ US-IC-DublinMudslide-8 1PT</v>
      </c>
      <c r="F1063" s="3" t="s">
        <v>54</v>
      </c>
    </row>
    <row r="1064" spans="1:6" x14ac:dyDescent="0.25">
      <c r="A1064" s="3">
        <v>68654238</v>
      </c>
      <c r="B1064" s="3">
        <v>2904</v>
      </c>
      <c r="C1064" s="24">
        <v>9933</v>
      </c>
      <c r="D1064" s="4">
        <v>46091</v>
      </c>
      <c r="E1064" t="str">
        <f>VLOOKUP($A1064,Sheet4!$A:$B,2,0)</f>
        <v>BJ US-IC-DublinMudslide-8 1PT</v>
      </c>
      <c r="F1064" s="3" t="s">
        <v>54</v>
      </c>
    </row>
    <row r="1065" spans="1:6" x14ac:dyDescent="0.25">
      <c r="A1065" s="3">
        <v>68654238</v>
      </c>
      <c r="B1065" s="3">
        <v>2904</v>
      </c>
      <c r="C1065" s="24">
        <v>7893</v>
      </c>
      <c r="D1065" s="4">
        <v>46091</v>
      </c>
      <c r="E1065" t="str">
        <f>VLOOKUP($A1065,Sheet4!$A:$B,2,0)</f>
        <v>BJ US-IC-DublinMudslide-8 1PT</v>
      </c>
      <c r="F1065" s="3" t="s">
        <v>54</v>
      </c>
    </row>
    <row r="1066" spans="1:6" x14ac:dyDescent="0.25">
      <c r="A1066" s="3">
        <v>68654238</v>
      </c>
      <c r="B1066" s="3">
        <v>2904</v>
      </c>
      <c r="C1066" s="24">
        <v>213</v>
      </c>
      <c r="D1066" s="4">
        <v>46092</v>
      </c>
      <c r="E1066" t="str">
        <f>VLOOKUP($A1066,Sheet4!$A:$B,2,0)</f>
        <v>BJ US-IC-DublinMudslide-8 1PT</v>
      </c>
      <c r="F1066" s="3" t="s">
        <v>54</v>
      </c>
    </row>
    <row r="1067" spans="1:6" x14ac:dyDescent="0.25">
      <c r="A1067" s="3">
        <v>68654238</v>
      </c>
      <c r="B1067" s="3">
        <v>2904</v>
      </c>
      <c r="C1067" s="24">
        <v>267</v>
      </c>
      <c r="D1067" s="4">
        <v>46093</v>
      </c>
      <c r="E1067" t="str">
        <f>VLOOKUP($A1067,Sheet4!$A:$B,2,0)</f>
        <v>BJ US-IC-DublinMudslide-8 1PT</v>
      </c>
      <c r="F1067" s="3" t="s">
        <v>54</v>
      </c>
    </row>
    <row r="1068" spans="1:6" x14ac:dyDescent="0.25">
      <c r="A1068" s="3">
        <v>68741742</v>
      </c>
      <c r="B1068" s="3">
        <v>2904</v>
      </c>
      <c r="C1068" s="24">
        <v>154</v>
      </c>
      <c r="D1068" s="4">
        <v>46097</v>
      </c>
      <c r="E1068" t="str">
        <f>VLOOKUP($A1068,Sheet4!$A:$B,2,0)</f>
        <v>GH Strawberry Shortcake Bar 8-6PK</v>
      </c>
      <c r="F1068" s="3" t="s">
        <v>49</v>
      </c>
    </row>
    <row r="1069" spans="1:6" x14ac:dyDescent="0.25">
      <c r="A1069" s="3">
        <v>68741742</v>
      </c>
      <c r="B1069" s="3">
        <v>2904</v>
      </c>
      <c r="C1069" s="24">
        <v>1694</v>
      </c>
      <c r="D1069" s="4">
        <v>46098</v>
      </c>
      <c r="E1069" t="str">
        <f>VLOOKUP($A1069,Sheet4!$A:$B,2,0)</f>
        <v>GH Strawberry Shortcake Bar 8-6PK</v>
      </c>
      <c r="F1069" s="3" t="s">
        <v>49</v>
      </c>
    </row>
    <row r="1070" spans="1:6" x14ac:dyDescent="0.25">
      <c r="A1070" s="3">
        <v>68741742</v>
      </c>
      <c r="B1070" s="3">
        <v>2904</v>
      </c>
      <c r="C1070" s="24">
        <v>2200</v>
      </c>
      <c r="D1070" s="4">
        <v>46098</v>
      </c>
      <c r="E1070" t="str">
        <f>VLOOKUP($A1070,Sheet4!$A:$B,2,0)</f>
        <v>GH Strawberry Shortcake Bar 8-6PK</v>
      </c>
      <c r="F1070" s="3" t="s">
        <v>49</v>
      </c>
    </row>
    <row r="1071" spans="1:6" x14ac:dyDescent="0.25">
      <c r="A1071" s="3">
        <v>68741742</v>
      </c>
      <c r="B1071" s="3">
        <v>2904</v>
      </c>
      <c r="C1071" s="24">
        <v>1904</v>
      </c>
      <c r="D1071" s="4">
        <v>46099</v>
      </c>
      <c r="E1071" t="str">
        <f>VLOOKUP($A1071,Sheet4!$A:$B,2,0)</f>
        <v>GH Strawberry Shortcake Bar 8-6PK</v>
      </c>
      <c r="F1071" s="3" t="s">
        <v>49</v>
      </c>
    </row>
    <row r="1072" spans="1:6" x14ac:dyDescent="0.25">
      <c r="A1072" s="3">
        <v>68741742</v>
      </c>
      <c r="B1072" s="3">
        <v>2904</v>
      </c>
      <c r="C1072" s="24">
        <v>-112</v>
      </c>
      <c r="D1072" s="4">
        <v>46105</v>
      </c>
      <c r="E1072" t="str">
        <f>VLOOKUP($A1072,Sheet4!$A:$B,2,0)</f>
        <v>GH Strawberry Shortcake Bar 8-6PK</v>
      </c>
      <c r="F1072" s="3" t="s">
        <v>49</v>
      </c>
    </row>
    <row r="1073" spans="1:6" x14ac:dyDescent="0.25">
      <c r="A1073" s="3">
        <v>68741742</v>
      </c>
      <c r="B1073" s="3">
        <v>2904</v>
      </c>
      <c r="C1073" s="24">
        <v>480</v>
      </c>
      <c r="D1073" s="4">
        <v>46099</v>
      </c>
      <c r="E1073" t="str">
        <f>VLOOKUP($A1073,Sheet4!$A:$B,2,0)</f>
        <v>GH Strawberry Shortcake Bar 8-6PK</v>
      </c>
      <c r="F1073" s="3" t="s">
        <v>49</v>
      </c>
    </row>
    <row r="1074" spans="1:6" x14ac:dyDescent="0.25">
      <c r="A1074" s="3">
        <v>68741742</v>
      </c>
      <c r="B1074" s="3">
        <v>2904</v>
      </c>
      <c r="C1074" s="24">
        <v>1680</v>
      </c>
      <c r="D1074" s="4">
        <v>46100</v>
      </c>
      <c r="E1074" t="str">
        <f>VLOOKUP($A1074,Sheet4!$A:$B,2,0)</f>
        <v>GH Strawberry Shortcake Bar 8-6PK</v>
      </c>
      <c r="F1074" s="3" t="s">
        <v>49</v>
      </c>
    </row>
    <row r="1075" spans="1:6" x14ac:dyDescent="0.25">
      <c r="A1075" s="3">
        <v>68741742</v>
      </c>
      <c r="B1075" s="3">
        <v>2904</v>
      </c>
      <c r="C1075" s="24">
        <v>1540</v>
      </c>
      <c r="D1075" s="4">
        <v>46100</v>
      </c>
      <c r="E1075" t="str">
        <f>VLOOKUP($A1075,Sheet4!$A:$B,2,0)</f>
        <v>GH Strawberry Shortcake Bar 8-6PK</v>
      </c>
      <c r="F1075" s="3" t="s">
        <v>49</v>
      </c>
    </row>
    <row r="1076" spans="1:6" x14ac:dyDescent="0.25">
      <c r="A1076" s="3">
        <v>68741742</v>
      </c>
      <c r="B1076" s="3">
        <v>2904</v>
      </c>
      <c r="C1076" s="24">
        <v>1834</v>
      </c>
      <c r="D1076" s="4">
        <v>46101</v>
      </c>
      <c r="E1076" t="str">
        <f>VLOOKUP($A1076,Sheet4!$A:$B,2,0)</f>
        <v>GH Strawberry Shortcake Bar 8-6PK</v>
      </c>
      <c r="F1076" s="3" t="s">
        <v>49</v>
      </c>
    </row>
    <row r="1077" spans="1:6" x14ac:dyDescent="0.25">
      <c r="A1077" s="3">
        <v>68741742</v>
      </c>
      <c r="B1077" s="3">
        <v>2904</v>
      </c>
      <c r="C1077" s="24">
        <v>2002</v>
      </c>
      <c r="D1077" s="4">
        <v>46101</v>
      </c>
      <c r="E1077" t="str">
        <f>VLOOKUP($A1077,Sheet4!$A:$B,2,0)</f>
        <v>GH Strawberry Shortcake Bar 8-6PK</v>
      </c>
      <c r="F1077" s="3" t="s">
        <v>49</v>
      </c>
    </row>
    <row r="1078" spans="1:6" x14ac:dyDescent="0.25">
      <c r="A1078" s="3">
        <v>68741742</v>
      </c>
      <c r="B1078" s="3">
        <v>2904</v>
      </c>
      <c r="C1078" s="24">
        <v>1566</v>
      </c>
      <c r="D1078" s="4">
        <v>46102</v>
      </c>
      <c r="E1078" t="str">
        <f>VLOOKUP($A1078,Sheet4!$A:$B,2,0)</f>
        <v>GH Strawberry Shortcake Bar 8-6PK</v>
      </c>
      <c r="F1078" s="3" t="s">
        <v>49</v>
      </c>
    </row>
    <row r="1079" spans="1:6" x14ac:dyDescent="0.25">
      <c r="A1079" s="3">
        <v>68741742</v>
      </c>
      <c r="B1079" s="3">
        <v>2904</v>
      </c>
      <c r="C1079" s="24">
        <v>1694</v>
      </c>
      <c r="D1079" s="4">
        <v>46104</v>
      </c>
      <c r="E1079" t="str">
        <f>VLOOKUP($A1079,Sheet4!$A:$B,2,0)</f>
        <v>GH Strawberry Shortcake Bar 8-6PK</v>
      </c>
      <c r="F1079" s="3" t="s">
        <v>49</v>
      </c>
    </row>
    <row r="1080" spans="1:6" x14ac:dyDescent="0.25">
      <c r="A1080" s="3">
        <v>68741742</v>
      </c>
      <c r="B1080" s="3">
        <v>2904</v>
      </c>
      <c r="C1080" s="24">
        <v>1732</v>
      </c>
      <c r="D1080" s="4">
        <v>46105</v>
      </c>
      <c r="E1080" t="str">
        <f>VLOOKUP($A1080,Sheet4!$A:$B,2,0)</f>
        <v>GH Strawberry Shortcake Bar 8-6PK</v>
      </c>
      <c r="F1080" s="3" t="s">
        <v>49</v>
      </c>
    </row>
    <row r="1081" spans="1:6" x14ac:dyDescent="0.25">
      <c r="A1081" s="3">
        <v>68741742</v>
      </c>
      <c r="B1081" s="3">
        <v>2904</v>
      </c>
      <c r="C1081" s="24">
        <v>2273</v>
      </c>
      <c r="D1081" s="4">
        <v>46105</v>
      </c>
      <c r="E1081" t="str">
        <f>VLOOKUP($A1081,Sheet4!$A:$B,2,0)</f>
        <v>GH Strawberry Shortcake Bar 8-6PK</v>
      </c>
      <c r="F1081" s="3" t="s">
        <v>49</v>
      </c>
    </row>
    <row r="1082" spans="1:6" x14ac:dyDescent="0.25">
      <c r="A1082" s="3">
        <v>68746232</v>
      </c>
      <c r="B1082" s="3">
        <v>2904</v>
      </c>
      <c r="C1082" s="24">
        <v>2109</v>
      </c>
      <c r="D1082" s="4">
        <v>46079</v>
      </c>
      <c r="E1082" t="str">
        <f>VLOOKUP($A1082,Sheet4!$A:$B,2,0)</f>
        <v>KL Mint CHOC Chip 12-6PK</v>
      </c>
      <c r="F1082" s="3" t="s">
        <v>52</v>
      </c>
    </row>
    <row r="1083" spans="1:6" x14ac:dyDescent="0.25">
      <c r="A1083" s="3">
        <v>68746232</v>
      </c>
      <c r="B1083" s="3">
        <v>2904</v>
      </c>
      <c r="C1083" s="24">
        <v>1382</v>
      </c>
      <c r="D1083" s="4">
        <v>46080</v>
      </c>
      <c r="E1083" t="str">
        <f>VLOOKUP($A1083,Sheet4!$A:$B,2,0)</f>
        <v>KL Mint CHOC Chip 12-6PK</v>
      </c>
      <c r="F1083" s="3" t="s">
        <v>52</v>
      </c>
    </row>
    <row r="1084" spans="1:6" x14ac:dyDescent="0.25">
      <c r="A1084" s="3">
        <v>68746232</v>
      </c>
      <c r="B1084" s="3">
        <v>2904</v>
      </c>
      <c r="C1084" s="24">
        <v>1243</v>
      </c>
      <c r="D1084" s="4">
        <v>46078</v>
      </c>
      <c r="E1084" t="str">
        <f>VLOOKUP($A1084,Sheet4!$A:$B,2,0)</f>
        <v>KL Mint CHOC Chip 12-6PK</v>
      </c>
      <c r="F1084" s="3" t="s">
        <v>52</v>
      </c>
    </row>
    <row r="1085" spans="1:6" x14ac:dyDescent="0.25">
      <c r="A1085" s="3">
        <v>68746232</v>
      </c>
      <c r="B1085" s="3">
        <v>2904</v>
      </c>
      <c r="C1085" s="24">
        <v>1372</v>
      </c>
      <c r="D1085" s="4">
        <v>46079</v>
      </c>
      <c r="E1085" t="str">
        <f>VLOOKUP($A1085,Sheet4!$A:$B,2,0)</f>
        <v>KL Mint CHOC Chip 12-6PK</v>
      </c>
      <c r="F1085" s="3" t="s">
        <v>52</v>
      </c>
    </row>
    <row r="1086" spans="1:6" x14ac:dyDescent="0.25">
      <c r="A1086" s="3">
        <v>68746232</v>
      </c>
      <c r="B1086" s="3">
        <v>2904</v>
      </c>
      <c r="C1086" s="24">
        <v>1188</v>
      </c>
      <c r="D1086" s="4">
        <v>46080</v>
      </c>
      <c r="E1086" t="str">
        <f>VLOOKUP($A1086,Sheet4!$A:$B,2,0)</f>
        <v>KL Mint CHOC Chip 12-6PK</v>
      </c>
      <c r="F1086" s="3" t="s">
        <v>52</v>
      </c>
    </row>
    <row r="1087" spans="1:6" x14ac:dyDescent="0.25">
      <c r="A1087" s="3">
        <v>68746232</v>
      </c>
      <c r="B1087" s="3">
        <v>2904</v>
      </c>
      <c r="C1087" s="24">
        <v>296</v>
      </c>
      <c r="D1087" s="4">
        <v>46081</v>
      </c>
      <c r="E1087" t="str">
        <f>VLOOKUP($A1087,Sheet4!$A:$B,2,0)</f>
        <v>KL Mint CHOC Chip 12-6PK</v>
      </c>
      <c r="F1087" s="3" t="s">
        <v>52</v>
      </c>
    </row>
    <row r="1088" spans="1:6" x14ac:dyDescent="0.25">
      <c r="A1088" s="3">
        <v>68746232</v>
      </c>
      <c r="B1088" s="3">
        <v>2904</v>
      </c>
      <c r="C1088" s="24">
        <v>998</v>
      </c>
      <c r="D1088" s="4">
        <v>46081</v>
      </c>
      <c r="E1088" t="str">
        <f>VLOOKUP($A1088,Sheet4!$A:$B,2,0)</f>
        <v>KL Mint CHOC Chip 12-6PK</v>
      </c>
      <c r="F1088" s="3" t="s">
        <v>52</v>
      </c>
    </row>
    <row r="1089" spans="1:6" x14ac:dyDescent="0.25">
      <c r="A1089" s="3">
        <v>68746232</v>
      </c>
      <c r="B1089" s="3">
        <v>2904</v>
      </c>
      <c r="C1089" s="24">
        <v>1188</v>
      </c>
      <c r="D1089" s="4">
        <v>46082</v>
      </c>
      <c r="E1089" t="str">
        <f>VLOOKUP($A1089,Sheet4!$A:$B,2,0)</f>
        <v>KL Mint CHOC Chip 12-6PK</v>
      </c>
      <c r="F1089" s="3" t="s">
        <v>52</v>
      </c>
    </row>
    <row r="1090" spans="1:6" x14ac:dyDescent="0.25">
      <c r="A1090" s="3">
        <v>68746232</v>
      </c>
      <c r="B1090" s="3">
        <v>2904</v>
      </c>
      <c r="C1090" s="24">
        <v>1556</v>
      </c>
      <c r="D1090" s="4">
        <v>46082</v>
      </c>
      <c r="E1090" t="str">
        <f>VLOOKUP($A1090,Sheet4!$A:$B,2,0)</f>
        <v>KL Mint CHOC Chip 12-6PK</v>
      </c>
      <c r="F1090" s="3" t="s">
        <v>52</v>
      </c>
    </row>
    <row r="1091" spans="1:6" x14ac:dyDescent="0.25">
      <c r="A1091" s="3">
        <v>68746232</v>
      </c>
      <c r="B1091" s="3">
        <v>2904</v>
      </c>
      <c r="C1091" s="24">
        <v>1428</v>
      </c>
      <c r="D1091" s="4">
        <v>46083</v>
      </c>
      <c r="E1091" t="str">
        <f>VLOOKUP($A1091,Sheet4!$A:$B,2,0)</f>
        <v>KL Mint CHOC Chip 12-6PK</v>
      </c>
      <c r="F1091" s="3" t="s">
        <v>52</v>
      </c>
    </row>
    <row r="1092" spans="1:6" x14ac:dyDescent="0.25">
      <c r="A1092" s="3">
        <v>68746232</v>
      </c>
      <c r="B1092" s="3">
        <v>2904</v>
      </c>
      <c r="C1092" s="24">
        <v>132</v>
      </c>
      <c r="D1092" s="4">
        <v>46076</v>
      </c>
      <c r="E1092" t="str">
        <f>VLOOKUP($A1092,Sheet4!$A:$B,2,0)</f>
        <v>KL Mint CHOC Chip 12-6PK</v>
      </c>
      <c r="F1092" s="3" t="s">
        <v>52</v>
      </c>
    </row>
    <row r="1093" spans="1:6" x14ac:dyDescent="0.25">
      <c r="A1093" s="3">
        <v>68746232</v>
      </c>
      <c r="B1093" s="3">
        <v>2904</v>
      </c>
      <c r="C1093" s="24">
        <v>926</v>
      </c>
      <c r="D1093" s="4">
        <v>46076</v>
      </c>
      <c r="E1093" t="str">
        <f>VLOOKUP($A1093,Sheet4!$A:$B,2,0)</f>
        <v>KL Mint CHOC Chip 12-6PK</v>
      </c>
      <c r="F1093" s="3" t="s">
        <v>52</v>
      </c>
    </row>
    <row r="1094" spans="1:6" x14ac:dyDescent="0.25">
      <c r="A1094" s="3">
        <v>68746232</v>
      </c>
      <c r="B1094" s="3">
        <v>2904</v>
      </c>
      <c r="C1094" s="24">
        <v>381</v>
      </c>
      <c r="D1094" s="4">
        <v>46076</v>
      </c>
      <c r="E1094" t="str">
        <f>VLOOKUP($A1094,Sheet4!$A:$B,2,0)</f>
        <v>KL Mint CHOC Chip 12-6PK</v>
      </c>
      <c r="F1094" s="3" t="s">
        <v>52</v>
      </c>
    </row>
    <row r="1095" spans="1:6" x14ac:dyDescent="0.25">
      <c r="A1095" s="3">
        <v>68746232</v>
      </c>
      <c r="B1095" s="3">
        <v>2904</v>
      </c>
      <c r="C1095" s="24">
        <v>1056</v>
      </c>
      <c r="D1095" s="4">
        <v>46077</v>
      </c>
      <c r="E1095" t="str">
        <f>VLOOKUP($A1095,Sheet4!$A:$B,2,0)</f>
        <v>KL Mint CHOC Chip 12-6PK</v>
      </c>
      <c r="F1095" s="3" t="s">
        <v>52</v>
      </c>
    </row>
    <row r="1096" spans="1:6" x14ac:dyDescent="0.25">
      <c r="A1096" s="3">
        <v>68746232</v>
      </c>
      <c r="B1096" s="3">
        <v>2904</v>
      </c>
      <c r="C1096" s="24">
        <v>447</v>
      </c>
      <c r="D1096" s="4">
        <v>46077</v>
      </c>
      <c r="E1096" t="str">
        <f>VLOOKUP($A1096,Sheet4!$A:$B,2,0)</f>
        <v>KL Mint CHOC Chip 12-6PK</v>
      </c>
      <c r="F1096" s="3" t="s">
        <v>52</v>
      </c>
    </row>
    <row r="1097" spans="1:6" x14ac:dyDescent="0.25">
      <c r="A1097" s="3">
        <v>68746232</v>
      </c>
      <c r="B1097" s="3">
        <v>2904</v>
      </c>
      <c r="C1097" s="24">
        <v>1056</v>
      </c>
      <c r="D1097" s="4">
        <v>46078</v>
      </c>
      <c r="E1097" t="str">
        <f>VLOOKUP($A1097,Sheet4!$A:$B,2,0)</f>
        <v>KL Mint CHOC Chip 12-6PK</v>
      </c>
      <c r="F1097" s="3" t="s">
        <v>52</v>
      </c>
    </row>
    <row r="1098" spans="1:6" x14ac:dyDescent="0.25">
      <c r="A1098" s="3">
        <v>68746232</v>
      </c>
      <c r="B1098" s="3">
        <v>2904</v>
      </c>
      <c r="C1098" s="24">
        <v>1245</v>
      </c>
      <c r="D1098" s="4">
        <v>46083</v>
      </c>
      <c r="E1098" t="str">
        <f>VLOOKUP($A1098,Sheet4!$A:$B,2,0)</f>
        <v>KL Mint CHOC Chip 12-6PK</v>
      </c>
      <c r="F1098" s="3" t="s">
        <v>52</v>
      </c>
    </row>
    <row r="1099" spans="1:6" x14ac:dyDescent="0.25">
      <c r="A1099" s="3">
        <v>68746232</v>
      </c>
      <c r="B1099" s="3">
        <v>2904</v>
      </c>
      <c r="C1099" s="24">
        <v>1403</v>
      </c>
      <c r="D1099" s="4">
        <v>46084</v>
      </c>
      <c r="E1099" t="str">
        <f>VLOOKUP($A1099,Sheet4!$A:$B,2,0)</f>
        <v>KL Mint CHOC Chip 12-6PK</v>
      </c>
      <c r="F1099" s="3" t="s">
        <v>52</v>
      </c>
    </row>
    <row r="1100" spans="1:6" x14ac:dyDescent="0.25">
      <c r="A1100" s="3">
        <v>68746232</v>
      </c>
      <c r="B1100" s="3">
        <v>2904</v>
      </c>
      <c r="C1100" s="24">
        <v>1861</v>
      </c>
      <c r="D1100" s="4">
        <v>46084</v>
      </c>
      <c r="E1100" t="str">
        <f>VLOOKUP($A1100,Sheet4!$A:$B,2,0)</f>
        <v>KL Mint CHOC Chip 12-6PK</v>
      </c>
      <c r="F1100" s="3" t="s">
        <v>52</v>
      </c>
    </row>
    <row r="1101" spans="1:6" x14ac:dyDescent="0.25">
      <c r="A1101" s="3">
        <v>68746232</v>
      </c>
      <c r="B1101" s="3">
        <v>2904</v>
      </c>
      <c r="C1101" s="24">
        <v>1618</v>
      </c>
      <c r="D1101" s="4">
        <v>46085</v>
      </c>
      <c r="E1101" t="str">
        <f>VLOOKUP($A1101,Sheet4!$A:$B,2,0)</f>
        <v>KL Mint CHOC Chip 12-6PK</v>
      </c>
      <c r="F1101" s="3" t="s">
        <v>52</v>
      </c>
    </row>
    <row r="1102" spans="1:6" x14ac:dyDescent="0.25">
      <c r="A1102" s="3">
        <v>68746232</v>
      </c>
      <c r="B1102" s="3">
        <v>2904</v>
      </c>
      <c r="C1102" s="24">
        <v>-137</v>
      </c>
      <c r="D1102" s="4">
        <v>46090</v>
      </c>
      <c r="E1102" t="str">
        <f>VLOOKUP($A1102,Sheet4!$A:$B,2,0)</f>
        <v>KL Mint CHOC Chip 12-6PK</v>
      </c>
      <c r="F1102" s="3" t="s">
        <v>52</v>
      </c>
    </row>
    <row r="1103" spans="1:6" x14ac:dyDescent="0.25">
      <c r="A1103" s="3">
        <v>68746232</v>
      </c>
      <c r="B1103" s="3">
        <v>2904</v>
      </c>
      <c r="C1103" s="24">
        <v>1848</v>
      </c>
      <c r="D1103" s="4">
        <v>46085</v>
      </c>
      <c r="E1103" t="str">
        <f>VLOOKUP($A1103,Sheet4!$A:$B,2,0)</f>
        <v>KL Mint CHOC Chip 12-6PK</v>
      </c>
      <c r="F1103" s="3" t="s">
        <v>52</v>
      </c>
    </row>
    <row r="1104" spans="1:6" x14ac:dyDescent="0.25">
      <c r="A1104" s="3">
        <v>68746232</v>
      </c>
      <c r="B1104" s="3">
        <v>2904</v>
      </c>
      <c r="C1104" s="24">
        <v>1397</v>
      </c>
      <c r="D1104" s="4">
        <v>46086</v>
      </c>
      <c r="E1104" t="str">
        <f>VLOOKUP($A1104,Sheet4!$A:$B,2,0)</f>
        <v>KL Mint CHOC Chip 12-6PK</v>
      </c>
      <c r="F1104" s="3" t="s">
        <v>52</v>
      </c>
    </row>
    <row r="1105" spans="1:6" x14ac:dyDescent="0.25">
      <c r="A1105" s="3">
        <v>68746232</v>
      </c>
      <c r="B1105" s="3">
        <v>2904</v>
      </c>
      <c r="C1105" s="24">
        <v>337</v>
      </c>
      <c r="D1105" s="4">
        <v>46086</v>
      </c>
      <c r="E1105" t="str">
        <f>VLOOKUP($A1105,Sheet4!$A:$B,2,0)</f>
        <v>KL Mint CHOC Chip 12-6PK</v>
      </c>
      <c r="F1105" s="3" t="s">
        <v>52</v>
      </c>
    </row>
    <row r="1106" spans="1:6" x14ac:dyDescent="0.25">
      <c r="A1106" s="3">
        <v>68746232</v>
      </c>
      <c r="B1106" s="3">
        <v>2904</v>
      </c>
      <c r="C1106" s="24">
        <v>932</v>
      </c>
      <c r="D1106" s="4">
        <v>46087</v>
      </c>
      <c r="E1106" t="str">
        <f>VLOOKUP($A1106,Sheet4!$A:$B,2,0)</f>
        <v>KL Mint CHOC Chip 12-6PK</v>
      </c>
      <c r="F1106" s="3" t="s">
        <v>52</v>
      </c>
    </row>
    <row r="1107" spans="1:6" x14ac:dyDescent="0.25">
      <c r="A1107" s="3">
        <v>68746232</v>
      </c>
      <c r="B1107" s="3">
        <v>2904</v>
      </c>
      <c r="C1107" s="24">
        <v>13</v>
      </c>
      <c r="D1107" s="4">
        <v>46090</v>
      </c>
      <c r="E1107" t="str">
        <f>VLOOKUP($A1107,Sheet4!$A:$B,2,0)</f>
        <v>KL Mint CHOC Chip 12-6PK</v>
      </c>
      <c r="F1107" s="3" t="s">
        <v>52</v>
      </c>
    </row>
    <row r="1108" spans="1:6" x14ac:dyDescent="0.25">
      <c r="A1108" s="3">
        <v>68746232</v>
      </c>
      <c r="B1108" s="3">
        <v>2904</v>
      </c>
      <c r="C1108" s="24">
        <v>1320</v>
      </c>
      <c r="D1108" s="4">
        <v>46087</v>
      </c>
      <c r="E1108" t="str">
        <f>VLOOKUP($A1108,Sheet4!$A:$B,2,0)</f>
        <v>KL Mint CHOC Chip 12-6PK</v>
      </c>
      <c r="F1108" s="3" t="s">
        <v>52</v>
      </c>
    </row>
    <row r="1109" spans="1:6" x14ac:dyDescent="0.25">
      <c r="A1109" s="3">
        <v>68746232</v>
      </c>
      <c r="B1109" s="3">
        <v>2904</v>
      </c>
      <c r="C1109" s="24">
        <v>1194</v>
      </c>
      <c r="D1109" s="4">
        <v>46088</v>
      </c>
      <c r="E1109" t="str">
        <f>VLOOKUP($A1109,Sheet4!$A:$B,2,0)</f>
        <v>KL Mint CHOC Chip 12-6PK</v>
      </c>
      <c r="F1109" s="3" t="s">
        <v>52</v>
      </c>
    </row>
    <row r="1110" spans="1:6" x14ac:dyDescent="0.25">
      <c r="A1110" s="3">
        <v>68746232</v>
      </c>
      <c r="B1110" s="3">
        <v>2904</v>
      </c>
      <c r="C1110" s="24">
        <v>69</v>
      </c>
      <c r="D1110" s="4">
        <v>46090</v>
      </c>
      <c r="E1110" t="str">
        <f>VLOOKUP($A1110,Sheet4!$A:$B,2,0)</f>
        <v>KL Mint CHOC Chip 12-6PK</v>
      </c>
      <c r="F1110" s="3" t="s">
        <v>52</v>
      </c>
    </row>
    <row r="1111" spans="1:6" x14ac:dyDescent="0.25">
      <c r="A1111" s="3">
        <v>68746232</v>
      </c>
      <c r="B1111" s="3">
        <v>2904</v>
      </c>
      <c r="C1111" s="24">
        <v>1243</v>
      </c>
      <c r="D1111" s="4">
        <v>46088</v>
      </c>
      <c r="E1111" t="str">
        <f>VLOOKUP($A1111,Sheet4!$A:$B,2,0)</f>
        <v>KL Mint CHOC Chip 12-6PK</v>
      </c>
      <c r="F1111" s="3" t="s">
        <v>52</v>
      </c>
    </row>
    <row r="1112" spans="1:6" x14ac:dyDescent="0.25">
      <c r="A1112" s="3">
        <v>68746232</v>
      </c>
      <c r="B1112" s="3">
        <v>2904</v>
      </c>
      <c r="C1112" s="24">
        <v>1421</v>
      </c>
      <c r="D1112" s="4">
        <v>46089</v>
      </c>
      <c r="E1112" t="str">
        <f>VLOOKUP($A1112,Sheet4!$A:$B,2,0)</f>
        <v>KL Mint CHOC Chip 12-6PK</v>
      </c>
      <c r="F1112" s="3" t="s">
        <v>52</v>
      </c>
    </row>
    <row r="1113" spans="1:6" x14ac:dyDescent="0.25">
      <c r="A1113" s="3">
        <v>68746232</v>
      </c>
      <c r="B1113" s="3">
        <v>2904</v>
      </c>
      <c r="C1113" s="24">
        <v>1013</v>
      </c>
      <c r="D1113" s="4">
        <v>46089</v>
      </c>
      <c r="E1113" t="str">
        <f>VLOOKUP($A1113,Sheet4!$A:$B,2,0)</f>
        <v>KL Mint CHOC Chip 12-6PK</v>
      </c>
      <c r="F1113" s="3" t="s">
        <v>52</v>
      </c>
    </row>
    <row r="1114" spans="1:6" x14ac:dyDescent="0.25">
      <c r="A1114" s="3">
        <v>68746232</v>
      </c>
      <c r="B1114" s="3">
        <v>2904</v>
      </c>
      <c r="C1114" s="24">
        <v>957</v>
      </c>
      <c r="D1114" s="4">
        <v>46090</v>
      </c>
      <c r="E1114" t="str">
        <f>VLOOKUP($A1114,Sheet4!$A:$B,2,0)</f>
        <v>KL Mint CHOC Chip 12-6PK</v>
      </c>
      <c r="F1114" s="3" t="s">
        <v>52</v>
      </c>
    </row>
    <row r="1115" spans="1:6" x14ac:dyDescent="0.25">
      <c r="A1115" s="3">
        <v>68746232</v>
      </c>
      <c r="B1115" s="3">
        <v>2904</v>
      </c>
      <c r="C1115" s="24">
        <v>1314</v>
      </c>
      <c r="D1115" s="4">
        <v>46090</v>
      </c>
      <c r="E1115" t="str">
        <f>VLOOKUP($A1115,Sheet4!$A:$B,2,0)</f>
        <v>KL Mint CHOC Chip 12-6PK</v>
      </c>
      <c r="F1115" s="3" t="s">
        <v>52</v>
      </c>
    </row>
    <row r="1116" spans="1:6" x14ac:dyDescent="0.25">
      <c r="A1116" s="3">
        <v>68746232</v>
      </c>
      <c r="B1116" s="3">
        <v>2904</v>
      </c>
      <c r="C1116" s="24">
        <v>948</v>
      </c>
      <c r="D1116" s="4">
        <v>46091</v>
      </c>
      <c r="E1116" t="str">
        <f>VLOOKUP($A1116,Sheet4!$A:$B,2,0)</f>
        <v>KL Mint CHOC Chip 12-6PK</v>
      </c>
      <c r="F1116" s="3" t="s">
        <v>52</v>
      </c>
    </row>
    <row r="1117" spans="1:6" x14ac:dyDescent="0.25">
      <c r="A1117" s="3">
        <v>68746232</v>
      </c>
      <c r="B1117" s="3">
        <v>2904</v>
      </c>
      <c r="C1117" s="24">
        <v>60</v>
      </c>
      <c r="D1117" s="4">
        <v>46091</v>
      </c>
      <c r="E1117" t="str">
        <f>VLOOKUP($A1117,Sheet4!$A:$B,2,0)</f>
        <v>KL Mint CHOC Chip 12-6PK</v>
      </c>
      <c r="F1117" s="3" t="s">
        <v>52</v>
      </c>
    </row>
    <row r="1118" spans="1:6" x14ac:dyDescent="0.25">
      <c r="A1118" s="3">
        <v>68746232</v>
      </c>
      <c r="B1118" s="3">
        <v>2904</v>
      </c>
      <c r="C1118" s="24">
        <v>924</v>
      </c>
      <c r="D1118" s="4">
        <v>46092</v>
      </c>
      <c r="E1118" t="str">
        <f>VLOOKUP($A1118,Sheet4!$A:$B,2,0)</f>
        <v>KL Mint CHOC Chip 12-6PK</v>
      </c>
      <c r="F1118" s="3" t="s">
        <v>52</v>
      </c>
    </row>
    <row r="1119" spans="1:6" x14ac:dyDescent="0.25">
      <c r="A1119" s="3">
        <v>68746232</v>
      </c>
      <c r="B1119" s="3">
        <v>2904</v>
      </c>
      <c r="C1119" s="24">
        <v>2247</v>
      </c>
      <c r="D1119" s="4">
        <v>46092</v>
      </c>
      <c r="E1119" t="str">
        <f>VLOOKUP($A1119,Sheet4!$A:$B,2,0)</f>
        <v>KL Mint CHOC Chip 12-6PK</v>
      </c>
      <c r="F1119" s="3" t="s">
        <v>52</v>
      </c>
    </row>
    <row r="1120" spans="1:6" x14ac:dyDescent="0.25">
      <c r="A1120" s="3">
        <v>68746232</v>
      </c>
      <c r="B1120" s="3">
        <v>2904</v>
      </c>
      <c r="C1120" s="24">
        <v>924</v>
      </c>
      <c r="D1120" s="4">
        <v>46093</v>
      </c>
      <c r="E1120" t="str">
        <f>VLOOKUP($A1120,Sheet4!$A:$B,2,0)</f>
        <v>KL Mint CHOC Chip 12-6PK</v>
      </c>
      <c r="F1120" s="3" t="s">
        <v>52</v>
      </c>
    </row>
    <row r="1121" spans="1:6" x14ac:dyDescent="0.25">
      <c r="A1121" s="3">
        <v>68746232</v>
      </c>
      <c r="B1121" s="3">
        <v>2904</v>
      </c>
      <c r="C1121" s="24">
        <v>1495</v>
      </c>
      <c r="D1121" s="4">
        <v>46093</v>
      </c>
      <c r="E1121" t="str">
        <f>VLOOKUP($A1121,Sheet4!$A:$B,2,0)</f>
        <v>KL Mint CHOC Chip 12-6PK</v>
      </c>
      <c r="F1121" s="3" t="s">
        <v>52</v>
      </c>
    </row>
    <row r="1122" spans="1:6" x14ac:dyDescent="0.25">
      <c r="A1122" s="3">
        <v>68746232</v>
      </c>
      <c r="B1122" s="3">
        <v>2904</v>
      </c>
      <c r="C1122" s="24">
        <v>1429</v>
      </c>
      <c r="D1122" s="4">
        <v>46094</v>
      </c>
      <c r="E1122" t="str">
        <f>VLOOKUP($A1122,Sheet4!$A:$B,2,0)</f>
        <v>KL Mint CHOC Chip 12-6PK</v>
      </c>
      <c r="F1122" s="3" t="s">
        <v>52</v>
      </c>
    </row>
    <row r="1123" spans="1:6" x14ac:dyDescent="0.25">
      <c r="A1123" s="3">
        <v>68746232</v>
      </c>
      <c r="B1123" s="3">
        <v>2904</v>
      </c>
      <c r="C1123" s="24">
        <v>2112</v>
      </c>
      <c r="D1123" s="4">
        <v>46094</v>
      </c>
      <c r="E1123" t="str">
        <f>VLOOKUP($A1123,Sheet4!$A:$B,2,0)</f>
        <v>KL Mint CHOC Chip 12-6PK</v>
      </c>
      <c r="F1123" s="3" t="s">
        <v>52</v>
      </c>
    </row>
    <row r="1124" spans="1:6" x14ac:dyDescent="0.25">
      <c r="A1124" s="3">
        <v>68746232</v>
      </c>
      <c r="B1124" s="3">
        <v>2904</v>
      </c>
      <c r="C1124" s="24">
        <v>1320</v>
      </c>
      <c r="D1124" s="4">
        <v>46095</v>
      </c>
      <c r="E1124" t="str">
        <f>VLOOKUP($A1124,Sheet4!$A:$B,2,0)</f>
        <v>KL Mint CHOC Chip 12-6PK</v>
      </c>
      <c r="F1124" s="3" t="s">
        <v>52</v>
      </c>
    </row>
    <row r="1125" spans="1:6" x14ac:dyDescent="0.25">
      <c r="A1125" s="3">
        <v>68746232</v>
      </c>
      <c r="B1125" s="3">
        <v>2904</v>
      </c>
      <c r="C1125" s="24">
        <v>132</v>
      </c>
      <c r="D1125" s="4">
        <v>46097</v>
      </c>
      <c r="E1125" t="str">
        <f>VLOOKUP($A1125,Sheet4!$A:$B,2,0)</f>
        <v>KL Mint CHOC Chip 12-6PK</v>
      </c>
      <c r="F1125" s="3" t="s">
        <v>52</v>
      </c>
    </row>
    <row r="1126" spans="1:6" x14ac:dyDescent="0.25">
      <c r="A1126" s="3">
        <v>68746232</v>
      </c>
      <c r="B1126" s="3">
        <v>2904</v>
      </c>
      <c r="C1126" s="24">
        <v>3087</v>
      </c>
      <c r="D1126" s="4">
        <v>46097</v>
      </c>
      <c r="E1126" t="str">
        <f>VLOOKUP($A1126,Sheet4!$A:$B,2,0)</f>
        <v>KL Mint CHOC Chip 12-6PK</v>
      </c>
      <c r="F1126" s="3" t="s">
        <v>52</v>
      </c>
    </row>
    <row r="1127" spans="1:6" x14ac:dyDescent="0.25">
      <c r="A1127" s="3">
        <v>68746232</v>
      </c>
      <c r="B1127" s="3">
        <v>2904</v>
      </c>
      <c r="C1127" s="24">
        <v>1277</v>
      </c>
      <c r="D1127" s="4">
        <v>46098</v>
      </c>
      <c r="E1127" t="str">
        <f>VLOOKUP($A1127,Sheet4!$A:$B,2,0)</f>
        <v>KL Mint CHOC Chip 12-6PK</v>
      </c>
      <c r="F1127" s="3" t="s">
        <v>52</v>
      </c>
    </row>
    <row r="1128" spans="1:6" x14ac:dyDescent="0.25">
      <c r="A1128" s="3">
        <v>68746232</v>
      </c>
      <c r="B1128" s="3">
        <v>2904</v>
      </c>
      <c r="C1128" s="24">
        <v>-1277</v>
      </c>
      <c r="D1128" s="4">
        <v>46100</v>
      </c>
      <c r="E1128" t="str">
        <f>VLOOKUP($A1128,Sheet4!$A:$B,2,0)</f>
        <v>KL Mint CHOC Chip 12-6PK</v>
      </c>
      <c r="F1128" s="3" t="s">
        <v>52</v>
      </c>
    </row>
    <row r="1129" spans="1:6" x14ac:dyDescent="0.25">
      <c r="A1129" s="3">
        <v>68746232</v>
      </c>
      <c r="B1129" s="3">
        <v>2904</v>
      </c>
      <c r="C1129" s="24">
        <v>1277</v>
      </c>
      <c r="D1129" s="4">
        <v>46097</v>
      </c>
      <c r="E1129" t="str">
        <f>VLOOKUP($A1129,Sheet4!$A:$B,2,0)</f>
        <v>KL Mint CHOC Chip 12-6PK</v>
      </c>
      <c r="F1129" s="3" t="s">
        <v>52</v>
      </c>
    </row>
    <row r="1130" spans="1:6" x14ac:dyDescent="0.25">
      <c r="A1130" s="3">
        <v>68746232</v>
      </c>
      <c r="B1130" s="3">
        <v>2904</v>
      </c>
      <c r="C1130" s="24">
        <v>-1277</v>
      </c>
      <c r="D1130" s="4">
        <v>46098</v>
      </c>
      <c r="E1130" t="str">
        <f>VLOOKUP($A1130,Sheet4!$A:$B,2,0)</f>
        <v>KL Mint CHOC Chip 12-6PK</v>
      </c>
      <c r="F1130" s="3" t="s">
        <v>52</v>
      </c>
    </row>
    <row r="1131" spans="1:6" x14ac:dyDescent="0.25">
      <c r="A1131" s="3">
        <v>68746232</v>
      </c>
      <c r="B1131" s="3">
        <v>2904</v>
      </c>
      <c r="C1131" s="24">
        <v>1277</v>
      </c>
      <c r="D1131" s="4">
        <v>46100</v>
      </c>
      <c r="E1131" t="str">
        <f>VLOOKUP($A1131,Sheet4!$A:$B,2,0)</f>
        <v>KL Mint CHOC Chip 12-6PK</v>
      </c>
      <c r="F1131" s="3" t="s">
        <v>52</v>
      </c>
    </row>
    <row r="1132" spans="1:6" x14ac:dyDescent="0.25">
      <c r="A1132" s="3">
        <v>68817796</v>
      </c>
      <c r="B1132" s="3">
        <v>2904</v>
      </c>
      <c r="C1132" s="24">
        <v>6595</v>
      </c>
      <c r="D1132" s="4">
        <v>46094</v>
      </c>
      <c r="E1132" t="str">
        <f>VLOOKUP($A1132,Sheet4!$A:$B,2,0)</f>
        <v>BR XCRMY Vanilla 6 1.5QT</v>
      </c>
      <c r="F1132" s="3" t="s">
        <v>21</v>
      </c>
    </row>
    <row r="1133" spans="1:6" x14ac:dyDescent="0.25">
      <c r="A1133" s="3">
        <v>68817796</v>
      </c>
      <c r="B1133" s="3">
        <v>2904</v>
      </c>
      <c r="C1133" s="24">
        <v>5631</v>
      </c>
      <c r="D1133" s="4">
        <v>46095</v>
      </c>
      <c r="E1133" t="str">
        <f>VLOOKUP($A1133,Sheet4!$A:$B,2,0)</f>
        <v>BR XCRMY Vanilla 6 1.5QT</v>
      </c>
      <c r="F1133" s="3" t="s">
        <v>21</v>
      </c>
    </row>
    <row r="1134" spans="1:6" x14ac:dyDescent="0.25">
      <c r="A1134" s="3">
        <v>68817796</v>
      </c>
      <c r="B1134" s="3">
        <v>2904</v>
      </c>
      <c r="C1134" s="24">
        <v>704</v>
      </c>
      <c r="D1134" s="4">
        <v>46097</v>
      </c>
      <c r="E1134" t="str">
        <f>VLOOKUP($A1134,Sheet4!$A:$B,2,0)</f>
        <v>BR XCRMY Vanilla 6 1.5QT</v>
      </c>
      <c r="F1134" s="3" t="s">
        <v>21</v>
      </c>
    </row>
    <row r="1135" spans="1:6" x14ac:dyDescent="0.25">
      <c r="A1135" s="3">
        <v>68817796</v>
      </c>
      <c r="B1135" s="3">
        <v>2904</v>
      </c>
      <c r="C1135" s="24">
        <v>12616</v>
      </c>
      <c r="D1135" s="4">
        <v>46097</v>
      </c>
      <c r="E1135" t="str">
        <f>VLOOKUP($A1135,Sheet4!$A:$B,2,0)</f>
        <v>BR XCRMY Vanilla 6 1.5QT</v>
      </c>
      <c r="F1135" s="3" t="s">
        <v>21</v>
      </c>
    </row>
    <row r="1136" spans="1:6" x14ac:dyDescent="0.25">
      <c r="A1136" s="3">
        <v>68817796</v>
      </c>
      <c r="B1136" s="3">
        <v>2904</v>
      </c>
      <c r="C1136" s="24">
        <v>352</v>
      </c>
      <c r="D1136" s="4">
        <v>46098</v>
      </c>
      <c r="E1136" t="str">
        <f>VLOOKUP($A1136,Sheet4!$A:$B,2,0)</f>
        <v>BR XCRMY Vanilla 6 1.5QT</v>
      </c>
      <c r="F1136" s="3" t="s">
        <v>21</v>
      </c>
    </row>
    <row r="1137" spans="1:6" x14ac:dyDescent="0.25">
      <c r="A1137" s="3">
        <v>68817796</v>
      </c>
      <c r="B1137" s="3">
        <v>2904</v>
      </c>
      <c r="C1137" s="24">
        <v>226</v>
      </c>
      <c r="D1137" s="4">
        <v>46099</v>
      </c>
      <c r="E1137" t="str">
        <f>VLOOKUP($A1137,Sheet4!$A:$B,2,0)</f>
        <v>BR XCRMY Vanilla 6 1.5QT</v>
      </c>
      <c r="F1137" s="3" t="s">
        <v>21</v>
      </c>
    </row>
    <row r="1138" spans="1:6" x14ac:dyDescent="0.25">
      <c r="A1138" s="3">
        <v>68817796</v>
      </c>
      <c r="B1138" s="3">
        <v>2904</v>
      </c>
      <c r="C1138" s="24">
        <v>528</v>
      </c>
      <c r="D1138" s="4">
        <v>46093</v>
      </c>
      <c r="E1138" t="str">
        <f>VLOOKUP($A1138,Sheet4!$A:$B,2,0)</f>
        <v>BR XCRMY Vanilla 6 1.5QT</v>
      </c>
      <c r="F1138" s="3" t="s">
        <v>21</v>
      </c>
    </row>
    <row r="1139" spans="1:6" x14ac:dyDescent="0.25">
      <c r="A1139" s="3">
        <v>68817796</v>
      </c>
      <c r="B1139" s="3">
        <v>2904</v>
      </c>
      <c r="C1139" s="24">
        <v>6688</v>
      </c>
      <c r="D1139" s="4">
        <v>46094</v>
      </c>
      <c r="E1139" t="str">
        <f>VLOOKUP($A1139,Sheet4!$A:$B,2,0)</f>
        <v>BR XCRMY Vanilla 6 1.5QT</v>
      </c>
      <c r="F1139" s="3" t="s">
        <v>21</v>
      </c>
    </row>
    <row r="1140" spans="1:6" x14ac:dyDescent="0.25">
      <c r="A1140" s="3">
        <v>68817800</v>
      </c>
      <c r="B1140" s="3">
        <v>2904</v>
      </c>
      <c r="C1140" s="24">
        <v>2894</v>
      </c>
      <c r="D1140" s="4">
        <v>46076</v>
      </c>
      <c r="E1140" t="str">
        <f>VLOOKUP($A1140,Sheet4!$A:$B,2,0)</f>
        <v>BR Coffee 6 1.5QT</v>
      </c>
      <c r="F1140" s="3" t="s">
        <v>17</v>
      </c>
    </row>
    <row r="1141" spans="1:6" x14ac:dyDescent="0.25">
      <c r="A1141" s="3">
        <v>68817801</v>
      </c>
      <c r="B1141" s="3">
        <v>2904</v>
      </c>
      <c r="C1141" s="24">
        <v>528</v>
      </c>
      <c r="D1141" s="4">
        <v>46090</v>
      </c>
      <c r="E1141" t="str">
        <f>VLOOKUP($A1141,Sheet4!$A:$B,2,0)</f>
        <v>BR XCRMY Chocolate 6 1.5QT</v>
      </c>
      <c r="F1141" s="3" t="s">
        <v>21</v>
      </c>
    </row>
    <row r="1142" spans="1:6" x14ac:dyDescent="0.25">
      <c r="A1142" s="3">
        <v>68817801</v>
      </c>
      <c r="B1142" s="3">
        <v>2904</v>
      </c>
      <c r="C1142" s="24">
        <v>4928</v>
      </c>
      <c r="D1142" s="4">
        <v>46091</v>
      </c>
      <c r="E1142" t="str">
        <f>VLOOKUP($A1142,Sheet4!$A:$B,2,0)</f>
        <v>BR XCRMY Chocolate 6 1.5QT</v>
      </c>
      <c r="F1142" s="3" t="s">
        <v>21</v>
      </c>
    </row>
    <row r="1143" spans="1:6" x14ac:dyDescent="0.25">
      <c r="A1143" s="3">
        <v>68817801</v>
      </c>
      <c r="B1143" s="3">
        <v>2904</v>
      </c>
      <c r="C1143" s="24">
        <v>7295</v>
      </c>
      <c r="D1143" s="4">
        <v>46091</v>
      </c>
      <c r="E1143" t="str">
        <f>VLOOKUP($A1143,Sheet4!$A:$B,2,0)</f>
        <v>BR XCRMY Chocolate 6 1.5QT</v>
      </c>
      <c r="F1143" s="3" t="s">
        <v>21</v>
      </c>
    </row>
    <row r="1144" spans="1:6" x14ac:dyDescent="0.25">
      <c r="A1144" s="3">
        <v>68817801</v>
      </c>
      <c r="B1144" s="3">
        <v>2904</v>
      </c>
      <c r="C1144" s="24">
        <v>5808</v>
      </c>
      <c r="D1144" s="4">
        <v>46092</v>
      </c>
      <c r="E1144" t="str">
        <f>VLOOKUP($A1144,Sheet4!$A:$B,2,0)</f>
        <v>BR XCRMY Chocolate 6 1.5QT</v>
      </c>
      <c r="F1144" s="3" t="s">
        <v>21</v>
      </c>
    </row>
    <row r="1145" spans="1:6" x14ac:dyDescent="0.25">
      <c r="A1145" s="3">
        <v>68817801</v>
      </c>
      <c r="B1145" s="3">
        <v>2904</v>
      </c>
      <c r="C1145" s="24">
        <v>8258</v>
      </c>
      <c r="D1145" s="4">
        <v>46092</v>
      </c>
      <c r="E1145" t="str">
        <f>VLOOKUP($A1145,Sheet4!$A:$B,2,0)</f>
        <v>BR XCRMY Chocolate 6 1.5QT</v>
      </c>
      <c r="F1145" s="3" t="s">
        <v>21</v>
      </c>
    </row>
    <row r="1146" spans="1:6" x14ac:dyDescent="0.25">
      <c r="A1146" s="3">
        <v>68817801</v>
      </c>
      <c r="B1146" s="3">
        <v>2904</v>
      </c>
      <c r="C1146" s="24">
        <v>6801</v>
      </c>
      <c r="D1146" s="4">
        <v>46093</v>
      </c>
      <c r="E1146" t="str">
        <f>VLOOKUP($A1146,Sheet4!$A:$B,2,0)</f>
        <v>BR XCRMY Chocolate 6 1.5QT</v>
      </c>
      <c r="F1146" s="3" t="s">
        <v>21</v>
      </c>
    </row>
    <row r="1147" spans="1:6" x14ac:dyDescent="0.25">
      <c r="A1147" s="3">
        <v>68817801</v>
      </c>
      <c r="B1147" s="3">
        <v>2904</v>
      </c>
      <c r="C1147" s="24">
        <v>5132</v>
      </c>
      <c r="D1147" s="4">
        <v>46093</v>
      </c>
      <c r="E1147" t="str">
        <f>VLOOKUP($A1147,Sheet4!$A:$B,2,0)</f>
        <v>BR XCRMY Chocolate 6 1.5QT</v>
      </c>
      <c r="F1147" s="3" t="s">
        <v>21</v>
      </c>
    </row>
    <row r="1148" spans="1:6" x14ac:dyDescent="0.25">
      <c r="A1148" s="3">
        <v>68817801</v>
      </c>
      <c r="B1148" s="3">
        <v>2904</v>
      </c>
      <c r="C1148" s="24">
        <v>5766</v>
      </c>
      <c r="D1148" s="4">
        <v>46097</v>
      </c>
      <c r="E1148" t="str">
        <f>VLOOKUP($A1148,Sheet4!$A:$B,2,0)</f>
        <v>BR XCRMY Chocolate 6 1.5QT</v>
      </c>
      <c r="F1148" s="3" t="s">
        <v>21</v>
      </c>
    </row>
    <row r="1149" spans="1:6" x14ac:dyDescent="0.25">
      <c r="A1149" s="3">
        <v>68817801</v>
      </c>
      <c r="B1149" s="3">
        <v>2904</v>
      </c>
      <c r="C1149" s="24">
        <v>528</v>
      </c>
      <c r="D1149" s="4">
        <v>46098</v>
      </c>
      <c r="E1149" t="str">
        <f>VLOOKUP($A1149,Sheet4!$A:$B,2,0)</f>
        <v>BR XCRMY Chocolate 6 1.5QT</v>
      </c>
      <c r="F1149" s="3" t="s">
        <v>21</v>
      </c>
    </row>
    <row r="1150" spans="1:6" x14ac:dyDescent="0.25">
      <c r="A1150" s="3">
        <v>68821728</v>
      </c>
      <c r="B1150" s="3">
        <v>2904</v>
      </c>
      <c r="C1150" s="24">
        <v>2152</v>
      </c>
      <c r="D1150" s="4">
        <v>46087</v>
      </c>
      <c r="E1150" t="str">
        <f>VLOOKUP($A1150,Sheet4!$A:$B,2,0)</f>
        <v>BR Rocky Road 6 1.5QT</v>
      </c>
      <c r="F1150" s="3" t="s">
        <v>21</v>
      </c>
    </row>
    <row r="1151" spans="1:6" x14ac:dyDescent="0.25">
      <c r="A1151" s="3">
        <v>68821728</v>
      </c>
      <c r="B1151" s="3">
        <v>2904</v>
      </c>
      <c r="C1151" s="24">
        <v>6688</v>
      </c>
      <c r="D1151" s="4">
        <v>46087</v>
      </c>
      <c r="E1151" t="str">
        <f>VLOOKUP($A1151,Sheet4!$A:$B,2,0)</f>
        <v>BR Rocky Road 6 1.5QT</v>
      </c>
      <c r="F1151" s="3" t="s">
        <v>21</v>
      </c>
    </row>
    <row r="1152" spans="1:6" x14ac:dyDescent="0.25">
      <c r="A1152" s="3">
        <v>68821728</v>
      </c>
      <c r="B1152" s="3">
        <v>2904</v>
      </c>
      <c r="C1152" s="24">
        <v>6516</v>
      </c>
      <c r="D1152" s="4">
        <v>46088</v>
      </c>
      <c r="E1152" t="str">
        <f>VLOOKUP($A1152,Sheet4!$A:$B,2,0)</f>
        <v>BR Rocky Road 6 1.5QT</v>
      </c>
      <c r="F1152" s="3" t="s">
        <v>21</v>
      </c>
    </row>
    <row r="1153" spans="1:6" x14ac:dyDescent="0.25">
      <c r="A1153" s="3">
        <v>68821728</v>
      </c>
      <c r="B1153" s="3">
        <v>2904</v>
      </c>
      <c r="C1153" s="24">
        <v>6336</v>
      </c>
      <c r="D1153" s="4">
        <v>46088</v>
      </c>
      <c r="E1153" t="str">
        <f>VLOOKUP($A1153,Sheet4!$A:$B,2,0)</f>
        <v>BR Rocky Road 6 1.5QT</v>
      </c>
      <c r="F1153" s="3" t="s">
        <v>21</v>
      </c>
    </row>
    <row r="1154" spans="1:6" x14ac:dyDescent="0.25">
      <c r="A1154" s="3">
        <v>68821728</v>
      </c>
      <c r="B1154" s="3">
        <v>2904</v>
      </c>
      <c r="C1154" s="24">
        <v>5894</v>
      </c>
      <c r="D1154" s="4">
        <v>46089</v>
      </c>
      <c r="E1154" t="str">
        <f>VLOOKUP($A1154,Sheet4!$A:$B,2,0)</f>
        <v>BR Rocky Road 6 1.5QT</v>
      </c>
      <c r="F1154" s="3" t="s">
        <v>21</v>
      </c>
    </row>
    <row r="1155" spans="1:6" x14ac:dyDescent="0.25">
      <c r="A1155" s="3">
        <v>68821728</v>
      </c>
      <c r="B1155" s="3">
        <v>2904</v>
      </c>
      <c r="C1155" s="24">
        <v>-9</v>
      </c>
      <c r="D1155" s="4">
        <v>46100</v>
      </c>
      <c r="E1155" t="str">
        <f>VLOOKUP($A1155,Sheet4!$A:$B,2,0)</f>
        <v>BR Rocky Road 6 1.5QT</v>
      </c>
      <c r="F1155" s="3" t="s">
        <v>21</v>
      </c>
    </row>
    <row r="1156" spans="1:6" x14ac:dyDescent="0.25">
      <c r="A1156" s="3">
        <v>68821728</v>
      </c>
      <c r="B1156" s="3">
        <v>2904</v>
      </c>
      <c r="C1156" s="24">
        <v>4282</v>
      </c>
      <c r="D1156" s="4">
        <v>46089</v>
      </c>
      <c r="E1156" t="str">
        <f>VLOOKUP($A1156,Sheet4!$A:$B,2,0)</f>
        <v>BR Rocky Road 6 1.5QT</v>
      </c>
      <c r="F1156" s="3" t="s">
        <v>9</v>
      </c>
    </row>
    <row r="1157" spans="1:6" x14ac:dyDescent="0.25">
      <c r="A1157" s="3">
        <v>68821734</v>
      </c>
      <c r="B1157" s="3">
        <v>2904</v>
      </c>
      <c r="C1157" s="24">
        <v>704</v>
      </c>
      <c r="D1157" s="4">
        <v>46097</v>
      </c>
      <c r="E1157" t="str">
        <f>VLOOKUP($A1157,Sheet4!$A:$B,2,0)</f>
        <v>BR Vanilla Chocolate 6 1.5QT</v>
      </c>
      <c r="F1157" s="3" t="s">
        <v>12</v>
      </c>
    </row>
    <row r="1158" spans="1:6" x14ac:dyDescent="0.25">
      <c r="A1158" s="3">
        <v>68821734</v>
      </c>
      <c r="B1158" s="3">
        <v>2904</v>
      </c>
      <c r="C1158" s="24">
        <v>9680</v>
      </c>
      <c r="D1158" s="4">
        <v>46097</v>
      </c>
      <c r="E1158" t="str">
        <f>VLOOKUP($A1158,Sheet4!$A:$B,2,0)</f>
        <v>BR Vanilla Chocolate 6 1.5QT</v>
      </c>
      <c r="F1158" s="3" t="s">
        <v>12</v>
      </c>
    </row>
    <row r="1159" spans="1:6" x14ac:dyDescent="0.25">
      <c r="A1159" s="3">
        <v>68821734</v>
      </c>
      <c r="B1159" s="3">
        <v>2904</v>
      </c>
      <c r="C1159" s="24">
        <v>8448</v>
      </c>
      <c r="D1159" s="4">
        <v>46098</v>
      </c>
      <c r="E1159" t="str">
        <f>VLOOKUP($A1159,Sheet4!$A:$B,2,0)</f>
        <v>BR Vanilla Chocolate 6 1.5QT</v>
      </c>
      <c r="F1159" s="3" t="s">
        <v>12</v>
      </c>
    </row>
    <row r="1160" spans="1:6" x14ac:dyDescent="0.25">
      <c r="A1160" s="3">
        <v>68821734</v>
      </c>
      <c r="B1160" s="3">
        <v>2904</v>
      </c>
      <c r="C1160" s="24">
        <v>12320</v>
      </c>
      <c r="D1160" s="4">
        <v>46098</v>
      </c>
      <c r="E1160" t="str">
        <f>VLOOKUP($A1160,Sheet4!$A:$B,2,0)</f>
        <v>BR Vanilla Chocolate 6 1.5QT</v>
      </c>
      <c r="F1160" s="3" t="s">
        <v>12</v>
      </c>
    </row>
    <row r="1161" spans="1:6" x14ac:dyDescent="0.25">
      <c r="A1161" s="3">
        <v>68821734</v>
      </c>
      <c r="B1161" s="3">
        <v>2904</v>
      </c>
      <c r="C1161" s="24">
        <v>5199</v>
      </c>
      <c r="D1161" s="4">
        <v>46099</v>
      </c>
      <c r="E1161" t="str">
        <f>VLOOKUP($A1161,Sheet4!$A:$B,2,0)</f>
        <v>BR Vanilla Chocolate 6 1.5QT</v>
      </c>
      <c r="F1161" s="3" t="s">
        <v>12</v>
      </c>
    </row>
    <row r="1162" spans="1:6" x14ac:dyDescent="0.25">
      <c r="A1162" s="3">
        <v>68821734</v>
      </c>
      <c r="B1162" s="3">
        <v>2904</v>
      </c>
      <c r="C1162" s="24">
        <v>176</v>
      </c>
      <c r="D1162" s="4">
        <v>46099</v>
      </c>
      <c r="E1162" t="str">
        <f>VLOOKUP($A1162,Sheet4!$A:$B,2,0)</f>
        <v>BR Vanilla Chocolate 6 1.5QT</v>
      </c>
      <c r="F1162" s="3" t="s">
        <v>12</v>
      </c>
    </row>
    <row r="1163" spans="1:6" x14ac:dyDescent="0.25">
      <c r="A1163" s="3">
        <v>68821734</v>
      </c>
      <c r="B1163" s="3">
        <v>2904</v>
      </c>
      <c r="C1163" s="24">
        <v>4048</v>
      </c>
      <c r="D1163" s="4">
        <v>46100</v>
      </c>
      <c r="E1163" t="str">
        <f>VLOOKUP($A1163,Sheet4!$A:$B,2,0)</f>
        <v>BR Vanilla Chocolate 6 1.5QT</v>
      </c>
      <c r="F1163" s="3" t="s">
        <v>12</v>
      </c>
    </row>
    <row r="1164" spans="1:6" x14ac:dyDescent="0.25">
      <c r="A1164" s="3">
        <v>68821734</v>
      </c>
      <c r="B1164" s="3">
        <v>2904</v>
      </c>
      <c r="C1164" s="24">
        <v>13200</v>
      </c>
      <c r="D1164" s="4">
        <v>46100</v>
      </c>
      <c r="E1164" t="str">
        <f>VLOOKUP($A1164,Sheet4!$A:$B,2,0)</f>
        <v>BR Vanilla Chocolate 6 1.5QT</v>
      </c>
      <c r="F1164" s="3" t="s">
        <v>12</v>
      </c>
    </row>
    <row r="1165" spans="1:6" x14ac:dyDescent="0.25">
      <c r="A1165" s="3">
        <v>68821734</v>
      </c>
      <c r="B1165" s="3">
        <v>2904</v>
      </c>
      <c r="C1165" s="24">
        <v>11385</v>
      </c>
      <c r="D1165" s="4">
        <v>46101</v>
      </c>
      <c r="E1165" t="str">
        <f>VLOOKUP($A1165,Sheet4!$A:$B,2,0)</f>
        <v>BR Vanilla Chocolate 6 1.5QT</v>
      </c>
      <c r="F1165" s="3" t="s">
        <v>12</v>
      </c>
    </row>
    <row r="1166" spans="1:6" x14ac:dyDescent="0.25">
      <c r="A1166" s="3">
        <v>68821734</v>
      </c>
      <c r="B1166" s="3">
        <v>2904</v>
      </c>
      <c r="C1166" s="24">
        <v>9328</v>
      </c>
      <c r="D1166" s="4">
        <v>46101</v>
      </c>
      <c r="E1166" t="str">
        <f>VLOOKUP($A1166,Sheet4!$A:$B,2,0)</f>
        <v>BR Vanilla Chocolate 6 1.5QT</v>
      </c>
      <c r="F1166" s="3" t="s">
        <v>12</v>
      </c>
    </row>
    <row r="1167" spans="1:6" x14ac:dyDescent="0.25">
      <c r="A1167" s="3">
        <v>68821734</v>
      </c>
      <c r="B1167" s="3">
        <v>2904</v>
      </c>
      <c r="C1167" s="24">
        <v>25</v>
      </c>
      <c r="D1167" s="4">
        <v>46102</v>
      </c>
      <c r="E1167" t="str">
        <f>VLOOKUP($A1167,Sheet4!$A:$B,2,0)</f>
        <v>BR Vanilla Chocolate 6 1.5QT</v>
      </c>
      <c r="F1167" s="3" t="s">
        <v>12</v>
      </c>
    </row>
    <row r="1168" spans="1:6" x14ac:dyDescent="0.25">
      <c r="A1168" s="3">
        <v>68821735</v>
      </c>
      <c r="B1168" s="3">
        <v>2904</v>
      </c>
      <c r="C1168" s="24">
        <v>6864</v>
      </c>
      <c r="D1168" s="4">
        <v>46090</v>
      </c>
      <c r="E1168" t="str">
        <f>VLOOKUP($A1168,Sheet4!$A:$B,2,0)</f>
        <v>BR Lactose Free Vanilla 6 1.5QT</v>
      </c>
      <c r="F1168" s="3" t="s">
        <v>21</v>
      </c>
    </row>
    <row r="1169" spans="1:6" x14ac:dyDescent="0.25">
      <c r="A1169" s="3">
        <v>68821735</v>
      </c>
      <c r="B1169" s="3">
        <v>2904</v>
      </c>
      <c r="C1169" s="24">
        <v>2992</v>
      </c>
      <c r="D1169" s="4">
        <v>46088</v>
      </c>
      <c r="E1169" t="str">
        <f>VLOOKUP($A1169,Sheet4!$A:$B,2,0)</f>
        <v>BR Lactose Free Vanilla 6 1.5QT</v>
      </c>
      <c r="F1169" s="3" t="s">
        <v>17</v>
      </c>
    </row>
    <row r="1170" spans="1:6" x14ac:dyDescent="0.25">
      <c r="A1170" s="3">
        <v>68821735</v>
      </c>
      <c r="B1170" s="3">
        <v>2904</v>
      </c>
      <c r="C1170" s="24">
        <v>5225</v>
      </c>
      <c r="D1170" s="4">
        <v>46089</v>
      </c>
      <c r="E1170" t="str">
        <f>VLOOKUP($A1170,Sheet4!$A:$B,2,0)</f>
        <v>BR Lactose Free Vanilla 6 1.5QT</v>
      </c>
      <c r="F1170" s="3" t="s">
        <v>17</v>
      </c>
    </row>
    <row r="1171" spans="1:6" x14ac:dyDescent="0.25">
      <c r="A1171" s="3">
        <v>68821735</v>
      </c>
      <c r="B1171" s="3">
        <v>2904</v>
      </c>
      <c r="C1171" s="24">
        <v>6988</v>
      </c>
      <c r="D1171" s="4">
        <v>46089</v>
      </c>
      <c r="E1171" t="str">
        <f>VLOOKUP($A1171,Sheet4!$A:$B,2,0)</f>
        <v>BR Lactose Free Vanilla 6 1.5QT</v>
      </c>
      <c r="F1171" s="3" t="s">
        <v>17</v>
      </c>
    </row>
    <row r="1172" spans="1:6" x14ac:dyDescent="0.25">
      <c r="A1172" s="3">
        <v>68821735</v>
      </c>
      <c r="B1172" s="3">
        <v>2904</v>
      </c>
      <c r="C1172" s="24">
        <v>5984</v>
      </c>
      <c r="D1172" s="4">
        <v>46090</v>
      </c>
      <c r="E1172" t="str">
        <f>VLOOKUP($A1172,Sheet4!$A:$B,2,0)</f>
        <v>BR Lactose Free Vanilla 6 1.5QT</v>
      </c>
      <c r="F1172" s="3" t="s">
        <v>17</v>
      </c>
    </row>
    <row r="1173" spans="1:6" x14ac:dyDescent="0.25">
      <c r="A1173" s="3">
        <v>68821735</v>
      </c>
      <c r="B1173" s="3">
        <v>2904</v>
      </c>
      <c r="C1173" s="24">
        <v>7040</v>
      </c>
      <c r="D1173" s="4">
        <v>46105</v>
      </c>
      <c r="E1173" t="str">
        <f>VLOOKUP($A1173,Sheet4!$A:$B,2,0)</f>
        <v>BR Lactose Free Vanilla 6 1.5QT</v>
      </c>
      <c r="F1173" s="3" t="s">
        <v>21</v>
      </c>
    </row>
    <row r="1174" spans="1:6" x14ac:dyDescent="0.25">
      <c r="A1174" s="3">
        <v>68821735</v>
      </c>
      <c r="B1174" s="3">
        <v>2904</v>
      </c>
      <c r="C1174" s="24">
        <v>3120</v>
      </c>
      <c r="D1174" s="4">
        <v>46090</v>
      </c>
      <c r="E1174" t="str">
        <f>VLOOKUP($A1174,Sheet4!$A:$B,2,0)</f>
        <v>BR Lactose Free Vanilla 6 1.5QT</v>
      </c>
      <c r="F1174" s="3" t="s">
        <v>17</v>
      </c>
    </row>
    <row r="1175" spans="1:6" x14ac:dyDescent="0.25">
      <c r="A1175" s="3">
        <v>68821735</v>
      </c>
      <c r="B1175" s="3">
        <v>2904</v>
      </c>
      <c r="C1175" s="24">
        <v>2659</v>
      </c>
      <c r="D1175" s="4">
        <v>46090</v>
      </c>
      <c r="E1175" t="str">
        <f>VLOOKUP($A1175,Sheet4!$A:$B,2,0)</f>
        <v>BR Lactose Free Vanilla 6 1.5QT</v>
      </c>
      <c r="F1175" s="3" t="s">
        <v>21</v>
      </c>
    </row>
    <row r="1176" spans="1:6" x14ac:dyDescent="0.25">
      <c r="A1176" s="3">
        <v>68821735</v>
      </c>
      <c r="B1176" s="3">
        <v>2904</v>
      </c>
      <c r="C1176" s="24">
        <v>704</v>
      </c>
      <c r="D1176" s="4">
        <v>46104</v>
      </c>
      <c r="E1176" t="str">
        <f>VLOOKUP($A1176,Sheet4!$A:$B,2,0)</f>
        <v>BR Lactose Free Vanilla 6 1.5QT</v>
      </c>
      <c r="F1176" s="3" t="s">
        <v>21</v>
      </c>
    </row>
    <row r="1177" spans="1:6" x14ac:dyDescent="0.25">
      <c r="A1177" s="3">
        <v>68821735</v>
      </c>
      <c r="B1177" s="3">
        <v>2904</v>
      </c>
      <c r="C1177" s="24">
        <v>5236</v>
      </c>
      <c r="D1177" s="4">
        <v>46105</v>
      </c>
      <c r="E1177" t="str">
        <f>VLOOKUP($A1177,Sheet4!$A:$B,2,0)</f>
        <v>BR Lactose Free Vanilla 6 1.5QT</v>
      </c>
      <c r="F1177" s="3" t="s">
        <v>21</v>
      </c>
    </row>
    <row r="1178" spans="1:6" x14ac:dyDescent="0.25">
      <c r="A1178" s="3">
        <v>68851104</v>
      </c>
      <c r="B1178" s="3">
        <v>2904</v>
      </c>
      <c r="C1178" s="24">
        <v>30</v>
      </c>
      <c r="D1178" s="4">
        <v>46076</v>
      </c>
      <c r="E1178" t="str">
        <f>VLOOKUP($A1178,Sheet4!$A:$B,2,0)</f>
        <v>BR Chocolate 6-1.5QT</v>
      </c>
      <c r="F1178" s="3" t="s">
        <v>21</v>
      </c>
    </row>
    <row r="1179" spans="1:6" x14ac:dyDescent="0.25">
      <c r="A1179" s="3">
        <v>68851104</v>
      </c>
      <c r="B1179" s="3">
        <v>2904</v>
      </c>
      <c r="C1179" s="24">
        <v>3905</v>
      </c>
      <c r="D1179" s="4">
        <v>46097</v>
      </c>
      <c r="E1179" t="str">
        <f>VLOOKUP($A1179,Sheet4!$A:$B,2,0)</f>
        <v>BR Chocolate 6-1.5QT</v>
      </c>
      <c r="F1179" s="3" t="s">
        <v>21</v>
      </c>
    </row>
    <row r="1180" spans="1:6" x14ac:dyDescent="0.25">
      <c r="A1180" s="3">
        <v>68851104</v>
      </c>
      <c r="B1180" s="3">
        <v>2904</v>
      </c>
      <c r="C1180" s="24">
        <v>5443</v>
      </c>
      <c r="D1180" s="4">
        <v>46098</v>
      </c>
      <c r="E1180" t="str">
        <f>VLOOKUP($A1180,Sheet4!$A:$B,2,0)</f>
        <v>BR Chocolate 6-1.5QT</v>
      </c>
      <c r="F1180" s="3" t="s">
        <v>21</v>
      </c>
    </row>
    <row r="1181" spans="1:6" x14ac:dyDescent="0.25">
      <c r="A1181" s="3">
        <v>68851104</v>
      </c>
      <c r="B1181" s="3">
        <v>2904</v>
      </c>
      <c r="C1181" s="24">
        <v>-98</v>
      </c>
      <c r="D1181" s="4">
        <v>46100</v>
      </c>
      <c r="E1181" t="str">
        <f>VLOOKUP($A1181,Sheet4!$A:$B,2,0)</f>
        <v>BR Chocolate 6-1.5QT</v>
      </c>
      <c r="F1181" s="3" t="s">
        <v>21</v>
      </c>
    </row>
    <row r="1182" spans="1:6" x14ac:dyDescent="0.25">
      <c r="A1182" s="3">
        <v>68851104</v>
      </c>
      <c r="B1182" s="3">
        <v>2904</v>
      </c>
      <c r="C1182" s="24">
        <v>7920</v>
      </c>
      <c r="D1182" s="4">
        <v>46098</v>
      </c>
      <c r="E1182" t="str">
        <f>VLOOKUP($A1182,Sheet4!$A:$B,2,0)</f>
        <v>BR Chocolate 6-1.5QT</v>
      </c>
      <c r="F1182" s="3" t="s">
        <v>21</v>
      </c>
    </row>
    <row r="1183" spans="1:6" x14ac:dyDescent="0.25">
      <c r="A1183" s="3">
        <v>68851104</v>
      </c>
      <c r="B1183" s="3">
        <v>2904</v>
      </c>
      <c r="C1183" s="24">
        <v>5632</v>
      </c>
      <c r="D1183" s="4">
        <v>46099</v>
      </c>
      <c r="E1183" t="str">
        <f>VLOOKUP($A1183,Sheet4!$A:$B,2,0)</f>
        <v>BR Chocolate 6-1.5QT</v>
      </c>
      <c r="F1183" s="3" t="s">
        <v>21</v>
      </c>
    </row>
    <row r="1184" spans="1:6" x14ac:dyDescent="0.25">
      <c r="A1184" s="3">
        <v>68851104</v>
      </c>
      <c r="B1184" s="3">
        <v>2904</v>
      </c>
      <c r="C1184" s="24">
        <v>634</v>
      </c>
      <c r="D1184" s="4">
        <v>46099</v>
      </c>
      <c r="E1184" t="str">
        <f>VLOOKUP($A1184,Sheet4!$A:$B,2,0)</f>
        <v>BR Chocolate 6-1.5QT</v>
      </c>
      <c r="F1184" s="3" t="s">
        <v>21</v>
      </c>
    </row>
    <row r="1185" spans="1:6" x14ac:dyDescent="0.25">
      <c r="A1185" s="3">
        <v>68851104</v>
      </c>
      <c r="B1185" s="3">
        <v>2904</v>
      </c>
      <c r="C1185" s="24">
        <v>1232</v>
      </c>
      <c r="D1185" s="4">
        <v>46100</v>
      </c>
      <c r="E1185" t="str">
        <f>VLOOKUP($A1185,Sheet4!$A:$B,2,0)</f>
        <v>BR Chocolate 6-1.5QT</v>
      </c>
      <c r="F1185" s="3" t="s">
        <v>21</v>
      </c>
    </row>
    <row r="1186" spans="1:6" x14ac:dyDescent="0.25">
      <c r="A1186" s="3">
        <v>68851104</v>
      </c>
      <c r="B1186" s="3">
        <v>2904</v>
      </c>
      <c r="C1186" s="24">
        <v>7524</v>
      </c>
      <c r="D1186" s="4">
        <v>46100</v>
      </c>
      <c r="E1186" t="str">
        <f>VLOOKUP($A1186,Sheet4!$A:$B,2,0)</f>
        <v>BR Chocolate 6-1.5QT</v>
      </c>
      <c r="F1186" s="3" t="s">
        <v>21</v>
      </c>
    </row>
    <row r="1187" spans="1:6" x14ac:dyDescent="0.25">
      <c r="A1187" s="3">
        <v>68851104</v>
      </c>
      <c r="B1187" s="3">
        <v>2904</v>
      </c>
      <c r="C1187" s="24">
        <v>7139</v>
      </c>
      <c r="D1187" s="4">
        <v>46101</v>
      </c>
      <c r="E1187" t="str">
        <f>VLOOKUP($A1187,Sheet4!$A:$B,2,0)</f>
        <v>BR Chocolate 6-1.5QT</v>
      </c>
      <c r="F1187" s="3" t="s">
        <v>21</v>
      </c>
    </row>
    <row r="1188" spans="1:6" x14ac:dyDescent="0.25">
      <c r="A1188" s="3">
        <v>68851104</v>
      </c>
      <c r="B1188" s="3">
        <v>2904</v>
      </c>
      <c r="C1188" s="24">
        <v>176</v>
      </c>
      <c r="D1188" s="4">
        <v>46076</v>
      </c>
      <c r="E1188" t="str">
        <f>VLOOKUP($A1188,Sheet4!$A:$B,2,0)</f>
        <v>BR Chocolate 6-1.5QT</v>
      </c>
      <c r="F1188" s="3" t="s">
        <v>17</v>
      </c>
    </row>
    <row r="1189" spans="1:6" x14ac:dyDescent="0.25">
      <c r="A1189" s="3">
        <v>68851104</v>
      </c>
      <c r="B1189" s="3">
        <v>2904</v>
      </c>
      <c r="C1189" s="24">
        <v>5341</v>
      </c>
      <c r="D1189" s="4">
        <v>46076</v>
      </c>
      <c r="E1189" t="str">
        <f>VLOOKUP($A1189,Sheet4!$A:$B,2,0)</f>
        <v>BR Chocolate 6-1.5QT</v>
      </c>
      <c r="F1189" s="3" t="s">
        <v>17</v>
      </c>
    </row>
    <row r="1190" spans="1:6" x14ac:dyDescent="0.25">
      <c r="A1190" s="3">
        <v>68851104</v>
      </c>
      <c r="B1190" s="3">
        <v>2904</v>
      </c>
      <c r="C1190" s="24">
        <v>7216</v>
      </c>
      <c r="D1190" s="4">
        <v>46077</v>
      </c>
      <c r="E1190" t="str">
        <f>VLOOKUP($A1190,Sheet4!$A:$B,2,0)</f>
        <v>BR Chocolate 6-1.5QT</v>
      </c>
      <c r="F1190" s="3" t="s">
        <v>17</v>
      </c>
    </row>
    <row r="1191" spans="1:6" x14ac:dyDescent="0.25">
      <c r="A1191" s="3">
        <v>68851104</v>
      </c>
      <c r="B1191" s="3">
        <v>2904</v>
      </c>
      <c r="C1191" s="24">
        <v>1149</v>
      </c>
      <c r="D1191" s="4">
        <v>46077</v>
      </c>
      <c r="E1191" t="str">
        <f>VLOOKUP($A1191,Sheet4!$A:$B,2,0)</f>
        <v>BR Chocolate 6-1.5QT</v>
      </c>
      <c r="F1191" s="3" t="s">
        <v>17</v>
      </c>
    </row>
    <row r="1192" spans="1:6" x14ac:dyDescent="0.25">
      <c r="A1192" s="3">
        <v>68851104</v>
      </c>
      <c r="B1192" s="3">
        <v>2904</v>
      </c>
      <c r="C1192" s="24">
        <v>352</v>
      </c>
      <c r="D1192" s="4">
        <v>46078</v>
      </c>
      <c r="E1192" t="str">
        <f>VLOOKUP($A1192,Sheet4!$A:$B,2,0)</f>
        <v>BR Chocolate 6-1.5QT</v>
      </c>
      <c r="F1192" s="3" t="s">
        <v>17</v>
      </c>
    </row>
    <row r="1193" spans="1:6" x14ac:dyDescent="0.25">
      <c r="A1193" s="3">
        <v>68851104</v>
      </c>
      <c r="B1193" s="3">
        <v>2904</v>
      </c>
      <c r="C1193" s="24">
        <v>141</v>
      </c>
      <c r="D1193" s="4">
        <v>46098</v>
      </c>
      <c r="E1193" t="str">
        <f>VLOOKUP($A1193,Sheet4!$A:$B,2,0)</f>
        <v>BR Chocolate 6-1.5QT</v>
      </c>
      <c r="F1193" s="3" t="s">
        <v>21</v>
      </c>
    </row>
    <row r="1194" spans="1:6" x14ac:dyDescent="0.25">
      <c r="A1194" s="3">
        <v>68851104</v>
      </c>
      <c r="B1194" s="3">
        <v>2904</v>
      </c>
      <c r="C1194" s="24">
        <v>3591</v>
      </c>
      <c r="D1194" s="4">
        <v>46101</v>
      </c>
      <c r="E1194" t="str">
        <f>VLOOKUP($A1194,Sheet4!$A:$B,2,0)</f>
        <v>BR Chocolate 6-1.5QT</v>
      </c>
      <c r="F1194" s="3" t="s">
        <v>21</v>
      </c>
    </row>
    <row r="1195" spans="1:6" x14ac:dyDescent="0.25">
      <c r="A1195" s="3">
        <v>68851105</v>
      </c>
      <c r="B1195" s="3">
        <v>2904</v>
      </c>
      <c r="C1195" s="24">
        <v>-45</v>
      </c>
      <c r="D1195" s="4">
        <v>46076</v>
      </c>
      <c r="E1195" t="str">
        <f>VLOOKUP($A1195,Sheet4!$A:$B,2,0)</f>
        <v>BR HA VAN CHOC STRAW 6-1.5QT</v>
      </c>
      <c r="F1195" s="3" t="s">
        <v>12</v>
      </c>
    </row>
    <row r="1196" spans="1:6" x14ac:dyDescent="0.25">
      <c r="A1196" s="3">
        <v>68851105</v>
      </c>
      <c r="B1196" s="3">
        <v>2904</v>
      </c>
      <c r="C1196" s="24">
        <v>-11</v>
      </c>
      <c r="D1196" s="4">
        <v>46094</v>
      </c>
      <c r="E1196" t="str">
        <f>VLOOKUP($A1196,Sheet4!$A:$B,2,0)</f>
        <v>BR HA VAN CHOC STRAW 6-1.5QT</v>
      </c>
      <c r="F1196" s="3" t="s">
        <v>12</v>
      </c>
    </row>
    <row r="1197" spans="1:6" x14ac:dyDescent="0.25">
      <c r="A1197" s="3">
        <v>68851105</v>
      </c>
      <c r="B1197" s="3">
        <v>2904</v>
      </c>
      <c r="C1197" s="24">
        <v>4466</v>
      </c>
      <c r="D1197" s="4">
        <v>46077</v>
      </c>
      <c r="E1197" t="str">
        <f>VLOOKUP($A1197,Sheet4!$A:$B,2,0)</f>
        <v>BR HA VAN CHOC STRAW 6-1.5QT</v>
      </c>
      <c r="F1197" s="3" t="s">
        <v>12</v>
      </c>
    </row>
    <row r="1198" spans="1:6" x14ac:dyDescent="0.25">
      <c r="A1198" s="3">
        <v>68851105</v>
      </c>
      <c r="B1198" s="3">
        <v>2904</v>
      </c>
      <c r="C1198" s="24">
        <v>5163</v>
      </c>
      <c r="D1198" s="4">
        <v>46078</v>
      </c>
      <c r="E1198" t="str">
        <f>VLOOKUP($A1198,Sheet4!$A:$B,2,0)</f>
        <v>BR HA VAN CHOC STRAW 6-1.5QT</v>
      </c>
      <c r="F1198" s="3" t="s">
        <v>12</v>
      </c>
    </row>
    <row r="1199" spans="1:6" x14ac:dyDescent="0.25">
      <c r="A1199" s="3">
        <v>68851105</v>
      </c>
      <c r="B1199" s="3">
        <v>2904</v>
      </c>
      <c r="C1199" s="24">
        <v>8624</v>
      </c>
      <c r="D1199" s="4">
        <v>46104</v>
      </c>
      <c r="E1199" t="str">
        <f>VLOOKUP($A1199,Sheet4!$A:$B,2,0)</f>
        <v>BR HA VAN CHOC STRAW 6-1.5QT</v>
      </c>
      <c r="F1199" s="3" t="s">
        <v>12</v>
      </c>
    </row>
    <row r="1200" spans="1:6" x14ac:dyDescent="0.25">
      <c r="A1200" s="3">
        <v>68851105</v>
      </c>
      <c r="B1200" s="3">
        <v>2904</v>
      </c>
      <c r="C1200" s="24">
        <v>3609</v>
      </c>
      <c r="D1200" s="4">
        <v>46105</v>
      </c>
      <c r="E1200" t="str">
        <f>VLOOKUP($A1200,Sheet4!$A:$B,2,0)</f>
        <v>BR HA VAN CHOC STRAW 6-1.5QT</v>
      </c>
      <c r="F1200" s="3" t="s">
        <v>12</v>
      </c>
    </row>
    <row r="1201" spans="1:6" x14ac:dyDescent="0.25">
      <c r="A1201" s="3">
        <v>68851106</v>
      </c>
      <c r="B1201" s="3">
        <v>2904</v>
      </c>
      <c r="C1201" s="24">
        <v>9856</v>
      </c>
      <c r="D1201" s="4">
        <v>46081</v>
      </c>
      <c r="E1201" t="str">
        <f>VLOOKUP($A1201,Sheet4!$A:$B,2,0)</f>
        <v>BR HA NAT Vanilla 6-1.5QT</v>
      </c>
      <c r="F1201" s="3" t="s">
        <v>12</v>
      </c>
    </row>
    <row r="1202" spans="1:6" x14ac:dyDescent="0.25">
      <c r="A1202" s="3">
        <v>68851106</v>
      </c>
      <c r="B1202" s="3">
        <v>2904</v>
      </c>
      <c r="C1202" s="24">
        <v>6462</v>
      </c>
      <c r="D1202" s="4">
        <v>46082</v>
      </c>
      <c r="E1202" t="str">
        <f>VLOOKUP($A1202,Sheet4!$A:$B,2,0)</f>
        <v>BR HA NAT Vanilla 6-1.5QT</v>
      </c>
      <c r="F1202" s="3" t="s">
        <v>12</v>
      </c>
    </row>
    <row r="1203" spans="1:6" x14ac:dyDescent="0.25">
      <c r="A1203" s="3">
        <v>68851106</v>
      </c>
      <c r="B1203" s="3">
        <v>2904</v>
      </c>
      <c r="C1203" s="24">
        <v>2618</v>
      </c>
      <c r="D1203" s="4">
        <v>46081</v>
      </c>
      <c r="E1203" t="str">
        <f>VLOOKUP($A1203,Sheet4!$A:$B,2,0)</f>
        <v>BR HA NAT Vanilla 6-1.5QT</v>
      </c>
      <c r="F1203" s="3" t="s">
        <v>12</v>
      </c>
    </row>
    <row r="1204" spans="1:6" x14ac:dyDescent="0.25">
      <c r="A1204" s="3">
        <v>68851107</v>
      </c>
      <c r="B1204" s="3">
        <v>2904</v>
      </c>
      <c r="C1204" s="24">
        <v>-80</v>
      </c>
      <c r="D1204" s="4">
        <v>46101</v>
      </c>
      <c r="E1204" t="str">
        <f>VLOOKUP($A1204,Sheet4!$A:$B,2,0)</f>
        <v>BR NAT Vanilla 6-1.5QT</v>
      </c>
      <c r="F1204" s="3" t="s">
        <v>12</v>
      </c>
    </row>
    <row r="1205" spans="1:6" x14ac:dyDescent="0.25">
      <c r="A1205" s="3">
        <v>68851107</v>
      </c>
      <c r="B1205" s="3">
        <v>2904</v>
      </c>
      <c r="C1205" s="24">
        <v>14080</v>
      </c>
      <c r="D1205" s="4">
        <v>46076</v>
      </c>
      <c r="E1205" t="str">
        <f>VLOOKUP($A1205,Sheet4!$A:$B,2,0)</f>
        <v>BR NAT Vanilla 6-1.5QT</v>
      </c>
      <c r="F1205" s="3" t="s">
        <v>12</v>
      </c>
    </row>
    <row r="1206" spans="1:6" x14ac:dyDescent="0.25">
      <c r="A1206" s="3">
        <v>68851107</v>
      </c>
      <c r="B1206" s="3">
        <v>2904</v>
      </c>
      <c r="C1206" s="24">
        <v>10701</v>
      </c>
      <c r="D1206" s="4">
        <v>46076</v>
      </c>
      <c r="E1206" t="str">
        <f>VLOOKUP($A1206,Sheet4!$A:$B,2,0)</f>
        <v>BR NAT Vanilla 6-1.5QT</v>
      </c>
      <c r="F1206" s="3" t="s">
        <v>12</v>
      </c>
    </row>
    <row r="1207" spans="1:6" x14ac:dyDescent="0.25">
      <c r="A1207" s="3">
        <v>68851107</v>
      </c>
      <c r="B1207" s="3">
        <v>2904</v>
      </c>
      <c r="C1207" s="24">
        <v>11967</v>
      </c>
      <c r="D1207" s="4">
        <v>46077</v>
      </c>
      <c r="E1207" t="str">
        <f>VLOOKUP($A1207,Sheet4!$A:$B,2,0)</f>
        <v>BR NAT Vanilla 6-1.5QT</v>
      </c>
      <c r="F1207" s="3" t="s">
        <v>12</v>
      </c>
    </row>
    <row r="1208" spans="1:6" x14ac:dyDescent="0.25">
      <c r="A1208" s="3">
        <v>68851107</v>
      </c>
      <c r="B1208" s="3">
        <v>2904</v>
      </c>
      <c r="C1208" s="24">
        <v>-214</v>
      </c>
      <c r="D1208" s="4">
        <v>46080</v>
      </c>
      <c r="E1208" t="str">
        <f>VLOOKUP($A1208,Sheet4!$A:$B,2,0)</f>
        <v>BR NAT Vanilla 6-1.5QT</v>
      </c>
      <c r="F1208" s="3" t="s">
        <v>12</v>
      </c>
    </row>
    <row r="1209" spans="1:6" x14ac:dyDescent="0.25">
      <c r="A1209" s="3">
        <v>68851107</v>
      </c>
      <c r="B1209" s="3">
        <v>2904</v>
      </c>
      <c r="C1209" s="24">
        <v>11616</v>
      </c>
      <c r="D1209" s="4">
        <v>46084</v>
      </c>
      <c r="E1209" t="str">
        <f>VLOOKUP($A1209,Sheet4!$A:$B,2,0)</f>
        <v>BR NAT Vanilla 6-1.5QT</v>
      </c>
      <c r="F1209" s="3" t="s">
        <v>12</v>
      </c>
    </row>
    <row r="1210" spans="1:6" x14ac:dyDescent="0.25">
      <c r="A1210" s="3">
        <v>68851107</v>
      </c>
      <c r="B1210" s="3">
        <v>2904</v>
      </c>
      <c r="C1210" s="24">
        <v>12143</v>
      </c>
      <c r="D1210" s="4">
        <v>46085</v>
      </c>
      <c r="E1210" t="str">
        <f>VLOOKUP($A1210,Sheet4!$A:$B,2,0)</f>
        <v>BR NAT Vanilla 6-1.5QT</v>
      </c>
      <c r="F1210" s="3" t="s">
        <v>12</v>
      </c>
    </row>
    <row r="1211" spans="1:6" x14ac:dyDescent="0.25">
      <c r="A1211" s="3">
        <v>68851107</v>
      </c>
      <c r="B1211" s="3">
        <v>2904</v>
      </c>
      <c r="C1211" s="24">
        <v>176</v>
      </c>
      <c r="D1211" s="4">
        <v>46086</v>
      </c>
      <c r="E1211" t="str">
        <f>VLOOKUP($A1211,Sheet4!$A:$B,2,0)</f>
        <v>BR NAT Vanilla 6-1.5QT</v>
      </c>
      <c r="F1211" s="3" t="s">
        <v>12</v>
      </c>
    </row>
    <row r="1212" spans="1:6" x14ac:dyDescent="0.25">
      <c r="A1212" s="3">
        <v>68851107</v>
      </c>
      <c r="B1212" s="3">
        <v>2904</v>
      </c>
      <c r="C1212" s="24">
        <v>11792</v>
      </c>
      <c r="D1212" s="4">
        <v>46085</v>
      </c>
      <c r="E1212" t="str">
        <f>VLOOKUP($A1212,Sheet4!$A:$B,2,0)</f>
        <v>BR NAT Vanilla 6-1.5QT</v>
      </c>
      <c r="F1212" s="3" t="s">
        <v>12</v>
      </c>
    </row>
    <row r="1213" spans="1:6" x14ac:dyDescent="0.25">
      <c r="A1213" s="3">
        <v>68851107</v>
      </c>
      <c r="B1213" s="3">
        <v>2904</v>
      </c>
      <c r="C1213" s="24">
        <v>12496</v>
      </c>
      <c r="D1213" s="4">
        <v>46086</v>
      </c>
      <c r="E1213" t="str">
        <f>VLOOKUP($A1213,Sheet4!$A:$B,2,0)</f>
        <v>BR NAT Vanilla 6-1.5QT</v>
      </c>
      <c r="F1213" s="3" t="s">
        <v>12</v>
      </c>
    </row>
    <row r="1214" spans="1:6" x14ac:dyDescent="0.25">
      <c r="A1214" s="3">
        <v>68851107</v>
      </c>
      <c r="B1214" s="3">
        <v>2904</v>
      </c>
      <c r="C1214" s="24">
        <v>12496</v>
      </c>
      <c r="D1214" s="4">
        <v>46086</v>
      </c>
      <c r="E1214" t="str">
        <f>VLOOKUP($A1214,Sheet4!$A:$B,2,0)</f>
        <v>BR NAT Vanilla 6-1.5QT</v>
      </c>
      <c r="F1214" s="3" t="s">
        <v>12</v>
      </c>
    </row>
    <row r="1215" spans="1:6" x14ac:dyDescent="0.25">
      <c r="A1215" s="3">
        <v>68851107</v>
      </c>
      <c r="B1215" s="3">
        <v>2904</v>
      </c>
      <c r="C1215" s="24">
        <v>13012</v>
      </c>
      <c r="D1215" s="4">
        <v>46087</v>
      </c>
      <c r="E1215" t="str">
        <f>VLOOKUP($A1215,Sheet4!$A:$B,2,0)</f>
        <v>BR NAT Vanilla 6-1.5QT</v>
      </c>
      <c r="F1215" s="3" t="s">
        <v>12</v>
      </c>
    </row>
    <row r="1216" spans="1:6" x14ac:dyDescent="0.25">
      <c r="A1216" s="3">
        <v>68851107</v>
      </c>
      <c r="B1216" s="3">
        <v>2904</v>
      </c>
      <c r="C1216" s="24">
        <v>9856</v>
      </c>
      <c r="D1216" s="4">
        <v>46087</v>
      </c>
      <c r="E1216" t="str">
        <f>VLOOKUP($A1216,Sheet4!$A:$B,2,0)</f>
        <v>BR NAT Vanilla 6-1.5QT</v>
      </c>
      <c r="F1216" s="3" t="s">
        <v>12</v>
      </c>
    </row>
    <row r="1217" spans="1:6" x14ac:dyDescent="0.25">
      <c r="A1217" s="3">
        <v>68851107</v>
      </c>
      <c r="B1217" s="3">
        <v>2904</v>
      </c>
      <c r="C1217" s="24">
        <v>4455</v>
      </c>
      <c r="D1217" s="4">
        <v>46088</v>
      </c>
      <c r="E1217" t="str">
        <f>VLOOKUP($A1217,Sheet4!$A:$B,2,0)</f>
        <v>BR NAT Vanilla 6-1.5QT</v>
      </c>
      <c r="F1217" s="3" t="s">
        <v>12</v>
      </c>
    </row>
    <row r="1218" spans="1:6" x14ac:dyDescent="0.25">
      <c r="A1218" s="3">
        <v>68851107</v>
      </c>
      <c r="B1218" s="3">
        <v>2904</v>
      </c>
      <c r="C1218" s="24">
        <v>1760</v>
      </c>
      <c r="D1218" s="4">
        <v>46082</v>
      </c>
      <c r="E1218" t="str">
        <f>VLOOKUP($A1218,Sheet4!$A:$B,2,0)</f>
        <v>BR NAT Vanilla 6-1.5QT</v>
      </c>
      <c r="F1218" s="3" t="s">
        <v>12</v>
      </c>
    </row>
    <row r="1219" spans="1:6" x14ac:dyDescent="0.25">
      <c r="A1219" s="3">
        <v>68851107</v>
      </c>
      <c r="B1219" s="3">
        <v>2904</v>
      </c>
      <c r="C1219" s="24">
        <v>10560</v>
      </c>
      <c r="D1219" s="4">
        <v>46082</v>
      </c>
      <c r="E1219" t="str">
        <f>VLOOKUP($A1219,Sheet4!$A:$B,2,0)</f>
        <v>BR NAT Vanilla 6-1.5QT</v>
      </c>
      <c r="F1219" s="3" t="s">
        <v>12</v>
      </c>
    </row>
    <row r="1220" spans="1:6" x14ac:dyDescent="0.25">
      <c r="A1220" s="3">
        <v>68851107</v>
      </c>
      <c r="B1220" s="3">
        <v>2904</v>
      </c>
      <c r="C1220" s="24">
        <v>7557</v>
      </c>
      <c r="D1220" s="4">
        <v>46083</v>
      </c>
      <c r="E1220" t="str">
        <f>VLOOKUP($A1220,Sheet4!$A:$B,2,0)</f>
        <v>BR NAT Vanilla 6-1.5QT</v>
      </c>
      <c r="F1220" s="3" t="s">
        <v>12</v>
      </c>
    </row>
    <row r="1221" spans="1:6" x14ac:dyDescent="0.25">
      <c r="A1221" s="3">
        <v>68851107</v>
      </c>
      <c r="B1221" s="3">
        <v>2904</v>
      </c>
      <c r="C1221" s="24">
        <v>12848</v>
      </c>
      <c r="D1221" s="4">
        <v>46092</v>
      </c>
      <c r="E1221" t="str">
        <f>VLOOKUP($A1221,Sheet4!$A:$B,2,0)</f>
        <v>BR NAT Vanilla 6-1.5QT</v>
      </c>
      <c r="F1221" s="3" t="s">
        <v>12</v>
      </c>
    </row>
    <row r="1222" spans="1:6" x14ac:dyDescent="0.25">
      <c r="A1222" s="3">
        <v>68851107</v>
      </c>
      <c r="B1222" s="3">
        <v>2904</v>
      </c>
      <c r="C1222" s="24">
        <v>9680</v>
      </c>
      <c r="D1222" s="4">
        <v>46093</v>
      </c>
      <c r="E1222" t="str">
        <f>VLOOKUP($A1222,Sheet4!$A:$B,2,0)</f>
        <v>BR NAT Vanilla 6-1.5QT</v>
      </c>
      <c r="F1222" s="3" t="s">
        <v>12</v>
      </c>
    </row>
    <row r="1223" spans="1:6" x14ac:dyDescent="0.25">
      <c r="A1223" s="3">
        <v>68851107</v>
      </c>
      <c r="B1223" s="3">
        <v>2904</v>
      </c>
      <c r="C1223" s="24">
        <v>12232</v>
      </c>
      <c r="D1223" s="4">
        <v>46093</v>
      </c>
      <c r="E1223" t="str">
        <f>VLOOKUP($A1223,Sheet4!$A:$B,2,0)</f>
        <v>BR NAT Vanilla 6-1.5QT</v>
      </c>
      <c r="F1223" s="3" t="s">
        <v>12</v>
      </c>
    </row>
    <row r="1224" spans="1:6" x14ac:dyDescent="0.25">
      <c r="A1224" s="3">
        <v>68851107</v>
      </c>
      <c r="B1224" s="3">
        <v>2904</v>
      </c>
      <c r="C1224" s="24">
        <v>9152</v>
      </c>
      <c r="D1224" s="4">
        <v>46094</v>
      </c>
      <c r="E1224" t="str">
        <f>VLOOKUP($A1224,Sheet4!$A:$B,2,0)</f>
        <v>BR NAT Vanilla 6-1.5QT</v>
      </c>
      <c r="F1224" s="3" t="s">
        <v>12</v>
      </c>
    </row>
    <row r="1225" spans="1:6" x14ac:dyDescent="0.25">
      <c r="A1225" s="3">
        <v>68851107</v>
      </c>
      <c r="B1225" s="3">
        <v>2904</v>
      </c>
      <c r="C1225" s="24">
        <v>12672</v>
      </c>
      <c r="D1225" s="4">
        <v>46094</v>
      </c>
      <c r="E1225" t="str">
        <f>VLOOKUP($A1225,Sheet4!$A:$B,2,0)</f>
        <v>BR NAT Vanilla 6-1.5QT</v>
      </c>
      <c r="F1225" s="3" t="s">
        <v>12</v>
      </c>
    </row>
    <row r="1226" spans="1:6" x14ac:dyDescent="0.25">
      <c r="A1226" s="3">
        <v>68851107</v>
      </c>
      <c r="B1226" s="3">
        <v>2904</v>
      </c>
      <c r="C1226" s="24">
        <v>10724</v>
      </c>
      <c r="D1226" s="4">
        <v>46095</v>
      </c>
      <c r="E1226" t="str">
        <f>VLOOKUP($A1226,Sheet4!$A:$B,2,0)</f>
        <v>BR NAT Vanilla 6-1.5QT</v>
      </c>
      <c r="F1226" s="3" t="s">
        <v>12</v>
      </c>
    </row>
    <row r="1227" spans="1:6" x14ac:dyDescent="0.25">
      <c r="A1227" s="3">
        <v>68851107</v>
      </c>
      <c r="B1227" s="3">
        <v>2904</v>
      </c>
      <c r="C1227" s="24">
        <v>1232</v>
      </c>
      <c r="D1227" s="4">
        <v>46097</v>
      </c>
      <c r="E1227" t="str">
        <f>VLOOKUP($A1227,Sheet4!$A:$B,2,0)</f>
        <v>BR NAT Vanilla 6-1.5QT</v>
      </c>
      <c r="F1227" s="3" t="s">
        <v>12</v>
      </c>
    </row>
    <row r="1228" spans="1:6" x14ac:dyDescent="0.25">
      <c r="A1228" s="3">
        <v>68851107</v>
      </c>
      <c r="B1228" s="3">
        <v>2904</v>
      </c>
      <c r="C1228" s="24">
        <v>23538</v>
      </c>
      <c r="D1228" s="4">
        <v>46097</v>
      </c>
      <c r="E1228" t="str">
        <f>VLOOKUP($A1228,Sheet4!$A:$B,2,0)</f>
        <v>BR NAT Vanilla 6-1.5QT</v>
      </c>
      <c r="F1228" s="3" t="s">
        <v>12</v>
      </c>
    </row>
    <row r="1229" spans="1:6" x14ac:dyDescent="0.25">
      <c r="A1229" s="3">
        <v>68851107</v>
      </c>
      <c r="B1229" s="3">
        <v>2904</v>
      </c>
      <c r="C1229" s="24">
        <v>2112</v>
      </c>
      <c r="D1229" s="4">
        <v>46102</v>
      </c>
      <c r="E1229" t="str">
        <f>VLOOKUP($A1229,Sheet4!$A:$B,2,0)</f>
        <v>BR NAT Vanilla 6-1.5QT</v>
      </c>
      <c r="F1229" s="3" t="s">
        <v>12</v>
      </c>
    </row>
    <row r="1230" spans="1:6" x14ac:dyDescent="0.25">
      <c r="A1230" s="3">
        <v>68851107</v>
      </c>
      <c r="B1230" s="3">
        <v>2904</v>
      </c>
      <c r="C1230" s="24">
        <v>176</v>
      </c>
      <c r="D1230" s="4">
        <v>46101</v>
      </c>
      <c r="E1230" t="str">
        <f>VLOOKUP($A1230,Sheet4!$A:$B,2,0)</f>
        <v>BR NAT Vanilla 6-1.5QT</v>
      </c>
      <c r="F1230" s="3" t="s">
        <v>12</v>
      </c>
    </row>
    <row r="1231" spans="1:6" x14ac:dyDescent="0.25">
      <c r="A1231" s="3">
        <v>68851107</v>
      </c>
      <c r="B1231" s="3">
        <v>2904</v>
      </c>
      <c r="C1231" s="24">
        <v>840</v>
      </c>
      <c r="D1231" s="4">
        <v>46083</v>
      </c>
      <c r="E1231" t="str">
        <f>VLOOKUP($A1231,Sheet4!$A:$B,2,0)</f>
        <v>BR NAT Vanilla 6-1.5QT</v>
      </c>
      <c r="F1231" s="3" t="s">
        <v>12</v>
      </c>
    </row>
    <row r="1232" spans="1:6" x14ac:dyDescent="0.25">
      <c r="A1232" s="3">
        <v>68851107</v>
      </c>
      <c r="B1232" s="3">
        <v>2904</v>
      </c>
      <c r="C1232" s="24">
        <v>4636</v>
      </c>
      <c r="D1232" s="4">
        <v>46084</v>
      </c>
      <c r="E1232" t="str">
        <f>VLOOKUP($A1232,Sheet4!$A:$B,2,0)</f>
        <v>BR NAT Vanilla 6-1.5QT</v>
      </c>
      <c r="F1232" s="3" t="s">
        <v>12</v>
      </c>
    </row>
    <row r="1233" spans="1:6" x14ac:dyDescent="0.25">
      <c r="A1233" s="3">
        <v>68851107</v>
      </c>
      <c r="B1233" s="3">
        <v>2904</v>
      </c>
      <c r="C1233" s="24">
        <v>3143</v>
      </c>
      <c r="D1233" s="4">
        <v>46092</v>
      </c>
      <c r="E1233" t="str">
        <f>VLOOKUP($A1233,Sheet4!$A:$B,2,0)</f>
        <v>BR NAT Vanilla 6-1.5QT</v>
      </c>
      <c r="F1233" s="3" t="s">
        <v>12</v>
      </c>
    </row>
    <row r="1234" spans="1:6" x14ac:dyDescent="0.25">
      <c r="A1234" s="3">
        <v>68851107</v>
      </c>
      <c r="B1234" s="3">
        <v>2904</v>
      </c>
      <c r="C1234" s="24">
        <v>176</v>
      </c>
      <c r="D1234" s="4">
        <v>46093</v>
      </c>
      <c r="E1234" t="str">
        <f>VLOOKUP($A1234,Sheet4!$A:$B,2,0)</f>
        <v>BR NAT Vanilla 6-1.5QT</v>
      </c>
      <c r="F1234" s="3" t="s">
        <v>12</v>
      </c>
    </row>
    <row r="1235" spans="1:6" x14ac:dyDescent="0.25">
      <c r="A1235" s="3">
        <v>68851107</v>
      </c>
      <c r="B1235" s="3">
        <v>2904</v>
      </c>
      <c r="C1235" s="24">
        <v>8800</v>
      </c>
      <c r="D1235" s="4">
        <v>46097</v>
      </c>
      <c r="E1235" t="str">
        <f>VLOOKUP($A1235,Sheet4!$A:$B,2,0)</f>
        <v>BR NAT Vanilla 6-1.5QT</v>
      </c>
      <c r="F1235" s="3" t="s">
        <v>12</v>
      </c>
    </row>
    <row r="1236" spans="1:6" x14ac:dyDescent="0.25">
      <c r="A1236" s="3">
        <v>68851107</v>
      </c>
      <c r="B1236" s="3">
        <v>2904</v>
      </c>
      <c r="C1236" s="24">
        <v>352</v>
      </c>
      <c r="D1236" s="4">
        <v>46098</v>
      </c>
      <c r="E1236" t="str">
        <f>VLOOKUP($A1236,Sheet4!$A:$B,2,0)</f>
        <v>BR NAT Vanilla 6-1.5QT</v>
      </c>
      <c r="F1236" s="3" t="s">
        <v>12</v>
      </c>
    </row>
    <row r="1237" spans="1:6" x14ac:dyDescent="0.25">
      <c r="A1237" s="3">
        <v>68851107</v>
      </c>
      <c r="B1237" s="3">
        <v>2904</v>
      </c>
      <c r="C1237" s="24">
        <v>203</v>
      </c>
      <c r="D1237" s="4">
        <v>46099</v>
      </c>
      <c r="E1237" t="str">
        <f>VLOOKUP($A1237,Sheet4!$A:$B,2,0)</f>
        <v>BR NAT Vanilla 6-1.5QT</v>
      </c>
      <c r="F1237" s="3" t="s">
        <v>12</v>
      </c>
    </row>
    <row r="1238" spans="1:6" x14ac:dyDescent="0.25">
      <c r="A1238" s="3">
        <v>68851107</v>
      </c>
      <c r="B1238" s="3">
        <v>2904</v>
      </c>
      <c r="C1238" s="24">
        <v>10994</v>
      </c>
      <c r="D1238" s="4">
        <v>46102</v>
      </c>
      <c r="E1238" t="str">
        <f>VLOOKUP($A1238,Sheet4!$A:$B,2,0)</f>
        <v>BR NAT Vanilla 6-1.5QT</v>
      </c>
      <c r="F1238" s="3" t="s">
        <v>12</v>
      </c>
    </row>
    <row r="1239" spans="1:6" x14ac:dyDescent="0.25">
      <c r="A1239" s="3">
        <v>68851107</v>
      </c>
      <c r="B1239" s="3">
        <v>2904</v>
      </c>
      <c r="C1239" s="24">
        <v>9427</v>
      </c>
      <c r="D1239" s="4">
        <v>46103</v>
      </c>
      <c r="E1239" t="str">
        <f>VLOOKUP($A1239,Sheet4!$A:$B,2,0)</f>
        <v>BR NAT Vanilla 6-1.5QT</v>
      </c>
      <c r="F1239" s="3" t="s">
        <v>12</v>
      </c>
    </row>
    <row r="1240" spans="1:6" x14ac:dyDescent="0.25">
      <c r="A1240" s="3">
        <v>68851107</v>
      </c>
      <c r="B1240" s="3">
        <v>2904</v>
      </c>
      <c r="C1240" s="24">
        <v>176</v>
      </c>
      <c r="D1240" s="4">
        <v>46104</v>
      </c>
      <c r="E1240" t="str">
        <f>VLOOKUP($A1240,Sheet4!$A:$B,2,0)</f>
        <v>BR NAT Vanilla 6-1.5QT</v>
      </c>
      <c r="F1240" s="3" t="s">
        <v>12</v>
      </c>
    </row>
    <row r="1241" spans="1:6" x14ac:dyDescent="0.25">
      <c r="A1241" s="3">
        <v>68851107</v>
      </c>
      <c r="B1241" s="3">
        <v>2904</v>
      </c>
      <c r="C1241" s="24">
        <v>11002</v>
      </c>
      <c r="D1241" s="4">
        <v>46103</v>
      </c>
      <c r="E1241" t="str">
        <f>VLOOKUP($A1241,Sheet4!$A:$B,2,0)</f>
        <v>BR NAT Vanilla 6-1.5QT</v>
      </c>
      <c r="F1241" s="3" t="s">
        <v>12</v>
      </c>
    </row>
    <row r="1242" spans="1:6" x14ac:dyDescent="0.25">
      <c r="A1242" s="3">
        <v>68851107</v>
      </c>
      <c r="B1242" s="3">
        <v>2904</v>
      </c>
      <c r="C1242" s="24">
        <v>6711</v>
      </c>
      <c r="D1242" s="4">
        <v>46104</v>
      </c>
      <c r="E1242" t="str">
        <f>VLOOKUP($A1242,Sheet4!$A:$B,2,0)</f>
        <v>BR NAT Vanilla 6-1.5QT</v>
      </c>
      <c r="F1242" s="3" t="s">
        <v>12</v>
      </c>
    </row>
    <row r="1243" spans="1:6" x14ac:dyDescent="0.25">
      <c r="A1243" s="3">
        <v>68851108</v>
      </c>
      <c r="B1243" s="3">
        <v>2904</v>
      </c>
      <c r="C1243" s="24">
        <v>2997</v>
      </c>
      <c r="D1243" s="4">
        <v>46078</v>
      </c>
      <c r="E1243" t="str">
        <f>VLOOKUP($A1243,Sheet4!$A:$B,2,0)</f>
        <v>BR VAN CHOC STRAW 6-1.5QT</v>
      </c>
      <c r="F1243" s="3" t="s">
        <v>12</v>
      </c>
    </row>
    <row r="1244" spans="1:6" x14ac:dyDescent="0.25">
      <c r="A1244" s="3">
        <v>68851108</v>
      </c>
      <c r="B1244" s="3">
        <v>2904</v>
      </c>
      <c r="C1244" s="24">
        <v>4576</v>
      </c>
      <c r="D1244" s="4">
        <v>46079</v>
      </c>
      <c r="E1244" t="str">
        <f>VLOOKUP($A1244,Sheet4!$A:$B,2,0)</f>
        <v>BR VAN CHOC STRAW 6-1.5QT</v>
      </c>
      <c r="F1244" s="3" t="s">
        <v>12</v>
      </c>
    </row>
    <row r="1245" spans="1:6" x14ac:dyDescent="0.25">
      <c r="A1245" s="3">
        <v>68851108</v>
      </c>
      <c r="B1245" s="3">
        <v>2904</v>
      </c>
      <c r="C1245" s="24">
        <v>2902</v>
      </c>
      <c r="D1245" s="4">
        <v>46088</v>
      </c>
      <c r="E1245" t="str">
        <f>VLOOKUP($A1245,Sheet4!$A:$B,2,0)</f>
        <v>BR VAN CHOC STRAW 6-1.5QT</v>
      </c>
      <c r="F1245" s="3" t="s">
        <v>12</v>
      </c>
    </row>
    <row r="1246" spans="1:6" x14ac:dyDescent="0.25">
      <c r="A1246" s="3">
        <v>68851108</v>
      </c>
      <c r="B1246" s="3">
        <v>2904</v>
      </c>
      <c r="C1246" s="24">
        <v>11566</v>
      </c>
      <c r="D1246" s="4">
        <v>46089</v>
      </c>
      <c r="E1246" t="str">
        <f>VLOOKUP($A1246,Sheet4!$A:$B,2,0)</f>
        <v>BR VAN CHOC STRAW 6-1.5QT</v>
      </c>
      <c r="F1246" s="3" t="s">
        <v>12</v>
      </c>
    </row>
    <row r="1247" spans="1:6" x14ac:dyDescent="0.25">
      <c r="A1247" s="3">
        <v>68851108</v>
      </c>
      <c r="B1247" s="3">
        <v>2904</v>
      </c>
      <c r="C1247" s="24">
        <v>12320</v>
      </c>
      <c r="D1247" s="4">
        <v>46089</v>
      </c>
      <c r="E1247" t="str">
        <f>VLOOKUP($A1247,Sheet4!$A:$B,2,0)</f>
        <v>BR VAN CHOC STRAW 6-1.5QT</v>
      </c>
      <c r="F1247" s="3" t="s">
        <v>12</v>
      </c>
    </row>
    <row r="1248" spans="1:6" x14ac:dyDescent="0.25">
      <c r="A1248" s="3">
        <v>68851108</v>
      </c>
      <c r="B1248" s="3">
        <v>2904</v>
      </c>
      <c r="C1248" s="24">
        <v>10384</v>
      </c>
      <c r="D1248" s="4">
        <v>46090</v>
      </c>
      <c r="E1248" t="str">
        <f>VLOOKUP($A1248,Sheet4!$A:$B,2,0)</f>
        <v>BR VAN CHOC STRAW 6-1.5QT</v>
      </c>
      <c r="F1248" s="3" t="s">
        <v>12</v>
      </c>
    </row>
    <row r="1249" spans="1:6" x14ac:dyDescent="0.25">
      <c r="A1249" s="3">
        <v>68851108</v>
      </c>
      <c r="B1249" s="3">
        <v>2904</v>
      </c>
      <c r="C1249" s="24">
        <v>13024</v>
      </c>
      <c r="D1249" s="4">
        <v>46090</v>
      </c>
      <c r="E1249" t="str">
        <f>VLOOKUP($A1249,Sheet4!$A:$B,2,0)</f>
        <v>BR VAN CHOC STRAW 6-1.5QT</v>
      </c>
      <c r="F1249" s="3" t="s">
        <v>12</v>
      </c>
    </row>
    <row r="1250" spans="1:6" x14ac:dyDescent="0.25">
      <c r="A1250" s="3">
        <v>68851108</v>
      </c>
      <c r="B1250" s="3">
        <v>2904</v>
      </c>
      <c r="C1250" s="24">
        <v>10032</v>
      </c>
      <c r="D1250" s="4">
        <v>46091</v>
      </c>
      <c r="E1250" t="str">
        <f>VLOOKUP($A1250,Sheet4!$A:$B,2,0)</f>
        <v>BR VAN CHOC STRAW 6-1.5QT</v>
      </c>
      <c r="F1250" s="3" t="s">
        <v>12</v>
      </c>
    </row>
    <row r="1251" spans="1:6" x14ac:dyDescent="0.25">
      <c r="A1251" s="3">
        <v>68851108</v>
      </c>
      <c r="B1251" s="3">
        <v>2904</v>
      </c>
      <c r="C1251" s="24">
        <v>10384</v>
      </c>
      <c r="D1251" s="4">
        <v>46079</v>
      </c>
      <c r="E1251" t="str">
        <f>VLOOKUP($A1251,Sheet4!$A:$B,2,0)</f>
        <v>BR VAN CHOC STRAW 6-1.5QT</v>
      </c>
      <c r="F1251" s="3" t="s">
        <v>12</v>
      </c>
    </row>
    <row r="1252" spans="1:6" x14ac:dyDescent="0.25">
      <c r="A1252" s="3">
        <v>68851108</v>
      </c>
      <c r="B1252" s="3">
        <v>2904</v>
      </c>
      <c r="C1252" s="24">
        <v>9064</v>
      </c>
      <c r="D1252" s="4">
        <v>46080</v>
      </c>
      <c r="E1252" t="str">
        <f>VLOOKUP($A1252,Sheet4!$A:$B,2,0)</f>
        <v>BR VAN CHOC STRAW 6-1.5QT</v>
      </c>
      <c r="F1252" s="3" t="s">
        <v>12</v>
      </c>
    </row>
    <row r="1253" spans="1:6" x14ac:dyDescent="0.25">
      <c r="A1253" s="3">
        <v>68851108</v>
      </c>
      <c r="B1253" s="3">
        <v>2904</v>
      </c>
      <c r="C1253" s="24">
        <v>10032</v>
      </c>
      <c r="D1253" s="4">
        <v>46080</v>
      </c>
      <c r="E1253" t="str">
        <f>VLOOKUP($A1253,Sheet4!$A:$B,2,0)</f>
        <v>BR VAN CHOC STRAW 6-1.5QT</v>
      </c>
      <c r="F1253" s="3" t="s">
        <v>12</v>
      </c>
    </row>
    <row r="1254" spans="1:6" x14ac:dyDescent="0.25">
      <c r="A1254" s="3">
        <v>68851108</v>
      </c>
      <c r="B1254" s="3">
        <v>2904</v>
      </c>
      <c r="C1254" s="24">
        <v>2248</v>
      </c>
      <c r="D1254" s="4">
        <v>46081</v>
      </c>
      <c r="E1254" t="str">
        <f>VLOOKUP($A1254,Sheet4!$A:$B,2,0)</f>
        <v>BR VAN CHOC STRAW 6-1.5QT</v>
      </c>
      <c r="F1254" s="3" t="s">
        <v>12</v>
      </c>
    </row>
    <row r="1255" spans="1:6" x14ac:dyDescent="0.25">
      <c r="A1255" s="3">
        <v>68851108</v>
      </c>
      <c r="B1255" s="3">
        <v>2904</v>
      </c>
      <c r="C1255" s="24">
        <v>4862</v>
      </c>
      <c r="D1255" s="4">
        <v>46105</v>
      </c>
      <c r="E1255" t="str">
        <f>VLOOKUP($A1255,Sheet4!$A:$B,2,0)</f>
        <v>BR VAN CHOC STRAW 6-1.5QT</v>
      </c>
      <c r="F1255" s="3" t="s">
        <v>12</v>
      </c>
    </row>
    <row r="1256" spans="1:6" x14ac:dyDescent="0.25">
      <c r="A1256" s="3">
        <v>68851108</v>
      </c>
      <c r="B1256" s="3">
        <v>2904</v>
      </c>
      <c r="C1256" s="24">
        <v>2112</v>
      </c>
      <c r="D1256" s="4">
        <v>46078</v>
      </c>
      <c r="E1256" t="str">
        <f>VLOOKUP($A1256,Sheet4!$A:$B,2,0)</f>
        <v>BR VAN CHOC STRAW 6-1.5QT</v>
      </c>
      <c r="F1256" s="3" t="s">
        <v>12</v>
      </c>
    </row>
    <row r="1257" spans="1:6" x14ac:dyDescent="0.25">
      <c r="A1257" s="3">
        <v>68851108</v>
      </c>
      <c r="B1257" s="3">
        <v>2904</v>
      </c>
      <c r="C1257" s="24">
        <v>9742</v>
      </c>
      <c r="D1257" s="4">
        <v>46091</v>
      </c>
      <c r="E1257" t="str">
        <f>VLOOKUP($A1257,Sheet4!$A:$B,2,0)</f>
        <v>BR VAN CHOC STRAW 6-1.5QT</v>
      </c>
      <c r="F1257" s="3" t="s">
        <v>12</v>
      </c>
    </row>
    <row r="1258" spans="1:6" x14ac:dyDescent="0.25">
      <c r="A1258" s="3">
        <v>68851108</v>
      </c>
      <c r="B1258" s="3">
        <v>2904</v>
      </c>
      <c r="C1258" s="24">
        <v>13728</v>
      </c>
      <c r="D1258" s="4">
        <v>46105</v>
      </c>
      <c r="E1258" t="str">
        <f>VLOOKUP($A1258,Sheet4!$A:$B,2,0)</f>
        <v>BR VAN CHOC STRAW 6-1.5QT</v>
      </c>
      <c r="F1258" s="3" t="s">
        <v>12</v>
      </c>
    </row>
    <row r="1259" spans="1:6" x14ac:dyDescent="0.25">
      <c r="A1259" s="3">
        <v>68852591</v>
      </c>
      <c r="B1259" s="3">
        <v>2904</v>
      </c>
      <c r="C1259" s="24">
        <v>396</v>
      </c>
      <c r="D1259" s="4">
        <v>46097</v>
      </c>
      <c r="E1259" t="str">
        <f>VLOOKUP($A1259,Sheet4!$A:$B,2,0)</f>
        <v>KL Heath Bar 12-6PK</v>
      </c>
      <c r="F1259" s="3" t="s">
        <v>52</v>
      </c>
    </row>
    <row r="1260" spans="1:6" x14ac:dyDescent="0.25">
      <c r="A1260" s="3">
        <v>68852591</v>
      </c>
      <c r="B1260" s="3">
        <v>2904</v>
      </c>
      <c r="C1260" s="24">
        <v>779</v>
      </c>
      <c r="D1260" s="4">
        <v>46098</v>
      </c>
      <c r="E1260" t="str">
        <f>VLOOKUP($A1260,Sheet4!$A:$B,2,0)</f>
        <v>KL Heath Bar 12-6PK</v>
      </c>
      <c r="F1260" s="3" t="s">
        <v>52</v>
      </c>
    </row>
    <row r="1261" spans="1:6" x14ac:dyDescent="0.25">
      <c r="A1261" s="3">
        <v>68852591</v>
      </c>
      <c r="B1261" s="3">
        <v>2904</v>
      </c>
      <c r="C1261" s="24">
        <v>2112</v>
      </c>
      <c r="D1261" s="4">
        <v>46098</v>
      </c>
      <c r="E1261" t="str">
        <f>VLOOKUP($A1261,Sheet4!$A:$B,2,0)</f>
        <v>KL Heath Bar 12-6PK</v>
      </c>
      <c r="F1261" s="3" t="s">
        <v>52</v>
      </c>
    </row>
    <row r="1262" spans="1:6" x14ac:dyDescent="0.25">
      <c r="A1262" s="3">
        <v>68852591</v>
      </c>
      <c r="B1262" s="3">
        <v>2904</v>
      </c>
      <c r="C1262" s="24">
        <v>1056</v>
      </c>
      <c r="D1262" s="4">
        <v>46099</v>
      </c>
      <c r="E1262" t="str">
        <f>VLOOKUP($A1262,Sheet4!$A:$B,2,0)</f>
        <v>KL Heath Bar 12-6PK</v>
      </c>
      <c r="F1262" s="3" t="s">
        <v>52</v>
      </c>
    </row>
    <row r="1263" spans="1:6" x14ac:dyDescent="0.25">
      <c r="A1263" s="3">
        <v>68852591</v>
      </c>
      <c r="B1263" s="3">
        <v>2904</v>
      </c>
      <c r="C1263" s="24">
        <v>-13</v>
      </c>
      <c r="D1263" s="4">
        <v>46105</v>
      </c>
      <c r="E1263" t="str">
        <f>VLOOKUP($A1263,Sheet4!$A:$B,2,0)</f>
        <v>KL Heath Bar 12-6PK</v>
      </c>
      <c r="F1263" s="3" t="s">
        <v>52</v>
      </c>
    </row>
    <row r="1264" spans="1:6" x14ac:dyDescent="0.25">
      <c r="A1264" s="3">
        <v>68852591</v>
      </c>
      <c r="B1264" s="3">
        <v>2904</v>
      </c>
      <c r="C1264" s="24">
        <v>1794</v>
      </c>
      <c r="D1264" s="4">
        <v>46099</v>
      </c>
      <c r="E1264" t="str">
        <f>VLOOKUP($A1264,Sheet4!$A:$B,2,0)</f>
        <v>KL Heath Bar 12-6PK</v>
      </c>
      <c r="F1264" s="3" t="s">
        <v>52</v>
      </c>
    </row>
    <row r="1265" spans="1:6" x14ac:dyDescent="0.25">
      <c r="A1265" s="3">
        <v>68852591</v>
      </c>
      <c r="B1265" s="3">
        <v>2904</v>
      </c>
      <c r="C1265" s="24">
        <v>1716</v>
      </c>
      <c r="D1265" s="4">
        <v>46100</v>
      </c>
      <c r="E1265" t="str">
        <f>VLOOKUP($A1265,Sheet4!$A:$B,2,0)</f>
        <v>KL Heath Bar 12-6PK</v>
      </c>
      <c r="F1265" s="3" t="s">
        <v>52</v>
      </c>
    </row>
    <row r="1266" spans="1:6" x14ac:dyDescent="0.25">
      <c r="A1266" s="3">
        <v>68852591</v>
      </c>
      <c r="B1266" s="3">
        <v>2904</v>
      </c>
      <c r="C1266" s="24">
        <v>1297</v>
      </c>
      <c r="D1266" s="4">
        <v>46100</v>
      </c>
      <c r="E1266" t="str">
        <f>VLOOKUP($A1266,Sheet4!$A:$B,2,0)</f>
        <v>KL Heath Bar 12-6PK</v>
      </c>
      <c r="F1266" s="3" t="s">
        <v>52</v>
      </c>
    </row>
    <row r="1267" spans="1:6" x14ac:dyDescent="0.25">
      <c r="A1267" s="3">
        <v>68852591</v>
      </c>
      <c r="B1267" s="3">
        <v>2904</v>
      </c>
      <c r="C1267" s="24">
        <v>1452</v>
      </c>
      <c r="D1267" s="4">
        <v>46101</v>
      </c>
      <c r="E1267" t="str">
        <f>VLOOKUP($A1267,Sheet4!$A:$B,2,0)</f>
        <v>KL Heath Bar 12-6PK</v>
      </c>
      <c r="F1267" s="3" t="s">
        <v>52</v>
      </c>
    </row>
    <row r="1268" spans="1:6" x14ac:dyDescent="0.25">
      <c r="A1268" s="3">
        <v>68852591</v>
      </c>
      <c r="B1268" s="3">
        <v>2904</v>
      </c>
      <c r="C1268" s="24">
        <v>527</v>
      </c>
      <c r="D1268" s="4">
        <v>46101</v>
      </c>
      <c r="E1268" t="str">
        <f>VLOOKUP($A1268,Sheet4!$A:$B,2,0)</f>
        <v>KL Heath Bar 12-6PK</v>
      </c>
      <c r="F1268" s="3" t="s">
        <v>52</v>
      </c>
    </row>
    <row r="1269" spans="1:6" x14ac:dyDescent="0.25">
      <c r="A1269" s="3">
        <v>68852591</v>
      </c>
      <c r="B1269" s="3">
        <v>2904</v>
      </c>
      <c r="C1269" s="24">
        <v>1383</v>
      </c>
      <c r="D1269" s="4">
        <v>46102</v>
      </c>
      <c r="E1269" t="str">
        <f>VLOOKUP($A1269,Sheet4!$A:$B,2,0)</f>
        <v>KL Heath Bar 12-6PK</v>
      </c>
      <c r="F1269" s="3" t="s">
        <v>52</v>
      </c>
    </row>
    <row r="1270" spans="1:6" x14ac:dyDescent="0.25">
      <c r="A1270" s="3">
        <v>68852591</v>
      </c>
      <c r="B1270" s="3">
        <v>2904</v>
      </c>
      <c r="C1270" s="24">
        <v>1471</v>
      </c>
      <c r="D1270" s="4">
        <v>46102</v>
      </c>
      <c r="E1270" t="str">
        <f>VLOOKUP($A1270,Sheet4!$A:$B,2,0)</f>
        <v>KL Heath Bar 12-6PK</v>
      </c>
      <c r="F1270" s="3" t="s">
        <v>52</v>
      </c>
    </row>
    <row r="1271" spans="1:6" x14ac:dyDescent="0.25">
      <c r="A1271" s="3">
        <v>68852591</v>
      </c>
      <c r="B1271" s="3">
        <v>2904</v>
      </c>
      <c r="C1271" s="24">
        <v>1320</v>
      </c>
      <c r="D1271" s="4">
        <v>46103</v>
      </c>
      <c r="E1271" t="str">
        <f>VLOOKUP($A1271,Sheet4!$A:$B,2,0)</f>
        <v>KL Heath Bar 12-6PK</v>
      </c>
      <c r="F1271" s="3" t="s">
        <v>52</v>
      </c>
    </row>
    <row r="1272" spans="1:6" x14ac:dyDescent="0.25">
      <c r="A1272" s="3">
        <v>68852591</v>
      </c>
      <c r="B1272" s="3">
        <v>2904</v>
      </c>
      <c r="C1272" s="24">
        <v>1797</v>
      </c>
      <c r="D1272" s="4">
        <v>46103</v>
      </c>
      <c r="E1272" t="str">
        <f>VLOOKUP($A1272,Sheet4!$A:$B,2,0)</f>
        <v>KL Heath Bar 12-6PK</v>
      </c>
      <c r="F1272" s="3" t="s">
        <v>52</v>
      </c>
    </row>
    <row r="1273" spans="1:6" x14ac:dyDescent="0.25">
      <c r="A1273" s="3">
        <v>68852591</v>
      </c>
      <c r="B1273" s="3">
        <v>2904</v>
      </c>
      <c r="C1273" s="24">
        <v>923</v>
      </c>
      <c r="D1273" s="4">
        <v>46104</v>
      </c>
      <c r="E1273" t="str">
        <f>VLOOKUP($A1273,Sheet4!$A:$B,2,0)</f>
        <v>KL Heath Bar 12-6PK</v>
      </c>
      <c r="F1273" s="3" t="s">
        <v>52</v>
      </c>
    </row>
    <row r="1274" spans="1:6" x14ac:dyDescent="0.25">
      <c r="A1274" s="3">
        <v>68852591</v>
      </c>
      <c r="B1274" s="3">
        <v>2904</v>
      </c>
      <c r="C1274" s="24">
        <v>729</v>
      </c>
      <c r="D1274" s="4">
        <v>46104</v>
      </c>
      <c r="E1274" t="str">
        <f>VLOOKUP($A1274,Sheet4!$A:$B,2,0)</f>
        <v>KL Heath Bar 12-6PK</v>
      </c>
      <c r="F1274" s="3" t="s">
        <v>52</v>
      </c>
    </row>
    <row r="1275" spans="1:6" x14ac:dyDescent="0.25">
      <c r="A1275" s="3">
        <v>68852591</v>
      </c>
      <c r="B1275" s="3">
        <v>2904</v>
      </c>
      <c r="C1275" s="24">
        <v>264</v>
      </c>
      <c r="D1275" s="4">
        <v>46105</v>
      </c>
      <c r="E1275" t="str">
        <f>VLOOKUP($A1275,Sheet4!$A:$B,2,0)</f>
        <v>KL Heath Bar 12-6PK</v>
      </c>
      <c r="F1275" s="3" t="s">
        <v>52</v>
      </c>
    </row>
    <row r="1276" spans="1:6" x14ac:dyDescent="0.25">
      <c r="A1276" s="3">
        <v>68852591</v>
      </c>
      <c r="B1276" s="3">
        <v>2904</v>
      </c>
      <c r="C1276" s="24">
        <v>1848</v>
      </c>
      <c r="D1276" s="4">
        <v>46105</v>
      </c>
      <c r="E1276" t="str">
        <f>VLOOKUP($A1276,Sheet4!$A:$B,2,0)</f>
        <v>KL Heath Bar 12-6PK</v>
      </c>
      <c r="F1276" s="3" t="s">
        <v>52</v>
      </c>
    </row>
    <row r="1277" spans="1:6" x14ac:dyDescent="0.25">
      <c r="A1277" s="3">
        <v>68852625</v>
      </c>
      <c r="B1277" s="3">
        <v>2904</v>
      </c>
      <c r="C1277" s="24">
        <v>13817</v>
      </c>
      <c r="D1277" s="4">
        <v>46089</v>
      </c>
      <c r="E1277" t="str">
        <f>VLOOKUP($A1277,Sheet4!$A:$B,2,0)</f>
        <v>Talenti Mediterranean Mint 8 1PT</v>
      </c>
      <c r="F1277" s="3" t="s">
        <v>27</v>
      </c>
    </row>
    <row r="1278" spans="1:6" x14ac:dyDescent="0.25">
      <c r="A1278" s="3">
        <v>68852625</v>
      </c>
      <c r="B1278" s="3">
        <v>2904</v>
      </c>
      <c r="C1278" s="24">
        <v>12175</v>
      </c>
      <c r="D1278" s="4">
        <v>46090</v>
      </c>
      <c r="E1278" t="str">
        <f>VLOOKUP($A1278,Sheet4!$A:$B,2,0)</f>
        <v>Talenti Mediterranean Mint 8 1PT</v>
      </c>
      <c r="F1278" s="3" t="s">
        <v>27</v>
      </c>
    </row>
    <row r="1279" spans="1:6" x14ac:dyDescent="0.25">
      <c r="A1279" s="3">
        <v>68852625</v>
      </c>
      <c r="B1279" s="3">
        <v>2904</v>
      </c>
      <c r="C1279" s="24">
        <v>15233</v>
      </c>
      <c r="D1279" s="4">
        <v>46090</v>
      </c>
      <c r="E1279" t="str">
        <f>VLOOKUP($A1279,Sheet4!$A:$B,2,0)</f>
        <v>Talenti Mediterranean Mint 8 1PT</v>
      </c>
      <c r="F1279" s="3" t="s">
        <v>27</v>
      </c>
    </row>
    <row r="1280" spans="1:6" x14ac:dyDescent="0.25">
      <c r="A1280" s="3">
        <v>68852625</v>
      </c>
      <c r="B1280" s="3">
        <v>2904</v>
      </c>
      <c r="C1280" s="24">
        <v>11599</v>
      </c>
      <c r="D1280" s="4">
        <v>46091</v>
      </c>
      <c r="E1280" t="str">
        <f>VLOOKUP($A1280,Sheet4!$A:$B,2,0)</f>
        <v>Talenti Mediterranean Mint 8 1PT</v>
      </c>
      <c r="F1280" s="3" t="s">
        <v>27</v>
      </c>
    </row>
    <row r="1281" spans="1:6" x14ac:dyDescent="0.25">
      <c r="A1281" s="3">
        <v>68852625</v>
      </c>
      <c r="B1281" s="3">
        <v>2904</v>
      </c>
      <c r="C1281" s="24">
        <v>16487</v>
      </c>
      <c r="D1281" s="4">
        <v>46091</v>
      </c>
      <c r="E1281" t="str">
        <f>VLOOKUP($A1281,Sheet4!$A:$B,2,0)</f>
        <v>Talenti Mediterranean Mint 8 1PT</v>
      </c>
      <c r="F1281" s="3" t="s">
        <v>27</v>
      </c>
    </row>
    <row r="1282" spans="1:6" x14ac:dyDescent="0.25">
      <c r="A1282" s="3">
        <v>68852625</v>
      </c>
      <c r="B1282" s="3">
        <v>2904</v>
      </c>
      <c r="C1282" s="24">
        <v>13711</v>
      </c>
      <c r="D1282" s="4">
        <v>46092</v>
      </c>
      <c r="E1282" t="str">
        <f>VLOOKUP($A1282,Sheet4!$A:$B,2,0)</f>
        <v>Talenti Mediterranean Mint 8 1PT</v>
      </c>
      <c r="F1282" s="3" t="s">
        <v>27</v>
      </c>
    </row>
    <row r="1283" spans="1:6" x14ac:dyDescent="0.25">
      <c r="A1283" s="3">
        <v>68852625</v>
      </c>
      <c r="B1283" s="3">
        <v>2904</v>
      </c>
      <c r="C1283" s="24">
        <v>17814</v>
      </c>
      <c r="D1283" s="4">
        <v>46092</v>
      </c>
      <c r="E1283" t="str">
        <f>VLOOKUP($A1283,Sheet4!$A:$B,2,0)</f>
        <v>Talenti Mediterranean Mint 8 1PT</v>
      </c>
      <c r="F1283" s="3" t="s">
        <v>27</v>
      </c>
    </row>
    <row r="1284" spans="1:6" x14ac:dyDescent="0.25">
      <c r="A1284" s="3">
        <v>68852625</v>
      </c>
      <c r="B1284" s="3">
        <v>2904</v>
      </c>
      <c r="C1284" s="24">
        <v>1569</v>
      </c>
      <c r="D1284" s="4">
        <v>46093</v>
      </c>
      <c r="E1284" t="str">
        <f>VLOOKUP($A1284,Sheet4!$A:$B,2,0)</f>
        <v>Talenti Mediterranean Mint 8 1PT</v>
      </c>
      <c r="F1284" s="3" t="s">
        <v>27</v>
      </c>
    </row>
    <row r="1285" spans="1:6" x14ac:dyDescent="0.25">
      <c r="A1285" s="3">
        <v>68860059</v>
      </c>
      <c r="B1285" s="3">
        <v>2904</v>
      </c>
      <c r="C1285" s="24">
        <v>15045</v>
      </c>
      <c r="D1285" s="4">
        <v>46085</v>
      </c>
      <c r="E1285" t="str">
        <f>VLOOKUP($A1285,Sheet4!$A:$B,2,0)</f>
        <v>Talenti Pacific Coast Pistachio 8 1PT</v>
      </c>
      <c r="F1285" s="3" t="s">
        <v>27</v>
      </c>
    </row>
    <row r="1286" spans="1:6" x14ac:dyDescent="0.25">
      <c r="A1286" s="3">
        <v>68860059</v>
      </c>
      <c r="B1286" s="3">
        <v>2904</v>
      </c>
      <c r="C1286" s="24">
        <v>10850</v>
      </c>
      <c r="D1286" s="4">
        <v>46086</v>
      </c>
      <c r="E1286" t="str">
        <f>VLOOKUP($A1286,Sheet4!$A:$B,2,0)</f>
        <v>Talenti Pacific Coast Pistachio 8 1PT</v>
      </c>
      <c r="F1286" s="3" t="s">
        <v>27</v>
      </c>
    </row>
    <row r="1287" spans="1:6" x14ac:dyDescent="0.25">
      <c r="A1287" s="3">
        <v>68860059</v>
      </c>
      <c r="B1287" s="3">
        <v>2904</v>
      </c>
      <c r="C1287" s="24">
        <v>20703</v>
      </c>
      <c r="D1287" s="4">
        <v>46086</v>
      </c>
      <c r="E1287" t="str">
        <f>VLOOKUP($A1287,Sheet4!$A:$B,2,0)</f>
        <v>Talenti Pacific Coast Pistachio 8 1PT</v>
      </c>
      <c r="F1287" s="3" t="s">
        <v>27</v>
      </c>
    </row>
    <row r="1288" spans="1:6" x14ac:dyDescent="0.25">
      <c r="A1288" s="3">
        <v>68860059</v>
      </c>
      <c r="B1288" s="3">
        <v>2904</v>
      </c>
      <c r="C1288" s="24">
        <v>17760</v>
      </c>
      <c r="D1288" s="4">
        <v>46087</v>
      </c>
      <c r="E1288" t="str">
        <f>VLOOKUP($A1288,Sheet4!$A:$B,2,0)</f>
        <v>Talenti Pacific Coast Pistachio 8 1PT</v>
      </c>
      <c r="F1288" s="3" t="s">
        <v>27</v>
      </c>
    </row>
    <row r="1289" spans="1:6" x14ac:dyDescent="0.25">
      <c r="A1289" s="3">
        <v>68860059</v>
      </c>
      <c r="B1289" s="3">
        <v>2904</v>
      </c>
      <c r="C1289" s="24">
        <v>15545</v>
      </c>
      <c r="D1289" s="4">
        <v>46087</v>
      </c>
      <c r="E1289" t="str">
        <f>VLOOKUP($A1289,Sheet4!$A:$B,2,0)</f>
        <v>Talenti Pacific Coast Pistachio 8 1PT</v>
      </c>
      <c r="F1289" s="3" t="s">
        <v>27</v>
      </c>
    </row>
    <row r="1290" spans="1:6" x14ac:dyDescent="0.25">
      <c r="A1290" s="3">
        <v>68860059</v>
      </c>
      <c r="B1290" s="3">
        <v>2904</v>
      </c>
      <c r="C1290" s="24">
        <v>6353</v>
      </c>
      <c r="D1290" s="4">
        <v>46088</v>
      </c>
      <c r="E1290" t="str">
        <f>VLOOKUP($A1290,Sheet4!$A:$B,2,0)</f>
        <v>Talenti Pacific Coast Pistachio 8 1PT</v>
      </c>
      <c r="F1290" s="3" t="s">
        <v>27</v>
      </c>
    </row>
    <row r="1291" spans="1:6" x14ac:dyDescent="0.25">
      <c r="A1291" s="3">
        <v>68860059</v>
      </c>
      <c r="B1291" s="3">
        <v>2904</v>
      </c>
      <c r="C1291" s="24">
        <v>255</v>
      </c>
      <c r="D1291" s="4">
        <v>46090</v>
      </c>
      <c r="E1291" t="str">
        <f>VLOOKUP($A1291,Sheet4!$A:$B,2,0)</f>
        <v>Talenti Pacific Coast Pistachio 8 1PT</v>
      </c>
      <c r="F1291" s="3" t="s">
        <v>27</v>
      </c>
    </row>
    <row r="1292" spans="1:6" x14ac:dyDescent="0.25">
      <c r="A1292" s="3">
        <v>68860059</v>
      </c>
      <c r="B1292" s="3">
        <v>2904</v>
      </c>
      <c r="C1292" s="24">
        <v>2535</v>
      </c>
      <c r="D1292" s="4">
        <v>46085</v>
      </c>
      <c r="E1292" t="str">
        <f>VLOOKUP($A1292,Sheet4!$A:$B,2,0)</f>
        <v>Talenti Pacific Coast Pistachio 8 1PT</v>
      </c>
      <c r="F1292" s="3" t="s">
        <v>27</v>
      </c>
    </row>
    <row r="1293" spans="1:6" x14ac:dyDescent="0.25">
      <c r="A1293" s="3">
        <v>68860061</v>
      </c>
      <c r="B1293" s="3">
        <v>2904</v>
      </c>
      <c r="C1293" s="24">
        <v>193</v>
      </c>
      <c r="D1293" s="4">
        <v>46076</v>
      </c>
      <c r="E1293" t="str">
        <f>VLOOKUP($A1293,Sheet4!$A:$B,2,0)</f>
        <v>Talenti LYR Cookies and Cream 8 303.3g</v>
      </c>
      <c r="F1293" s="3" t="s">
        <v>29</v>
      </c>
    </row>
    <row r="1294" spans="1:6" x14ac:dyDescent="0.25">
      <c r="A1294" s="3">
        <v>68860061</v>
      </c>
      <c r="B1294" s="3">
        <v>2904</v>
      </c>
      <c r="C1294" s="24">
        <v>4741</v>
      </c>
      <c r="D1294" s="4">
        <v>46076</v>
      </c>
      <c r="E1294" t="str">
        <f>VLOOKUP($A1294,Sheet4!$A:$B,2,0)</f>
        <v>Talenti LYR Cookies and Cream 8 303.3g</v>
      </c>
      <c r="F1294" s="3" t="s">
        <v>29</v>
      </c>
    </row>
    <row r="1295" spans="1:6" x14ac:dyDescent="0.25">
      <c r="A1295" s="3">
        <v>68860061</v>
      </c>
      <c r="B1295" s="3">
        <v>2904</v>
      </c>
      <c r="C1295" s="24">
        <v>6724</v>
      </c>
      <c r="D1295" s="4">
        <v>46092</v>
      </c>
      <c r="E1295" t="str">
        <f>VLOOKUP($A1295,Sheet4!$A:$B,2,0)</f>
        <v>Talenti LYR Cookies and Cream 8 303.3g</v>
      </c>
      <c r="F1295" s="3" t="s">
        <v>29</v>
      </c>
    </row>
    <row r="1296" spans="1:6" x14ac:dyDescent="0.25">
      <c r="A1296" s="3">
        <v>68860061</v>
      </c>
      <c r="B1296" s="3">
        <v>2904</v>
      </c>
      <c r="C1296" s="24">
        <v>7349</v>
      </c>
      <c r="D1296" s="4">
        <v>46093</v>
      </c>
      <c r="E1296" t="str">
        <f>VLOOKUP($A1296,Sheet4!$A:$B,2,0)</f>
        <v>Talenti LYR Cookies and Cream 8 303.3g</v>
      </c>
      <c r="F1296" s="3" t="s">
        <v>29</v>
      </c>
    </row>
    <row r="1297" spans="1:6" x14ac:dyDescent="0.25">
      <c r="A1297" s="3">
        <v>68860061</v>
      </c>
      <c r="B1297" s="3">
        <v>2904</v>
      </c>
      <c r="C1297" s="24">
        <v>7559</v>
      </c>
      <c r="D1297" s="4">
        <v>46093</v>
      </c>
      <c r="E1297" t="str">
        <f>VLOOKUP($A1297,Sheet4!$A:$B,2,0)</f>
        <v>Talenti LYR Cookies and Cream 8 303.3g</v>
      </c>
      <c r="F1297" s="3" t="s">
        <v>29</v>
      </c>
    </row>
    <row r="1298" spans="1:6" x14ac:dyDescent="0.25">
      <c r="A1298" s="3">
        <v>68860061</v>
      </c>
      <c r="B1298" s="3">
        <v>2904</v>
      </c>
      <c r="C1298" s="24">
        <v>7234</v>
      </c>
      <c r="D1298" s="4">
        <v>46094</v>
      </c>
      <c r="E1298" t="str">
        <f>VLOOKUP($A1298,Sheet4!$A:$B,2,0)</f>
        <v>Talenti LYR Cookies and Cream 8 303.3g</v>
      </c>
      <c r="F1298" s="3" t="s">
        <v>29</v>
      </c>
    </row>
    <row r="1299" spans="1:6" x14ac:dyDescent="0.25">
      <c r="A1299" s="3">
        <v>68860061</v>
      </c>
      <c r="B1299" s="3">
        <v>2904</v>
      </c>
      <c r="C1299" s="24">
        <v>871</v>
      </c>
      <c r="D1299" s="4">
        <v>46094</v>
      </c>
      <c r="E1299" t="str">
        <f>VLOOKUP($A1299,Sheet4!$A:$B,2,0)</f>
        <v>Talenti LYR Cookies and Cream 8 303.3g</v>
      </c>
      <c r="F1299" s="3" t="s">
        <v>29</v>
      </c>
    </row>
    <row r="1300" spans="1:6" x14ac:dyDescent="0.25">
      <c r="A1300" s="3">
        <v>68860061</v>
      </c>
      <c r="B1300" s="3">
        <v>2904</v>
      </c>
      <c r="C1300" s="24">
        <v>510</v>
      </c>
      <c r="D1300" s="4">
        <v>46095</v>
      </c>
      <c r="E1300" t="str">
        <f>VLOOKUP($A1300,Sheet4!$A:$B,2,0)</f>
        <v>Talenti LYR Cookies and Cream 8 303.3g</v>
      </c>
      <c r="F1300" s="3" t="s">
        <v>29</v>
      </c>
    </row>
    <row r="1301" spans="1:6" x14ac:dyDescent="0.25">
      <c r="A1301" s="3">
        <v>68860061</v>
      </c>
      <c r="B1301" s="3">
        <v>2904</v>
      </c>
      <c r="C1301" s="24">
        <v>10424</v>
      </c>
      <c r="D1301" s="4">
        <v>46101</v>
      </c>
      <c r="E1301" t="str">
        <f>VLOOKUP($A1301,Sheet4!$A:$B,2,0)</f>
        <v>Talenti LYR Cookies and Cream 8 303.3g</v>
      </c>
      <c r="F1301" s="3" t="s">
        <v>29</v>
      </c>
    </row>
    <row r="1302" spans="1:6" x14ac:dyDescent="0.25">
      <c r="A1302" s="3">
        <v>68860061</v>
      </c>
      <c r="B1302" s="3">
        <v>2904</v>
      </c>
      <c r="C1302" s="24">
        <v>7611</v>
      </c>
      <c r="D1302" s="4">
        <v>46102</v>
      </c>
      <c r="E1302" t="str">
        <f>VLOOKUP($A1302,Sheet4!$A:$B,2,0)</f>
        <v>Talenti LYR Cookies and Cream 8 303.3g</v>
      </c>
      <c r="F1302" s="3" t="s">
        <v>29</v>
      </c>
    </row>
    <row r="1303" spans="1:6" x14ac:dyDescent="0.25">
      <c r="A1303" s="3">
        <v>68860061</v>
      </c>
      <c r="B1303" s="3">
        <v>2904</v>
      </c>
      <c r="C1303" s="24">
        <v>5929</v>
      </c>
      <c r="D1303" s="4">
        <v>46102</v>
      </c>
      <c r="E1303" t="str">
        <f>VLOOKUP($A1303,Sheet4!$A:$B,2,0)</f>
        <v>Talenti LYR Cookies and Cream 8 303.3g</v>
      </c>
      <c r="F1303" s="3" t="s">
        <v>29</v>
      </c>
    </row>
    <row r="1304" spans="1:6" x14ac:dyDescent="0.25">
      <c r="A1304" s="3">
        <v>68860061</v>
      </c>
      <c r="B1304" s="3">
        <v>2904</v>
      </c>
      <c r="C1304" s="24">
        <v>255</v>
      </c>
      <c r="D1304" s="4">
        <v>46103</v>
      </c>
      <c r="E1304" t="str">
        <f>VLOOKUP($A1304,Sheet4!$A:$B,2,0)</f>
        <v>Talenti LYR Cookies and Cream 8 303.3g</v>
      </c>
      <c r="F1304" s="3" t="s">
        <v>29</v>
      </c>
    </row>
    <row r="1305" spans="1:6" x14ac:dyDescent="0.25">
      <c r="A1305" s="3">
        <v>68860061</v>
      </c>
      <c r="B1305" s="3">
        <v>2904</v>
      </c>
      <c r="C1305" s="24">
        <v>3766</v>
      </c>
      <c r="D1305" s="4">
        <v>46076</v>
      </c>
      <c r="E1305" t="str">
        <f>VLOOKUP($A1305,Sheet4!$A:$B,2,0)</f>
        <v>Talenti LYR Cookies and Cream 8 303.3g</v>
      </c>
      <c r="F1305" s="3" t="s">
        <v>29</v>
      </c>
    </row>
    <row r="1306" spans="1:6" x14ac:dyDescent="0.25">
      <c r="A1306" s="3">
        <v>68860061</v>
      </c>
      <c r="B1306" s="3">
        <v>2904</v>
      </c>
      <c r="C1306" s="24">
        <v>4422</v>
      </c>
      <c r="D1306" s="4">
        <v>46077</v>
      </c>
      <c r="E1306" t="str">
        <f>VLOOKUP($A1306,Sheet4!$A:$B,2,0)</f>
        <v>Talenti LYR Cookies and Cream 8 303.3g</v>
      </c>
      <c r="F1306" s="3" t="s">
        <v>29</v>
      </c>
    </row>
    <row r="1307" spans="1:6" x14ac:dyDescent="0.25">
      <c r="A1307" s="3">
        <v>68860061</v>
      </c>
      <c r="B1307" s="3">
        <v>2904</v>
      </c>
      <c r="C1307" s="24">
        <v>1020</v>
      </c>
      <c r="D1307" s="4">
        <v>46092</v>
      </c>
      <c r="E1307" t="str">
        <f>VLOOKUP($A1307,Sheet4!$A:$B,2,0)</f>
        <v>Talenti LYR Cookies and Cream 8 303.3g</v>
      </c>
      <c r="F1307" s="3" t="s">
        <v>29</v>
      </c>
    </row>
    <row r="1308" spans="1:6" x14ac:dyDescent="0.25">
      <c r="A1308" s="3">
        <v>68860061</v>
      </c>
      <c r="B1308" s="3">
        <v>2904</v>
      </c>
      <c r="C1308" s="24">
        <v>3039</v>
      </c>
      <c r="D1308" s="4">
        <v>46100</v>
      </c>
      <c r="E1308" t="str">
        <f>VLOOKUP($A1308,Sheet4!$A:$B,2,0)</f>
        <v>Talenti LYR Cookies and Cream 8 303.3g</v>
      </c>
      <c r="F1308" s="3" t="s">
        <v>29</v>
      </c>
    </row>
    <row r="1309" spans="1:6" x14ac:dyDescent="0.25">
      <c r="A1309" s="3">
        <v>68860061</v>
      </c>
      <c r="B1309" s="3">
        <v>2904</v>
      </c>
      <c r="C1309" s="24">
        <v>6375</v>
      </c>
      <c r="D1309" s="4">
        <v>46101</v>
      </c>
      <c r="E1309" t="str">
        <f>VLOOKUP($A1309,Sheet4!$A:$B,2,0)</f>
        <v>Talenti LYR Cookies and Cream 8 303.3g</v>
      </c>
      <c r="F1309" s="3" t="s">
        <v>29</v>
      </c>
    </row>
    <row r="1310" spans="1:6" x14ac:dyDescent="0.25">
      <c r="A1310" s="3">
        <v>68860129</v>
      </c>
      <c r="B1310" s="3">
        <v>2904</v>
      </c>
      <c r="C1310" s="24">
        <v>9511</v>
      </c>
      <c r="D1310" s="4">
        <v>46083</v>
      </c>
      <c r="E1310" t="str">
        <f>VLOOKUP($A1310,Sheet4!$A:$B,2,0)</f>
        <v>Talenti Caribbean Coconut 8 1PT</v>
      </c>
      <c r="F1310" s="3" t="s">
        <v>27</v>
      </c>
    </row>
    <row r="1311" spans="1:6" x14ac:dyDescent="0.25">
      <c r="A1311" s="3">
        <v>68860129</v>
      </c>
      <c r="B1311" s="3">
        <v>2904</v>
      </c>
      <c r="C1311" s="24">
        <v>12384</v>
      </c>
      <c r="D1311" s="4">
        <v>46084</v>
      </c>
      <c r="E1311" t="str">
        <f>VLOOKUP($A1311,Sheet4!$A:$B,2,0)</f>
        <v>Talenti Caribbean Coconut 8 1PT</v>
      </c>
      <c r="F1311" s="3" t="s">
        <v>27</v>
      </c>
    </row>
    <row r="1312" spans="1:6" x14ac:dyDescent="0.25">
      <c r="A1312" s="3">
        <v>68860129</v>
      </c>
      <c r="B1312" s="3">
        <v>2904</v>
      </c>
      <c r="C1312" s="24">
        <v>6552</v>
      </c>
      <c r="D1312" s="4">
        <v>46084</v>
      </c>
      <c r="E1312" t="str">
        <f>VLOOKUP($A1312,Sheet4!$A:$B,2,0)</f>
        <v>Talenti Caribbean Coconut 8 1PT</v>
      </c>
      <c r="F1312" s="3" t="s">
        <v>27</v>
      </c>
    </row>
    <row r="1313" spans="1:6" x14ac:dyDescent="0.25">
      <c r="A1313" s="3">
        <v>68860136</v>
      </c>
      <c r="B1313" s="3">
        <v>2904</v>
      </c>
      <c r="C1313" s="24">
        <v>15371</v>
      </c>
      <c r="D1313" s="4">
        <v>46077</v>
      </c>
      <c r="E1313" t="str">
        <f>VLOOKUP($A1313,Sheet4!$A:$B,2,0)</f>
        <v>Talenti Black Raspberry CHOC Chip 8 1PT</v>
      </c>
      <c r="F1313" s="3" t="s">
        <v>27</v>
      </c>
    </row>
    <row r="1314" spans="1:6" x14ac:dyDescent="0.25">
      <c r="A1314" s="3">
        <v>68860136</v>
      </c>
      <c r="B1314" s="3">
        <v>2904</v>
      </c>
      <c r="C1314" s="24">
        <v>12384</v>
      </c>
      <c r="D1314" s="4">
        <v>46078</v>
      </c>
      <c r="E1314" t="str">
        <f>VLOOKUP($A1314,Sheet4!$A:$B,2,0)</f>
        <v>Talenti Black Raspberry CHOC Chip 8 1PT</v>
      </c>
      <c r="F1314" s="3" t="s">
        <v>27</v>
      </c>
    </row>
    <row r="1315" spans="1:6" x14ac:dyDescent="0.25">
      <c r="A1315" s="3">
        <v>68860136</v>
      </c>
      <c r="B1315" s="3">
        <v>2904</v>
      </c>
      <c r="C1315" s="24">
        <v>12408</v>
      </c>
      <c r="D1315" s="4">
        <v>46078</v>
      </c>
      <c r="E1315" t="str">
        <f>VLOOKUP($A1315,Sheet4!$A:$B,2,0)</f>
        <v>Talenti Black Raspberry CHOC Chip 8 1PT</v>
      </c>
      <c r="F1315" s="3" t="s">
        <v>27</v>
      </c>
    </row>
    <row r="1316" spans="1:6" x14ac:dyDescent="0.25">
      <c r="A1316" s="3">
        <v>68860136</v>
      </c>
      <c r="B1316" s="3">
        <v>2904</v>
      </c>
      <c r="C1316" s="24">
        <v>2263</v>
      </c>
      <c r="D1316" s="4">
        <v>46079</v>
      </c>
      <c r="E1316" t="str">
        <f>VLOOKUP($A1316,Sheet4!$A:$B,2,0)</f>
        <v>Talenti Black Raspberry CHOC Chip 8 1PT</v>
      </c>
      <c r="F1316" s="3" t="s">
        <v>27</v>
      </c>
    </row>
    <row r="1317" spans="1:6" x14ac:dyDescent="0.25">
      <c r="A1317" s="3">
        <v>68860136</v>
      </c>
      <c r="B1317" s="3">
        <v>2904</v>
      </c>
      <c r="C1317" s="24">
        <v>6254</v>
      </c>
      <c r="D1317" s="4">
        <v>46077</v>
      </c>
      <c r="E1317" t="str">
        <f>VLOOKUP($A1317,Sheet4!$A:$B,2,0)</f>
        <v>Talenti Black Raspberry CHOC Chip 8 1PT</v>
      </c>
      <c r="F1317" s="3" t="s">
        <v>27</v>
      </c>
    </row>
    <row r="1318" spans="1:6" x14ac:dyDescent="0.25">
      <c r="A1318" s="3">
        <v>68860659</v>
      </c>
      <c r="B1318" s="3">
        <v>2904</v>
      </c>
      <c r="C1318" s="24">
        <v>6035</v>
      </c>
      <c r="D1318" s="4">
        <v>46094</v>
      </c>
      <c r="E1318" t="str">
        <f>VLOOKUP($A1318,Sheet4!$A:$B,2,0)</f>
        <v>Talenti Southern Butter Pecan 8 1PT</v>
      </c>
      <c r="F1318" s="3" t="s">
        <v>27</v>
      </c>
    </row>
    <row r="1319" spans="1:6" x14ac:dyDescent="0.25">
      <c r="A1319" s="3">
        <v>68860659</v>
      </c>
      <c r="B1319" s="3">
        <v>2904</v>
      </c>
      <c r="C1319" s="24">
        <v>17741</v>
      </c>
      <c r="D1319" s="4">
        <v>46094</v>
      </c>
      <c r="E1319" t="str">
        <f>VLOOKUP($A1319,Sheet4!$A:$B,2,0)</f>
        <v>Talenti Southern Butter Pecan 8 1PT</v>
      </c>
      <c r="F1319" s="3" t="s">
        <v>27</v>
      </c>
    </row>
    <row r="1320" spans="1:6" x14ac:dyDescent="0.25">
      <c r="A1320" s="3">
        <v>68860659</v>
      </c>
      <c r="B1320" s="3">
        <v>2904</v>
      </c>
      <c r="C1320" s="24">
        <v>15300</v>
      </c>
      <c r="D1320" s="4">
        <v>46095</v>
      </c>
      <c r="E1320" t="str">
        <f>VLOOKUP($A1320,Sheet4!$A:$B,2,0)</f>
        <v>Talenti Southern Butter Pecan 8 1PT</v>
      </c>
      <c r="F1320" s="3" t="s">
        <v>27</v>
      </c>
    </row>
    <row r="1321" spans="1:6" x14ac:dyDescent="0.25">
      <c r="A1321" s="3">
        <v>68860659</v>
      </c>
      <c r="B1321" s="3">
        <v>2904</v>
      </c>
      <c r="C1321" s="24">
        <v>510</v>
      </c>
      <c r="D1321" s="4">
        <v>46097</v>
      </c>
      <c r="E1321" t="str">
        <f>VLOOKUP($A1321,Sheet4!$A:$B,2,0)</f>
        <v>Talenti Southern Butter Pecan 8 1PT</v>
      </c>
      <c r="F1321" s="3" t="s">
        <v>27</v>
      </c>
    </row>
    <row r="1322" spans="1:6" x14ac:dyDescent="0.25">
      <c r="A1322" s="3">
        <v>68860659</v>
      </c>
      <c r="B1322" s="3">
        <v>2904</v>
      </c>
      <c r="C1322" s="24">
        <v>39015</v>
      </c>
      <c r="D1322" s="4">
        <v>46097</v>
      </c>
      <c r="E1322" t="str">
        <f>VLOOKUP($A1322,Sheet4!$A:$B,2,0)</f>
        <v>Talenti Southern Butter Pecan 8 1PT</v>
      </c>
      <c r="F1322" s="3" t="s">
        <v>27</v>
      </c>
    </row>
    <row r="1323" spans="1:6" x14ac:dyDescent="0.25">
      <c r="A1323" s="3">
        <v>68860659</v>
      </c>
      <c r="B1323" s="3">
        <v>2904</v>
      </c>
      <c r="C1323" s="24">
        <v>26265</v>
      </c>
      <c r="D1323" s="4">
        <v>46097</v>
      </c>
      <c r="E1323" t="str">
        <f>VLOOKUP($A1323,Sheet4!$A:$B,2,0)</f>
        <v>Talenti Southern Butter Pecan 8 1PT</v>
      </c>
      <c r="F1323" s="3" t="s">
        <v>27</v>
      </c>
    </row>
    <row r="1324" spans="1:6" x14ac:dyDescent="0.25">
      <c r="A1324" s="3">
        <v>68860659</v>
      </c>
      <c r="B1324" s="3">
        <v>2904</v>
      </c>
      <c r="C1324" s="24">
        <v>3608</v>
      </c>
      <c r="D1324" s="4">
        <v>46100</v>
      </c>
      <c r="E1324" t="str">
        <f>VLOOKUP($A1324,Sheet4!$A:$B,2,0)</f>
        <v>Talenti Southern Butter Pecan 8 1PT</v>
      </c>
      <c r="F1324" s="3" t="s">
        <v>27</v>
      </c>
    </row>
    <row r="1325" spans="1:6" x14ac:dyDescent="0.25">
      <c r="A1325" s="3">
        <v>68860659</v>
      </c>
      <c r="B1325" s="3">
        <v>2904</v>
      </c>
      <c r="C1325" s="24">
        <v>17265</v>
      </c>
      <c r="D1325" s="4">
        <v>46098</v>
      </c>
      <c r="E1325" t="str">
        <f>VLOOKUP($A1325,Sheet4!$A:$B,2,0)</f>
        <v>Talenti Southern Butter Pecan 8 1PT</v>
      </c>
      <c r="F1325" s="3" t="s">
        <v>27</v>
      </c>
    </row>
    <row r="1326" spans="1:6" x14ac:dyDescent="0.25">
      <c r="A1326" s="3">
        <v>68860659</v>
      </c>
      <c r="B1326" s="3">
        <v>2904</v>
      </c>
      <c r="C1326" s="24">
        <v>10704</v>
      </c>
      <c r="D1326" s="4">
        <v>46097</v>
      </c>
      <c r="E1326" t="str">
        <f>VLOOKUP($A1326,Sheet4!$A:$B,2,0)</f>
        <v>Talenti Southern Butter Pecan 8 1PT</v>
      </c>
      <c r="F1326" s="3" t="s">
        <v>27</v>
      </c>
    </row>
    <row r="1327" spans="1:6" x14ac:dyDescent="0.25">
      <c r="A1327" s="3">
        <v>68860659</v>
      </c>
      <c r="B1327" s="3">
        <v>2904</v>
      </c>
      <c r="C1327" s="24">
        <v>-10704</v>
      </c>
      <c r="D1327" s="4">
        <v>46101</v>
      </c>
      <c r="E1327" t="str">
        <f>VLOOKUP($A1327,Sheet4!$A:$B,2,0)</f>
        <v>Talenti Southern Butter Pecan 8 1PT</v>
      </c>
      <c r="F1327" s="3" t="s">
        <v>27</v>
      </c>
    </row>
    <row r="1328" spans="1:6" x14ac:dyDescent="0.25">
      <c r="A1328" s="3">
        <v>68860662</v>
      </c>
      <c r="B1328" s="3">
        <v>2904</v>
      </c>
      <c r="C1328" s="24">
        <v>18071</v>
      </c>
      <c r="D1328" s="4">
        <v>46076</v>
      </c>
      <c r="E1328" t="str">
        <f>VLOOKUP($A1328,Sheet4!$A:$B,2,0)</f>
        <v>Talenti Vanilla Bean 8 1PT</v>
      </c>
      <c r="F1328" s="3" t="s">
        <v>27</v>
      </c>
    </row>
    <row r="1329" spans="1:6" x14ac:dyDescent="0.25">
      <c r="A1329" s="3">
        <v>68860662</v>
      </c>
      <c r="B1329" s="3">
        <v>2904</v>
      </c>
      <c r="C1329" s="24">
        <v>16143</v>
      </c>
      <c r="D1329" s="4">
        <v>46076</v>
      </c>
      <c r="E1329" t="str">
        <f>VLOOKUP($A1329,Sheet4!$A:$B,2,0)</f>
        <v>Talenti Vanilla Bean 8 1PT</v>
      </c>
      <c r="F1329" s="3" t="s">
        <v>27</v>
      </c>
    </row>
    <row r="1330" spans="1:6" x14ac:dyDescent="0.25">
      <c r="A1330" s="3">
        <v>68860662</v>
      </c>
      <c r="B1330" s="3">
        <v>2904</v>
      </c>
      <c r="C1330" s="24">
        <v>1089</v>
      </c>
      <c r="D1330" s="4">
        <v>46077</v>
      </c>
      <c r="E1330" t="str">
        <f>VLOOKUP($A1330,Sheet4!$A:$B,2,0)</f>
        <v>Talenti Vanilla Bean 8 1PT</v>
      </c>
      <c r="F1330" s="3" t="s">
        <v>27</v>
      </c>
    </row>
    <row r="1331" spans="1:6" x14ac:dyDescent="0.25">
      <c r="A1331" s="3">
        <v>68860662</v>
      </c>
      <c r="B1331" s="3">
        <v>2904</v>
      </c>
      <c r="C1331" s="24">
        <v>3654</v>
      </c>
      <c r="D1331" s="4">
        <v>46088</v>
      </c>
      <c r="E1331" t="str">
        <f>VLOOKUP($A1331,Sheet4!$A:$B,2,0)</f>
        <v>Talenti Vanilla Bean 8 1PT</v>
      </c>
      <c r="F1331" s="3" t="s">
        <v>27</v>
      </c>
    </row>
    <row r="1332" spans="1:6" x14ac:dyDescent="0.25">
      <c r="A1332" s="3">
        <v>68860662</v>
      </c>
      <c r="B1332" s="3">
        <v>2904</v>
      </c>
      <c r="C1332" s="24">
        <v>11533</v>
      </c>
      <c r="D1332" s="4">
        <v>46089</v>
      </c>
      <c r="E1332" t="str">
        <f>VLOOKUP($A1332,Sheet4!$A:$B,2,0)</f>
        <v>Talenti Vanilla Bean 8 1PT</v>
      </c>
      <c r="F1332" s="3" t="s">
        <v>27</v>
      </c>
    </row>
    <row r="1333" spans="1:6" x14ac:dyDescent="0.25">
      <c r="A1333" s="3">
        <v>68860663</v>
      </c>
      <c r="B1333" s="3">
        <v>2904</v>
      </c>
      <c r="C1333" s="24">
        <v>4972</v>
      </c>
      <c r="D1333" s="4">
        <v>46085</v>
      </c>
      <c r="E1333" t="str">
        <f>VLOOKUP($A1333,Sheet4!$A:$B,2,0)</f>
        <v>Talenti Vanilla Caramel Swirl 8 1PT</v>
      </c>
      <c r="F1333" s="3" t="s">
        <v>29</v>
      </c>
    </row>
    <row r="1334" spans="1:6" x14ac:dyDescent="0.25">
      <c r="A1334" s="3">
        <v>68860663</v>
      </c>
      <c r="B1334" s="3">
        <v>2904</v>
      </c>
      <c r="C1334" s="24">
        <v>4200</v>
      </c>
      <c r="D1334" s="4">
        <v>46086</v>
      </c>
      <c r="E1334" t="str">
        <f>VLOOKUP($A1334,Sheet4!$A:$B,2,0)</f>
        <v>Talenti Vanilla Caramel Swirl 8 1PT</v>
      </c>
      <c r="F1334" s="3" t="s">
        <v>29</v>
      </c>
    </row>
    <row r="1335" spans="1:6" x14ac:dyDescent="0.25">
      <c r="A1335" s="3">
        <v>68860663</v>
      </c>
      <c r="B1335" s="3">
        <v>2904</v>
      </c>
      <c r="C1335" s="24">
        <v>2347</v>
      </c>
      <c r="D1335" s="4">
        <v>46086</v>
      </c>
      <c r="E1335" t="str">
        <f>VLOOKUP($A1335,Sheet4!$A:$B,2,0)</f>
        <v>Talenti Vanilla Caramel Swirl 8 1PT</v>
      </c>
      <c r="F1335" s="3" t="s">
        <v>29</v>
      </c>
    </row>
    <row r="1336" spans="1:6" x14ac:dyDescent="0.25">
      <c r="A1336" s="3">
        <v>68860663</v>
      </c>
      <c r="B1336" s="3">
        <v>2904</v>
      </c>
      <c r="C1336" s="24">
        <v>9435</v>
      </c>
      <c r="D1336" s="4">
        <v>46087</v>
      </c>
      <c r="E1336" t="str">
        <f>VLOOKUP($A1336,Sheet4!$A:$B,2,0)</f>
        <v>Talenti Vanilla Caramel Swirl 8 1PT</v>
      </c>
      <c r="F1336" s="3" t="s">
        <v>29</v>
      </c>
    </row>
    <row r="1337" spans="1:6" x14ac:dyDescent="0.25">
      <c r="A1337" s="3">
        <v>68860663</v>
      </c>
      <c r="B1337" s="3">
        <v>2904</v>
      </c>
      <c r="C1337" s="24">
        <v>8925</v>
      </c>
      <c r="D1337" s="4">
        <v>46087</v>
      </c>
      <c r="E1337" t="str">
        <f>VLOOKUP($A1337,Sheet4!$A:$B,2,0)</f>
        <v>Talenti Vanilla Caramel Swirl 8 1PT</v>
      </c>
      <c r="F1337" s="3" t="s">
        <v>29</v>
      </c>
    </row>
    <row r="1338" spans="1:6" x14ac:dyDescent="0.25">
      <c r="A1338" s="3">
        <v>68860663</v>
      </c>
      <c r="B1338" s="3">
        <v>2904</v>
      </c>
      <c r="C1338" s="24">
        <v>9135</v>
      </c>
      <c r="D1338" s="4">
        <v>46088</v>
      </c>
      <c r="E1338" t="str">
        <f>VLOOKUP($A1338,Sheet4!$A:$B,2,0)</f>
        <v>Talenti Vanilla Caramel Swirl 8 1PT</v>
      </c>
      <c r="F1338" s="3" t="s">
        <v>29</v>
      </c>
    </row>
    <row r="1339" spans="1:6" x14ac:dyDescent="0.25">
      <c r="A1339" s="3">
        <v>68860663</v>
      </c>
      <c r="B1339" s="3">
        <v>2904</v>
      </c>
      <c r="C1339" s="24">
        <v>255</v>
      </c>
      <c r="D1339" s="4">
        <v>46090</v>
      </c>
      <c r="E1339" t="str">
        <f>VLOOKUP($A1339,Sheet4!$A:$B,2,0)</f>
        <v>Talenti Vanilla Caramel Swirl 8 1PT</v>
      </c>
      <c r="F1339" s="3" t="s">
        <v>29</v>
      </c>
    </row>
    <row r="1340" spans="1:6" x14ac:dyDescent="0.25">
      <c r="A1340" s="3">
        <v>68860663</v>
      </c>
      <c r="B1340" s="3">
        <v>2904</v>
      </c>
      <c r="C1340" s="24">
        <v>9120</v>
      </c>
      <c r="D1340" s="4">
        <v>46088</v>
      </c>
      <c r="E1340" t="str">
        <f>VLOOKUP($A1340,Sheet4!$A:$B,2,0)</f>
        <v>Talenti Vanilla Caramel Swirl 8 1PT</v>
      </c>
      <c r="F1340" s="3" t="s">
        <v>29</v>
      </c>
    </row>
    <row r="1341" spans="1:6" x14ac:dyDescent="0.25">
      <c r="A1341" s="3">
        <v>68860663</v>
      </c>
      <c r="B1341" s="3">
        <v>2904</v>
      </c>
      <c r="C1341" s="24">
        <v>1275</v>
      </c>
      <c r="D1341" s="4">
        <v>46089</v>
      </c>
      <c r="E1341" t="str">
        <f>VLOOKUP($A1341,Sheet4!$A:$B,2,0)</f>
        <v>Talenti Vanilla Caramel Swirl 8 1PT</v>
      </c>
      <c r="F1341" s="3" t="s">
        <v>29</v>
      </c>
    </row>
    <row r="1342" spans="1:6" x14ac:dyDescent="0.25">
      <c r="A1342" s="3">
        <v>68860673</v>
      </c>
      <c r="B1342" s="3">
        <v>2904</v>
      </c>
      <c r="C1342" s="24">
        <v>14756</v>
      </c>
      <c r="D1342" s="4">
        <v>46102</v>
      </c>
      <c r="E1342" t="str">
        <f>VLOOKUP($A1342,Sheet4!$A:$B,2,0)</f>
        <v>Talenti CHOC Peanut Butter 8 1PT</v>
      </c>
      <c r="F1342" s="3" t="s">
        <v>27</v>
      </c>
    </row>
    <row r="1343" spans="1:6" x14ac:dyDescent="0.25">
      <c r="A1343" s="3">
        <v>68860673</v>
      </c>
      <c r="B1343" s="3">
        <v>2904</v>
      </c>
      <c r="C1343" s="24">
        <v>14729</v>
      </c>
      <c r="D1343" s="4">
        <v>46103</v>
      </c>
      <c r="E1343" t="str">
        <f>VLOOKUP($A1343,Sheet4!$A:$B,2,0)</f>
        <v>Talenti CHOC Peanut Butter 8 1PT</v>
      </c>
      <c r="F1343" s="3" t="s">
        <v>27</v>
      </c>
    </row>
    <row r="1344" spans="1:6" x14ac:dyDescent="0.25">
      <c r="A1344" s="3">
        <v>68860673</v>
      </c>
      <c r="B1344" s="3">
        <v>2904</v>
      </c>
      <c r="C1344" s="24">
        <v>13038</v>
      </c>
      <c r="D1344" s="4">
        <v>46103</v>
      </c>
      <c r="E1344" t="str">
        <f>VLOOKUP($A1344,Sheet4!$A:$B,2,0)</f>
        <v>Talenti CHOC Peanut Butter 8 1PT</v>
      </c>
      <c r="F1344" s="3" t="s">
        <v>27</v>
      </c>
    </row>
    <row r="1345" spans="1:6" x14ac:dyDescent="0.25">
      <c r="A1345" s="3">
        <v>68860673</v>
      </c>
      <c r="B1345" s="3">
        <v>2904</v>
      </c>
      <c r="C1345" s="24">
        <v>175</v>
      </c>
      <c r="D1345" s="4">
        <v>46104</v>
      </c>
      <c r="E1345" t="str">
        <f>VLOOKUP($A1345,Sheet4!$A:$B,2,0)</f>
        <v>Talenti CHOC Peanut Butter 8 1PT</v>
      </c>
      <c r="F1345" s="3" t="s">
        <v>27</v>
      </c>
    </row>
    <row r="1346" spans="1:6" x14ac:dyDescent="0.25">
      <c r="A1346" s="3">
        <v>68860673</v>
      </c>
      <c r="B1346" s="3">
        <v>2904</v>
      </c>
      <c r="C1346" s="24">
        <v>1905</v>
      </c>
      <c r="D1346" s="4">
        <v>46102</v>
      </c>
      <c r="E1346" t="str">
        <f>VLOOKUP($A1346,Sheet4!$A:$B,2,0)</f>
        <v>Talenti CHOC Peanut Butter 8 1PT</v>
      </c>
      <c r="F1346" s="3" t="s">
        <v>27</v>
      </c>
    </row>
    <row r="1347" spans="1:6" x14ac:dyDescent="0.25">
      <c r="A1347" s="3">
        <v>68862496</v>
      </c>
      <c r="B1347" s="3">
        <v>2904</v>
      </c>
      <c r="C1347" s="24">
        <v>14276</v>
      </c>
      <c r="D1347" s="4">
        <v>46105</v>
      </c>
      <c r="E1347" t="str">
        <f>VLOOKUP($A1347,Sheet4!$A:$B,2,0)</f>
        <v>Talenti Alphonso Mango SORB (DF) 8 1PT</v>
      </c>
      <c r="F1347" s="3" t="s">
        <v>27</v>
      </c>
    </row>
    <row r="1348" spans="1:6" x14ac:dyDescent="0.25">
      <c r="A1348" s="3">
        <v>68862496</v>
      </c>
      <c r="B1348" s="3">
        <v>2904</v>
      </c>
      <c r="C1348" s="24">
        <v>6100</v>
      </c>
      <c r="D1348" s="4">
        <v>46103</v>
      </c>
      <c r="E1348" t="str">
        <f>VLOOKUP($A1348,Sheet4!$A:$B,2,0)</f>
        <v>Talenti Alphonso Mango SORB (DF) 8 1PT</v>
      </c>
      <c r="F1348" s="3" t="s">
        <v>29</v>
      </c>
    </row>
    <row r="1349" spans="1:6" x14ac:dyDescent="0.25">
      <c r="A1349" s="3">
        <v>68862496</v>
      </c>
      <c r="B1349" s="3">
        <v>2904</v>
      </c>
      <c r="C1349" s="24">
        <v>2663</v>
      </c>
      <c r="D1349" s="4">
        <v>46104</v>
      </c>
      <c r="E1349" t="str">
        <f>VLOOKUP($A1349,Sheet4!$A:$B,2,0)</f>
        <v>Talenti Alphonso Mango SORB (DF) 8 1PT</v>
      </c>
      <c r="F1349" s="3" t="s">
        <v>29</v>
      </c>
    </row>
    <row r="1350" spans="1:6" x14ac:dyDescent="0.25">
      <c r="A1350" s="3">
        <v>68862496</v>
      </c>
      <c r="B1350" s="3">
        <v>2904</v>
      </c>
      <c r="C1350" s="24">
        <v>1404</v>
      </c>
      <c r="D1350" s="4">
        <v>46103</v>
      </c>
      <c r="E1350" t="str">
        <f>VLOOKUP($A1350,Sheet4!$A:$B,2,0)</f>
        <v>Talenti Alphonso Mango SORB (DF) 8 1PT</v>
      </c>
      <c r="F1350" s="3" t="s">
        <v>29</v>
      </c>
    </row>
    <row r="1351" spans="1:6" x14ac:dyDescent="0.25">
      <c r="A1351" s="3">
        <v>68862496</v>
      </c>
      <c r="B1351" s="3">
        <v>2904</v>
      </c>
      <c r="C1351" s="24">
        <v>10194</v>
      </c>
      <c r="D1351" s="4">
        <v>46105</v>
      </c>
      <c r="E1351" t="str">
        <f>VLOOKUP($A1351,Sheet4!$A:$B,2,0)</f>
        <v>Talenti Alphonso Mango SORB (DF) 8 1PT</v>
      </c>
      <c r="F1351" s="3" t="s">
        <v>27</v>
      </c>
    </row>
    <row r="1352" spans="1:6" x14ac:dyDescent="0.25">
      <c r="A1352" s="3">
        <v>68862496</v>
      </c>
      <c r="B1352" s="3">
        <v>2904</v>
      </c>
      <c r="C1352" s="24">
        <v>1439</v>
      </c>
      <c r="D1352" s="4">
        <v>46104</v>
      </c>
      <c r="E1352" t="str">
        <f>VLOOKUP($A1352,Sheet4!$A:$B,2,0)</f>
        <v>Talenti Alphonso Mango SORB (DF) 8 1PT</v>
      </c>
      <c r="F1352" s="3" t="s">
        <v>29</v>
      </c>
    </row>
    <row r="1353" spans="1:6" x14ac:dyDescent="0.25">
      <c r="A1353" s="3">
        <v>68867744</v>
      </c>
      <c r="B1353" s="3">
        <v>2904</v>
      </c>
      <c r="C1353" s="24">
        <v>6630</v>
      </c>
      <c r="D1353" s="4">
        <v>46082</v>
      </c>
      <c r="E1353" t="str">
        <f>VLOOKUP($A1353,Sheet4!$A:$B,2,0)</f>
        <v>Talenti LY Vanilla Fudge Cookie 8 303.3g</v>
      </c>
      <c r="F1353" s="3" t="s">
        <v>29</v>
      </c>
    </row>
    <row r="1354" spans="1:6" x14ac:dyDescent="0.25">
      <c r="A1354" s="3">
        <v>68867744</v>
      </c>
      <c r="B1354" s="3">
        <v>2904</v>
      </c>
      <c r="C1354" s="24">
        <v>5763</v>
      </c>
      <c r="D1354" s="4">
        <v>46083</v>
      </c>
      <c r="E1354" t="str">
        <f>VLOOKUP($A1354,Sheet4!$A:$B,2,0)</f>
        <v>Talenti LY Vanilla Fudge Cookie 8 303.3g</v>
      </c>
      <c r="F1354" s="3" t="s">
        <v>29</v>
      </c>
    </row>
    <row r="1355" spans="1:6" x14ac:dyDescent="0.25">
      <c r="A1355" s="3">
        <v>68867744</v>
      </c>
      <c r="B1355" s="3">
        <v>2904</v>
      </c>
      <c r="C1355" s="24">
        <v>6754</v>
      </c>
      <c r="D1355" s="4">
        <v>46083</v>
      </c>
      <c r="E1355" t="str">
        <f>VLOOKUP($A1355,Sheet4!$A:$B,2,0)</f>
        <v>Talenti LY Vanilla Fudge Cookie 8 303.3g</v>
      </c>
      <c r="F1355" s="3" t="s">
        <v>29</v>
      </c>
    </row>
    <row r="1356" spans="1:6" x14ac:dyDescent="0.25">
      <c r="A1356" s="3">
        <v>68867744</v>
      </c>
      <c r="B1356" s="3">
        <v>2904</v>
      </c>
      <c r="C1356" s="24">
        <v>7905</v>
      </c>
      <c r="D1356" s="4">
        <v>46084</v>
      </c>
      <c r="E1356" t="str">
        <f>VLOOKUP($A1356,Sheet4!$A:$B,2,0)</f>
        <v>Talenti LY Vanilla Fudge Cookie 8 303.3g</v>
      </c>
      <c r="F1356" s="3" t="s">
        <v>29</v>
      </c>
    </row>
    <row r="1357" spans="1:6" x14ac:dyDescent="0.25">
      <c r="A1357" s="3">
        <v>68867744</v>
      </c>
      <c r="B1357" s="3">
        <v>2904</v>
      </c>
      <c r="C1357" s="24">
        <v>14651</v>
      </c>
      <c r="D1357" s="4">
        <v>46097</v>
      </c>
      <c r="E1357" t="str">
        <f>VLOOKUP($A1357,Sheet4!$A:$B,2,0)</f>
        <v>Talenti LY Vanilla Fudge Cookie 8 303.3g</v>
      </c>
      <c r="F1357" s="3" t="s">
        <v>29</v>
      </c>
    </row>
    <row r="1358" spans="1:6" x14ac:dyDescent="0.25">
      <c r="A1358" s="3">
        <v>68867744</v>
      </c>
      <c r="B1358" s="3">
        <v>2904</v>
      </c>
      <c r="C1358" s="24">
        <v>10137</v>
      </c>
      <c r="D1358" s="4">
        <v>46098</v>
      </c>
      <c r="E1358" t="str">
        <f>VLOOKUP($A1358,Sheet4!$A:$B,2,0)</f>
        <v>Talenti LY Vanilla Fudge Cookie 8 303.3g</v>
      </c>
      <c r="F1358" s="3" t="s">
        <v>29</v>
      </c>
    </row>
    <row r="1359" spans="1:6" x14ac:dyDescent="0.25">
      <c r="A1359" s="3">
        <v>68867744</v>
      </c>
      <c r="B1359" s="3">
        <v>2904</v>
      </c>
      <c r="C1359" s="24">
        <v>-10137</v>
      </c>
      <c r="D1359" s="4">
        <v>46100</v>
      </c>
      <c r="E1359" t="str">
        <f>VLOOKUP($A1359,Sheet4!$A:$B,2,0)</f>
        <v>Talenti LY Vanilla Fudge Cookie 8 303.3g</v>
      </c>
      <c r="F1359" s="3" t="s">
        <v>29</v>
      </c>
    </row>
    <row r="1360" spans="1:6" x14ac:dyDescent="0.25">
      <c r="A1360" s="3">
        <v>68867744</v>
      </c>
      <c r="B1360" s="3">
        <v>2904</v>
      </c>
      <c r="C1360" s="24">
        <v>232</v>
      </c>
      <c r="D1360" s="4">
        <v>46097</v>
      </c>
      <c r="E1360" t="str">
        <f>VLOOKUP($A1360,Sheet4!$A:$B,2,0)</f>
        <v>Talenti LY Vanilla Fudge Cookie 8 303.3g</v>
      </c>
      <c r="F1360" s="3" t="s">
        <v>29</v>
      </c>
    </row>
    <row r="1361" spans="1:6" x14ac:dyDescent="0.25">
      <c r="A1361" s="3">
        <v>68867744</v>
      </c>
      <c r="B1361" s="3">
        <v>2904</v>
      </c>
      <c r="C1361" s="24">
        <v>6120</v>
      </c>
      <c r="D1361" s="4">
        <v>46081</v>
      </c>
      <c r="E1361" t="str">
        <f>VLOOKUP($A1361,Sheet4!$A:$B,2,0)</f>
        <v>Talenti LY Vanilla Fudge Cookie 8 303.3g</v>
      </c>
      <c r="F1361" s="3" t="s">
        <v>29</v>
      </c>
    </row>
    <row r="1362" spans="1:6" x14ac:dyDescent="0.25">
      <c r="A1362" s="3">
        <v>68867744</v>
      </c>
      <c r="B1362" s="3">
        <v>2904</v>
      </c>
      <c r="C1362" s="24">
        <v>4589</v>
      </c>
      <c r="D1362" s="4">
        <v>46082</v>
      </c>
      <c r="E1362" t="str">
        <f>VLOOKUP($A1362,Sheet4!$A:$B,2,0)</f>
        <v>Talenti LY Vanilla Fudge Cookie 8 303.3g</v>
      </c>
      <c r="F1362" s="3" t="s">
        <v>29</v>
      </c>
    </row>
    <row r="1363" spans="1:6" x14ac:dyDescent="0.25">
      <c r="A1363" s="3">
        <v>68867744</v>
      </c>
      <c r="B1363" s="3">
        <v>2904</v>
      </c>
      <c r="C1363" s="24">
        <v>1013</v>
      </c>
      <c r="D1363" s="4">
        <v>46084</v>
      </c>
      <c r="E1363" t="str">
        <f>VLOOKUP($A1363,Sheet4!$A:$B,2,0)</f>
        <v>Talenti LY Vanilla Fudge Cookie 8 303.3g</v>
      </c>
      <c r="F1363" s="3" t="s">
        <v>29</v>
      </c>
    </row>
    <row r="1364" spans="1:6" x14ac:dyDescent="0.25">
      <c r="A1364" s="3">
        <v>68867744</v>
      </c>
      <c r="B1364" s="3">
        <v>2904</v>
      </c>
      <c r="C1364" s="24">
        <v>3735</v>
      </c>
      <c r="D1364" s="4">
        <v>46095</v>
      </c>
      <c r="E1364" t="str">
        <f>VLOOKUP($A1364,Sheet4!$A:$B,2,0)</f>
        <v>Talenti LY Vanilla Fudge Cookie 8 303.3g</v>
      </c>
      <c r="F1364" s="3" t="s">
        <v>29</v>
      </c>
    </row>
    <row r="1365" spans="1:6" x14ac:dyDescent="0.25">
      <c r="A1365" s="3">
        <v>68867744</v>
      </c>
      <c r="B1365" s="3">
        <v>2904</v>
      </c>
      <c r="C1365" s="24">
        <v>150</v>
      </c>
      <c r="D1365" s="4">
        <v>46097</v>
      </c>
      <c r="E1365" t="str">
        <f>VLOOKUP($A1365,Sheet4!$A:$B,2,0)</f>
        <v>Talenti LY Vanilla Fudge Cookie 8 303.3g</v>
      </c>
      <c r="F1365" s="3" t="s">
        <v>29</v>
      </c>
    </row>
    <row r="1366" spans="1:6" x14ac:dyDescent="0.25">
      <c r="A1366" s="3">
        <v>68867744</v>
      </c>
      <c r="B1366" s="3">
        <v>2904</v>
      </c>
      <c r="C1366" s="24">
        <v>10137</v>
      </c>
      <c r="D1366" s="4">
        <v>46097</v>
      </c>
      <c r="E1366" t="str">
        <f>VLOOKUP($A1366,Sheet4!$A:$B,2,0)</f>
        <v>Talenti LY Vanilla Fudge Cookie 8 303.3g</v>
      </c>
      <c r="F1366" s="3" t="s">
        <v>29</v>
      </c>
    </row>
    <row r="1367" spans="1:6" x14ac:dyDescent="0.25">
      <c r="A1367" s="3">
        <v>68867744</v>
      </c>
      <c r="B1367" s="3">
        <v>2904</v>
      </c>
      <c r="C1367" s="24">
        <v>-10137</v>
      </c>
      <c r="D1367" s="4">
        <v>46098</v>
      </c>
      <c r="E1367" t="str">
        <f>VLOOKUP($A1367,Sheet4!$A:$B,2,0)</f>
        <v>Talenti LY Vanilla Fudge Cookie 8 303.3g</v>
      </c>
      <c r="F1367" s="3" t="s">
        <v>29</v>
      </c>
    </row>
    <row r="1368" spans="1:6" x14ac:dyDescent="0.25">
      <c r="A1368" s="3">
        <v>68867744</v>
      </c>
      <c r="B1368" s="3">
        <v>2904</v>
      </c>
      <c r="C1368" s="24">
        <v>10137</v>
      </c>
      <c r="D1368" s="4">
        <v>46100</v>
      </c>
      <c r="E1368" t="str">
        <f>VLOOKUP($A1368,Sheet4!$A:$B,2,0)</f>
        <v>Talenti LY Vanilla Fudge Cookie 8 303.3g</v>
      </c>
      <c r="F1368" s="3" t="s">
        <v>29</v>
      </c>
    </row>
    <row r="1369" spans="1:6" x14ac:dyDescent="0.25">
      <c r="A1369" s="3">
        <v>68867744</v>
      </c>
      <c r="B1369" s="3">
        <v>2904</v>
      </c>
      <c r="C1369" s="24">
        <v>-255</v>
      </c>
      <c r="D1369" s="4">
        <v>46101</v>
      </c>
      <c r="E1369" t="str">
        <f>VLOOKUP($A1369,Sheet4!$A:$B,2,0)</f>
        <v>Talenti LY Vanilla Fudge Cookie 8 303.3g</v>
      </c>
      <c r="F1369" s="3" t="s">
        <v>29</v>
      </c>
    </row>
    <row r="1370" spans="1:6" x14ac:dyDescent="0.25">
      <c r="A1370" s="3">
        <v>68867755</v>
      </c>
      <c r="B1370" s="3">
        <v>2904</v>
      </c>
      <c r="C1370" s="24">
        <v>2550</v>
      </c>
      <c r="D1370" s="4">
        <v>46077</v>
      </c>
      <c r="E1370" t="str">
        <f>VLOOKUP($A1370,Sheet4!$A:$B,2,0)</f>
        <v>Talenti LY Salted CAR Truffle 8 323.1g</v>
      </c>
      <c r="F1370" s="3" t="s">
        <v>29</v>
      </c>
    </row>
    <row r="1371" spans="1:6" x14ac:dyDescent="0.25">
      <c r="A1371" s="3">
        <v>68867755</v>
      </c>
      <c r="B1371" s="3">
        <v>2904</v>
      </c>
      <c r="C1371" s="24">
        <v>6375</v>
      </c>
      <c r="D1371" s="4">
        <v>46078</v>
      </c>
      <c r="E1371" t="str">
        <f>VLOOKUP($A1371,Sheet4!$A:$B,2,0)</f>
        <v>Talenti LY Salted CAR Truffle 8 323.1g</v>
      </c>
      <c r="F1371" s="3" t="s">
        <v>29</v>
      </c>
    </row>
    <row r="1372" spans="1:6" x14ac:dyDescent="0.25">
      <c r="A1372" s="3">
        <v>68867755</v>
      </c>
      <c r="B1372" s="3">
        <v>2904</v>
      </c>
      <c r="C1372" s="24">
        <v>6285</v>
      </c>
      <c r="D1372" s="4">
        <v>46078</v>
      </c>
      <c r="E1372" t="str">
        <f>VLOOKUP($A1372,Sheet4!$A:$B,2,0)</f>
        <v>Talenti LY Salted CAR Truffle 8 323.1g</v>
      </c>
      <c r="F1372" s="3" t="s">
        <v>29</v>
      </c>
    </row>
    <row r="1373" spans="1:6" x14ac:dyDescent="0.25">
      <c r="A1373" s="3">
        <v>68867755</v>
      </c>
      <c r="B1373" s="3">
        <v>2904</v>
      </c>
      <c r="C1373" s="24">
        <v>6931</v>
      </c>
      <c r="D1373" s="4">
        <v>46079</v>
      </c>
      <c r="E1373" t="str">
        <f>VLOOKUP($A1373,Sheet4!$A:$B,2,0)</f>
        <v>Talenti LY Salted CAR Truffle 8 323.1g</v>
      </c>
      <c r="F1373" s="3" t="s">
        <v>29</v>
      </c>
    </row>
    <row r="1374" spans="1:6" x14ac:dyDescent="0.25">
      <c r="A1374" s="3">
        <v>68867755</v>
      </c>
      <c r="B1374" s="3">
        <v>2904</v>
      </c>
      <c r="C1374" s="24">
        <v>5941</v>
      </c>
      <c r="D1374" s="4">
        <v>46079</v>
      </c>
      <c r="E1374" t="str">
        <f>VLOOKUP($A1374,Sheet4!$A:$B,2,0)</f>
        <v>Talenti LY Salted CAR Truffle 8 323.1g</v>
      </c>
      <c r="F1374" s="3" t="s">
        <v>29</v>
      </c>
    </row>
    <row r="1375" spans="1:6" x14ac:dyDescent="0.25">
      <c r="A1375" s="3">
        <v>68867755</v>
      </c>
      <c r="B1375" s="3">
        <v>2904</v>
      </c>
      <c r="C1375" s="24">
        <v>7030</v>
      </c>
      <c r="D1375" s="4">
        <v>46080</v>
      </c>
      <c r="E1375" t="str">
        <f>VLOOKUP($A1375,Sheet4!$A:$B,2,0)</f>
        <v>Talenti LY Salted CAR Truffle 8 323.1g</v>
      </c>
      <c r="F1375" s="3" t="s">
        <v>29</v>
      </c>
    </row>
    <row r="1376" spans="1:6" x14ac:dyDescent="0.25">
      <c r="A1376" s="3">
        <v>68867755</v>
      </c>
      <c r="B1376" s="3">
        <v>2904</v>
      </c>
      <c r="C1376" s="24">
        <v>8286</v>
      </c>
      <c r="D1376" s="4">
        <v>46089</v>
      </c>
      <c r="E1376" t="str">
        <f>VLOOKUP($A1376,Sheet4!$A:$B,2,0)</f>
        <v>Talenti LY Salted CAR Truffle 8 323.1g</v>
      </c>
      <c r="F1376" s="3" t="s">
        <v>29</v>
      </c>
    </row>
    <row r="1377" spans="1:6" x14ac:dyDescent="0.25">
      <c r="A1377" s="3">
        <v>68867755</v>
      </c>
      <c r="B1377" s="3">
        <v>2904</v>
      </c>
      <c r="C1377" s="24">
        <v>6015</v>
      </c>
      <c r="D1377" s="4">
        <v>46090</v>
      </c>
      <c r="E1377" t="str">
        <f>VLOOKUP($A1377,Sheet4!$A:$B,2,0)</f>
        <v>Talenti LY Salted CAR Truffle 8 323.1g</v>
      </c>
      <c r="F1377" s="3" t="s">
        <v>29</v>
      </c>
    </row>
    <row r="1378" spans="1:6" x14ac:dyDescent="0.25">
      <c r="A1378" s="3">
        <v>68867755</v>
      </c>
      <c r="B1378" s="3">
        <v>2904</v>
      </c>
      <c r="C1378" s="24">
        <v>7812</v>
      </c>
      <c r="D1378" s="4">
        <v>46090</v>
      </c>
      <c r="E1378" t="str">
        <f>VLOOKUP($A1378,Sheet4!$A:$B,2,0)</f>
        <v>Talenti LY Salted CAR Truffle 8 323.1g</v>
      </c>
      <c r="F1378" s="3" t="s">
        <v>29</v>
      </c>
    </row>
    <row r="1379" spans="1:6" x14ac:dyDescent="0.25">
      <c r="A1379" s="3">
        <v>68867755</v>
      </c>
      <c r="B1379" s="3">
        <v>2904</v>
      </c>
      <c r="C1379" s="24">
        <v>4065</v>
      </c>
      <c r="D1379" s="4">
        <v>46091</v>
      </c>
      <c r="E1379" t="str">
        <f>VLOOKUP($A1379,Sheet4!$A:$B,2,0)</f>
        <v>Talenti LY Salted CAR Truffle 8 323.1g</v>
      </c>
      <c r="F1379" s="3" t="s">
        <v>29</v>
      </c>
    </row>
    <row r="1380" spans="1:6" x14ac:dyDescent="0.25">
      <c r="A1380" s="3">
        <v>68867755</v>
      </c>
      <c r="B1380" s="3">
        <v>2904</v>
      </c>
      <c r="C1380" s="24">
        <v>1533</v>
      </c>
      <c r="D1380" s="4">
        <v>46091</v>
      </c>
      <c r="E1380" t="str">
        <f>VLOOKUP($A1380,Sheet4!$A:$B,2,0)</f>
        <v>Talenti LY Salted CAR Truffle 8 323.1g</v>
      </c>
      <c r="F1380" s="3" t="s">
        <v>29</v>
      </c>
    </row>
    <row r="1381" spans="1:6" x14ac:dyDescent="0.25">
      <c r="A1381" s="3">
        <v>68867755</v>
      </c>
      <c r="B1381" s="3">
        <v>2904</v>
      </c>
      <c r="C1381" s="24">
        <v>7519</v>
      </c>
      <c r="D1381" s="4">
        <v>46098</v>
      </c>
      <c r="E1381" t="str">
        <f>VLOOKUP($A1381,Sheet4!$A:$B,2,0)</f>
        <v>Talenti LY Salted CAR Truffle 8 323.1g</v>
      </c>
      <c r="F1381" s="3" t="s">
        <v>29</v>
      </c>
    </row>
    <row r="1382" spans="1:6" x14ac:dyDescent="0.25">
      <c r="A1382" s="3">
        <v>68867755</v>
      </c>
      <c r="B1382" s="3">
        <v>2904</v>
      </c>
      <c r="C1382" s="24">
        <v>6975</v>
      </c>
      <c r="D1382" s="4">
        <v>46099</v>
      </c>
      <c r="E1382" t="str">
        <f>VLOOKUP($A1382,Sheet4!$A:$B,2,0)</f>
        <v>Talenti LY Salted CAR Truffle 8 323.1g</v>
      </c>
      <c r="F1382" s="3" t="s">
        <v>29</v>
      </c>
    </row>
    <row r="1383" spans="1:6" x14ac:dyDescent="0.25">
      <c r="A1383" s="3">
        <v>68867755</v>
      </c>
      <c r="B1383" s="3">
        <v>2904</v>
      </c>
      <c r="C1383" s="24">
        <v>8325</v>
      </c>
      <c r="D1383" s="4">
        <v>46099</v>
      </c>
      <c r="E1383" t="str">
        <f>VLOOKUP($A1383,Sheet4!$A:$B,2,0)</f>
        <v>Talenti LY Salted CAR Truffle 8 323.1g</v>
      </c>
      <c r="F1383" s="3" t="s">
        <v>29</v>
      </c>
    </row>
    <row r="1384" spans="1:6" x14ac:dyDescent="0.25">
      <c r="A1384" s="3">
        <v>68867755</v>
      </c>
      <c r="B1384" s="3">
        <v>2904</v>
      </c>
      <c r="C1384" s="24">
        <v>3948</v>
      </c>
      <c r="D1384" s="4">
        <v>46100</v>
      </c>
      <c r="E1384" t="str">
        <f>VLOOKUP($A1384,Sheet4!$A:$B,2,0)</f>
        <v>Talenti LY Salted CAR Truffle 8 323.1g</v>
      </c>
      <c r="F1384" s="3" t="s">
        <v>29</v>
      </c>
    </row>
    <row r="1385" spans="1:6" x14ac:dyDescent="0.25">
      <c r="A1385" s="3">
        <v>68867755</v>
      </c>
      <c r="B1385" s="3">
        <v>2904</v>
      </c>
      <c r="C1385" s="24">
        <v>8531</v>
      </c>
      <c r="D1385" s="4">
        <v>46080</v>
      </c>
      <c r="E1385" t="str">
        <f>VLOOKUP($A1385,Sheet4!$A:$B,2,0)</f>
        <v>Talenti LY Salted CAR Truffle 8 323.1g</v>
      </c>
      <c r="F1385" s="3" t="s">
        <v>29</v>
      </c>
    </row>
    <row r="1386" spans="1:6" x14ac:dyDescent="0.25">
      <c r="A1386" s="3">
        <v>68867755</v>
      </c>
      <c r="B1386" s="3">
        <v>2904</v>
      </c>
      <c r="C1386" s="24">
        <v>3980</v>
      </c>
      <c r="D1386" s="4">
        <v>46081</v>
      </c>
      <c r="E1386" t="str">
        <f>VLOOKUP($A1386,Sheet4!$A:$B,2,0)</f>
        <v>Talenti LY Salted CAR Truffle 8 323.1g</v>
      </c>
      <c r="F1386" s="3" t="s">
        <v>29</v>
      </c>
    </row>
    <row r="1387" spans="1:6" x14ac:dyDescent="0.25">
      <c r="A1387" s="3">
        <v>68867755</v>
      </c>
      <c r="B1387" s="3">
        <v>2904</v>
      </c>
      <c r="C1387" s="24">
        <v>2670</v>
      </c>
      <c r="D1387" s="4">
        <v>46089</v>
      </c>
      <c r="E1387" t="str">
        <f>VLOOKUP($A1387,Sheet4!$A:$B,2,0)</f>
        <v>Talenti LY Salted CAR Truffle 8 323.1g</v>
      </c>
      <c r="F1387" s="3" t="s">
        <v>29</v>
      </c>
    </row>
    <row r="1388" spans="1:6" x14ac:dyDescent="0.25">
      <c r="A1388" s="3">
        <v>68867755</v>
      </c>
      <c r="B1388" s="3">
        <v>2904</v>
      </c>
      <c r="C1388" s="24">
        <v>1005</v>
      </c>
      <c r="D1388" s="4">
        <v>46097</v>
      </c>
      <c r="E1388" t="str">
        <f>VLOOKUP($A1388,Sheet4!$A:$B,2,0)</f>
        <v>Talenti LY Salted CAR Truffle 8 323.1g</v>
      </c>
      <c r="F1388" s="3" t="s">
        <v>29</v>
      </c>
    </row>
    <row r="1389" spans="1:6" x14ac:dyDescent="0.25">
      <c r="A1389" s="3">
        <v>68867755</v>
      </c>
      <c r="B1389" s="3">
        <v>2904</v>
      </c>
      <c r="C1389" s="24">
        <v>6120</v>
      </c>
      <c r="D1389" s="4">
        <v>46098</v>
      </c>
      <c r="E1389" t="str">
        <f>VLOOKUP($A1389,Sheet4!$A:$B,2,0)</f>
        <v>Talenti LY Salted CAR Truffle 8 323.1g</v>
      </c>
      <c r="F1389" s="3" t="s">
        <v>29</v>
      </c>
    </row>
    <row r="1390" spans="1:6" x14ac:dyDescent="0.25">
      <c r="A1390" s="3">
        <v>68867756</v>
      </c>
      <c r="B1390" s="3">
        <v>2904</v>
      </c>
      <c r="C1390" s="24">
        <v>14932</v>
      </c>
      <c r="D1390" s="4">
        <v>46079</v>
      </c>
      <c r="E1390" t="str">
        <f>VLOOKUP($A1390,Sheet4!$A:$B,2,0)</f>
        <v>Talenti Roman Raspberry SORB 8 1PT</v>
      </c>
      <c r="F1390" s="3" t="s">
        <v>27</v>
      </c>
    </row>
    <row r="1391" spans="1:6" x14ac:dyDescent="0.25">
      <c r="A1391" s="3">
        <v>68867756</v>
      </c>
      <c r="B1391" s="3">
        <v>2904</v>
      </c>
      <c r="C1391" s="24">
        <v>15228</v>
      </c>
      <c r="D1391" s="4">
        <v>46080</v>
      </c>
      <c r="E1391" t="str">
        <f>VLOOKUP($A1391,Sheet4!$A:$B,2,0)</f>
        <v>Talenti Roman Raspberry SORB 8 1PT</v>
      </c>
      <c r="F1391" s="3" t="s">
        <v>27</v>
      </c>
    </row>
    <row r="1392" spans="1:6" x14ac:dyDescent="0.25">
      <c r="A1392" s="3">
        <v>68867756</v>
      </c>
      <c r="B1392" s="3">
        <v>2904</v>
      </c>
      <c r="C1392" s="24">
        <v>15555</v>
      </c>
      <c r="D1392" s="4">
        <v>46080</v>
      </c>
      <c r="E1392" t="str">
        <f>VLOOKUP($A1392,Sheet4!$A:$B,2,0)</f>
        <v>Talenti Roman Raspberry SORB 8 1PT</v>
      </c>
      <c r="F1392" s="3" t="s">
        <v>27</v>
      </c>
    </row>
    <row r="1393" spans="1:6" x14ac:dyDescent="0.25">
      <c r="A1393" s="3">
        <v>68867756</v>
      </c>
      <c r="B1393" s="3">
        <v>2904</v>
      </c>
      <c r="C1393" s="24">
        <v>10215</v>
      </c>
      <c r="D1393" s="4">
        <v>46081</v>
      </c>
      <c r="E1393" t="str">
        <f>VLOOKUP($A1393,Sheet4!$A:$B,2,0)</f>
        <v>Talenti Roman Raspberry SORB 8 1PT</v>
      </c>
      <c r="F1393" s="3" t="s">
        <v>27</v>
      </c>
    </row>
    <row r="1394" spans="1:6" x14ac:dyDescent="0.25">
      <c r="A1394" s="3">
        <v>68867756</v>
      </c>
      <c r="B1394" s="3">
        <v>2904</v>
      </c>
      <c r="C1394" s="24">
        <v>17775</v>
      </c>
      <c r="D1394" s="4">
        <v>46081</v>
      </c>
      <c r="E1394" t="str">
        <f>VLOOKUP($A1394,Sheet4!$A:$B,2,0)</f>
        <v>Talenti Roman Raspberry SORB 8 1PT</v>
      </c>
      <c r="F1394" s="3" t="s">
        <v>27</v>
      </c>
    </row>
    <row r="1395" spans="1:6" x14ac:dyDescent="0.25">
      <c r="A1395" s="3">
        <v>68867756</v>
      </c>
      <c r="B1395" s="3">
        <v>2904</v>
      </c>
      <c r="C1395" s="24">
        <v>8052</v>
      </c>
      <c r="D1395" s="4">
        <v>46082</v>
      </c>
      <c r="E1395" t="str">
        <f>VLOOKUP($A1395,Sheet4!$A:$B,2,0)</f>
        <v>Talenti Roman Raspberry SORB 8 1PT</v>
      </c>
      <c r="F1395" s="3" t="s">
        <v>27</v>
      </c>
    </row>
    <row r="1396" spans="1:6" x14ac:dyDescent="0.25">
      <c r="A1396" s="3">
        <v>68867756</v>
      </c>
      <c r="B1396" s="3">
        <v>2904</v>
      </c>
      <c r="C1396" s="24">
        <v>13842</v>
      </c>
      <c r="D1396" s="4">
        <v>46082</v>
      </c>
      <c r="E1396" t="str">
        <f>VLOOKUP($A1396,Sheet4!$A:$B,2,0)</f>
        <v>Talenti Roman Raspberry SORB 8 1PT</v>
      </c>
      <c r="F1396" s="3" t="s">
        <v>27</v>
      </c>
    </row>
    <row r="1397" spans="1:6" x14ac:dyDescent="0.25">
      <c r="A1397" s="3">
        <v>68867756</v>
      </c>
      <c r="B1397" s="3">
        <v>2904</v>
      </c>
      <c r="C1397" s="24">
        <v>9216</v>
      </c>
      <c r="D1397" s="4">
        <v>46083</v>
      </c>
      <c r="E1397" t="str">
        <f>VLOOKUP($A1397,Sheet4!$A:$B,2,0)</f>
        <v>Talenti Roman Raspberry SORB 8 1PT</v>
      </c>
      <c r="F1397" s="3" t="s">
        <v>27</v>
      </c>
    </row>
    <row r="1398" spans="1:6" x14ac:dyDescent="0.25">
      <c r="A1398" s="3">
        <v>68867756</v>
      </c>
      <c r="B1398" s="3">
        <v>2904</v>
      </c>
      <c r="C1398" s="24">
        <v>1418</v>
      </c>
      <c r="D1398" s="4">
        <v>46079</v>
      </c>
      <c r="E1398" t="str">
        <f>VLOOKUP($A1398,Sheet4!$A:$B,2,0)</f>
        <v>Talenti Roman Raspberry SORB 8 1PT</v>
      </c>
      <c r="F1398" s="3" t="s">
        <v>27</v>
      </c>
    </row>
    <row r="1399" spans="1:6" x14ac:dyDescent="0.25">
      <c r="A1399" s="3">
        <v>68896054</v>
      </c>
      <c r="B1399" s="3">
        <v>2904</v>
      </c>
      <c r="C1399" s="24">
        <v>3571</v>
      </c>
      <c r="D1399" s="4">
        <v>46082</v>
      </c>
      <c r="E1399" t="str">
        <f>VLOOKUP($A1399,Sheet4!$A:$B,2,0)</f>
        <v>BR Chocolate Chip Cookie Dough 6 1.5QT</v>
      </c>
      <c r="F1399" s="3" t="s">
        <v>17</v>
      </c>
    </row>
    <row r="1400" spans="1:6" x14ac:dyDescent="0.25">
      <c r="A1400" s="3">
        <v>68896054</v>
      </c>
      <c r="B1400" s="3">
        <v>2904</v>
      </c>
      <c r="C1400" s="24">
        <v>176</v>
      </c>
      <c r="D1400" s="4">
        <v>46083</v>
      </c>
      <c r="E1400" t="str">
        <f>VLOOKUP($A1400,Sheet4!$A:$B,2,0)</f>
        <v>BR Chocolate Chip Cookie Dough 6 1.5QT</v>
      </c>
      <c r="F1400" s="3" t="s">
        <v>17</v>
      </c>
    </row>
    <row r="1401" spans="1:6" x14ac:dyDescent="0.25">
      <c r="A1401" s="3">
        <v>68896054</v>
      </c>
      <c r="B1401" s="3">
        <v>2904</v>
      </c>
      <c r="C1401" s="24">
        <v>4928</v>
      </c>
      <c r="D1401" s="4">
        <v>46082</v>
      </c>
      <c r="E1401" t="str">
        <f>VLOOKUP($A1401,Sheet4!$A:$B,2,0)</f>
        <v>BR Chocolate Chip Cookie Dough 6 1.5QT</v>
      </c>
      <c r="F1401" s="3" t="s">
        <v>17</v>
      </c>
    </row>
    <row r="1402" spans="1:6" x14ac:dyDescent="0.25">
      <c r="A1402" s="3">
        <v>68896054</v>
      </c>
      <c r="B1402" s="3">
        <v>2904</v>
      </c>
      <c r="C1402" s="24">
        <v>4442</v>
      </c>
      <c r="D1402" s="4">
        <v>46083</v>
      </c>
      <c r="E1402" t="str">
        <f>VLOOKUP($A1402,Sheet4!$A:$B,2,0)</f>
        <v>BR Chocolate Chip Cookie Dough 6 1.5QT</v>
      </c>
      <c r="F1402" s="3" t="s">
        <v>17</v>
      </c>
    </row>
    <row r="1403" spans="1:6" x14ac:dyDescent="0.25">
      <c r="A1403" s="3">
        <v>68896054</v>
      </c>
      <c r="B1403" s="3">
        <v>2904</v>
      </c>
      <c r="C1403" s="24">
        <v>603</v>
      </c>
      <c r="D1403" s="4">
        <v>46083</v>
      </c>
      <c r="E1403" t="str">
        <f>VLOOKUP($A1403,Sheet4!$A:$B,2,0)</f>
        <v>BR Chocolate Chip Cookie Dough 6 1.5QT</v>
      </c>
      <c r="F1403" s="3" t="s">
        <v>17</v>
      </c>
    </row>
    <row r="1404" spans="1:6" x14ac:dyDescent="0.25">
      <c r="A1404" s="3">
        <v>68896054</v>
      </c>
      <c r="B1404" s="3">
        <v>2904</v>
      </c>
      <c r="C1404" s="24">
        <v>3872</v>
      </c>
      <c r="D1404" s="4">
        <v>46084</v>
      </c>
      <c r="E1404" t="str">
        <f>VLOOKUP($A1404,Sheet4!$A:$B,2,0)</f>
        <v>BR Chocolate Chip Cookie Dough 6 1.5QT</v>
      </c>
      <c r="F1404" s="3" t="s">
        <v>17</v>
      </c>
    </row>
    <row r="1405" spans="1:6" x14ac:dyDescent="0.25">
      <c r="A1405" s="3">
        <v>68896054</v>
      </c>
      <c r="B1405" s="3">
        <v>2904</v>
      </c>
      <c r="C1405" s="24">
        <v>6144</v>
      </c>
      <c r="D1405" s="4">
        <v>46084</v>
      </c>
      <c r="E1405" t="str">
        <f>VLOOKUP($A1405,Sheet4!$A:$B,2,0)</f>
        <v>BR Chocolate Chip Cookie Dough 6 1.5QT</v>
      </c>
      <c r="F1405" s="3" t="s">
        <v>17</v>
      </c>
    </row>
    <row r="1406" spans="1:6" x14ac:dyDescent="0.25">
      <c r="A1406" s="3">
        <v>68896054</v>
      </c>
      <c r="B1406" s="3">
        <v>2904</v>
      </c>
      <c r="C1406" s="24">
        <v>3615</v>
      </c>
      <c r="D1406" s="4">
        <v>46085</v>
      </c>
      <c r="E1406" t="str">
        <f>VLOOKUP($A1406,Sheet4!$A:$B,2,0)</f>
        <v>BR Chocolate Chip Cookie Dough 6 1.5QT</v>
      </c>
      <c r="F1406" s="3" t="s">
        <v>17</v>
      </c>
    </row>
    <row r="1407" spans="1:6" x14ac:dyDescent="0.25">
      <c r="A1407" s="3">
        <v>68922108</v>
      </c>
      <c r="B1407" s="3">
        <v>2904</v>
      </c>
      <c r="C1407" s="24">
        <v>11730</v>
      </c>
      <c r="D1407" s="4">
        <v>46098</v>
      </c>
      <c r="E1407" t="str">
        <f>VLOOKUP($A1407,Sheet4!$A:$B,2,0)</f>
        <v>Talenti Caramel Cookie Crunch 8 1PT</v>
      </c>
      <c r="F1407" s="3" t="s">
        <v>27</v>
      </c>
    </row>
    <row r="1408" spans="1:6" x14ac:dyDescent="0.25">
      <c r="A1408" s="3">
        <v>68922108</v>
      </c>
      <c r="B1408" s="3">
        <v>2904</v>
      </c>
      <c r="C1408" s="24">
        <v>15669</v>
      </c>
      <c r="D1408" s="4">
        <v>46099</v>
      </c>
      <c r="E1408" t="str">
        <f>VLOOKUP($A1408,Sheet4!$A:$B,2,0)</f>
        <v>Talenti Caramel Cookie Crunch 8 1PT</v>
      </c>
      <c r="F1408" s="3" t="s">
        <v>27</v>
      </c>
    </row>
    <row r="1409" spans="1:6" x14ac:dyDescent="0.25">
      <c r="A1409" s="3">
        <v>68922108</v>
      </c>
      <c r="B1409" s="3">
        <v>2904</v>
      </c>
      <c r="C1409" s="24">
        <v>16550</v>
      </c>
      <c r="D1409" s="4">
        <v>46099</v>
      </c>
      <c r="E1409" t="str">
        <f>VLOOKUP($A1409,Sheet4!$A:$B,2,0)</f>
        <v>Talenti Caramel Cookie Crunch 8 1PT</v>
      </c>
      <c r="F1409" s="3" t="s">
        <v>27</v>
      </c>
    </row>
    <row r="1410" spans="1:6" x14ac:dyDescent="0.25">
      <c r="A1410" s="3">
        <v>68922108</v>
      </c>
      <c r="B1410" s="3">
        <v>2904</v>
      </c>
      <c r="C1410" s="24">
        <v>16815</v>
      </c>
      <c r="D1410" s="4">
        <v>46100</v>
      </c>
      <c r="E1410" t="str">
        <f>VLOOKUP($A1410,Sheet4!$A:$B,2,0)</f>
        <v>Talenti Caramel Cookie Crunch 8 1PT</v>
      </c>
      <c r="F1410" s="3" t="s">
        <v>27</v>
      </c>
    </row>
    <row r="1411" spans="1:6" x14ac:dyDescent="0.25">
      <c r="A1411" s="3">
        <v>68922108</v>
      </c>
      <c r="B1411" s="3">
        <v>2904</v>
      </c>
      <c r="C1411" s="24">
        <v>16608</v>
      </c>
      <c r="D1411" s="4">
        <v>46100</v>
      </c>
      <c r="E1411" t="str">
        <f>VLOOKUP($A1411,Sheet4!$A:$B,2,0)</f>
        <v>Talenti Caramel Cookie Crunch 8 1PT</v>
      </c>
      <c r="F1411" s="3" t="s">
        <v>27</v>
      </c>
    </row>
    <row r="1412" spans="1:6" x14ac:dyDescent="0.25">
      <c r="A1412" s="3">
        <v>68922108</v>
      </c>
      <c r="B1412" s="3">
        <v>2904</v>
      </c>
      <c r="C1412" s="24">
        <v>14685</v>
      </c>
      <c r="D1412" s="4">
        <v>46101</v>
      </c>
      <c r="E1412" t="str">
        <f>VLOOKUP($A1412,Sheet4!$A:$B,2,0)</f>
        <v>Talenti Caramel Cookie Crunch 8 1PT</v>
      </c>
      <c r="F1412" s="3" t="s">
        <v>27</v>
      </c>
    </row>
    <row r="1413" spans="1:6" x14ac:dyDescent="0.25">
      <c r="A1413" s="3">
        <v>68922108</v>
      </c>
      <c r="B1413" s="3">
        <v>2904</v>
      </c>
      <c r="C1413" s="24">
        <v>254</v>
      </c>
      <c r="D1413" s="4">
        <v>46102</v>
      </c>
      <c r="E1413" t="str">
        <f>VLOOKUP($A1413,Sheet4!$A:$B,2,0)</f>
        <v>Talenti Caramel Cookie Crunch 8 1PT</v>
      </c>
      <c r="F1413" s="3" t="s">
        <v>27</v>
      </c>
    </row>
    <row r="1414" spans="1:6" x14ac:dyDescent="0.25">
      <c r="A1414" s="3">
        <v>68922108</v>
      </c>
      <c r="B1414" s="3">
        <v>2904</v>
      </c>
      <c r="C1414" s="24">
        <v>16410</v>
      </c>
      <c r="D1414" s="4">
        <v>46101</v>
      </c>
      <c r="E1414" t="str">
        <f>VLOOKUP($A1414,Sheet4!$A:$B,2,0)</f>
        <v>Talenti Caramel Cookie Crunch 8 1PT</v>
      </c>
      <c r="F1414" s="3" t="s">
        <v>27</v>
      </c>
    </row>
    <row r="1415" spans="1:6" x14ac:dyDescent="0.25">
      <c r="A1415" s="3">
        <v>68922108</v>
      </c>
      <c r="B1415" s="3">
        <v>2904</v>
      </c>
      <c r="C1415" s="24">
        <v>287</v>
      </c>
      <c r="D1415" s="4">
        <v>46102</v>
      </c>
      <c r="E1415" t="str">
        <f>VLOOKUP($A1415,Sheet4!$A:$B,2,0)</f>
        <v>Talenti Caramel Cookie Crunch 8 1PT</v>
      </c>
      <c r="F1415" s="3" t="s">
        <v>27</v>
      </c>
    </row>
    <row r="1416" spans="1:6" x14ac:dyDescent="0.25">
      <c r="A1416" s="3">
        <v>68938272</v>
      </c>
      <c r="B1416" s="3">
        <v>2904</v>
      </c>
      <c r="C1416" s="24">
        <v>6244</v>
      </c>
      <c r="D1416" s="4">
        <v>46087</v>
      </c>
      <c r="E1416" t="str">
        <f>VLOOKUP($A1416,Sheet4!$A:$B,2,0)</f>
        <v>BJ US-TOP-BossinCreamPie-8 450ML</v>
      </c>
      <c r="F1416" s="3" t="s">
        <v>46</v>
      </c>
    </row>
    <row r="1417" spans="1:6" x14ac:dyDescent="0.25">
      <c r="A1417" s="3">
        <v>68938272</v>
      </c>
      <c r="B1417" s="3">
        <v>2904</v>
      </c>
      <c r="C1417" s="24">
        <v>3720</v>
      </c>
      <c r="D1417" s="4">
        <v>46088</v>
      </c>
      <c r="E1417" t="str">
        <f>VLOOKUP($A1417,Sheet4!$A:$B,2,0)</f>
        <v>BJ US-TOP-BossinCreamPie-8 450ML</v>
      </c>
      <c r="F1417" s="3" t="s">
        <v>46</v>
      </c>
    </row>
    <row r="1418" spans="1:6" x14ac:dyDescent="0.25">
      <c r="A1418" s="3">
        <v>68938272</v>
      </c>
      <c r="B1418" s="3">
        <v>2904</v>
      </c>
      <c r="C1418" s="24">
        <v>912</v>
      </c>
      <c r="D1418" s="4">
        <v>46086</v>
      </c>
      <c r="E1418" t="str">
        <f>VLOOKUP($A1418,Sheet4!$A:$B,2,0)</f>
        <v>BJ US-TOP-BossinCreamPie-8 450ML</v>
      </c>
      <c r="F1418" s="3" t="s">
        <v>46</v>
      </c>
    </row>
    <row r="1419" spans="1:6" x14ac:dyDescent="0.25">
      <c r="A1419" s="3">
        <v>68938272</v>
      </c>
      <c r="B1419" s="3">
        <v>2904</v>
      </c>
      <c r="C1419" s="24">
        <v>6238</v>
      </c>
      <c r="D1419" s="4">
        <v>46087</v>
      </c>
      <c r="E1419" t="str">
        <f>VLOOKUP($A1419,Sheet4!$A:$B,2,0)</f>
        <v>BJ US-TOP-BossinCreamPie-8 450ML</v>
      </c>
      <c r="F1419" s="3" t="s">
        <v>46</v>
      </c>
    </row>
    <row r="1420" spans="1:6" x14ac:dyDescent="0.25">
      <c r="A1420" s="3">
        <v>69554197</v>
      </c>
      <c r="B1420" s="3">
        <v>2904</v>
      </c>
      <c r="C1420" s="24">
        <v>4890</v>
      </c>
      <c r="D1420" s="4">
        <v>46104</v>
      </c>
      <c r="E1420" t="str">
        <f>VLOOKUP($A1420,Sheet4!$A:$B,2,0)</f>
        <v>BR Reese PB Cup 8 1PT</v>
      </c>
      <c r="F1420" s="3" t="s">
        <v>46</v>
      </c>
    </row>
    <row r="1421" spans="1:6" x14ac:dyDescent="0.25">
      <c r="A1421" s="3">
        <v>69554197</v>
      </c>
      <c r="B1421" s="3">
        <v>2904</v>
      </c>
      <c r="C1421" s="24">
        <v>1218</v>
      </c>
      <c r="D1421" s="4">
        <v>46105</v>
      </c>
      <c r="E1421" t="str">
        <f>VLOOKUP($A1421,Sheet4!$A:$B,2,0)</f>
        <v>BR Reese PB Cup 8 1PT</v>
      </c>
      <c r="F1421" s="3" t="s">
        <v>46</v>
      </c>
    </row>
    <row r="1422" spans="1:6" x14ac:dyDescent="0.25">
      <c r="A1422" s="3">
        <v>69554197</v>
      </c>
      <c r="B1422" s="3">
        <v>2904</v>
      </c>
      <c r="C1422" s="24">
        <v>3224</v>
      </c>
      <c r="D1422" s="4">
        <v>46105</v>
      </c>
      <c r="E1422" t="str">
        <f>VLOOKUP($A1422,Sheet4!$A:$B,2,0)</f>
        <v>BR Reese PB Cup 8 1PT</v>
      </c>
      <c r="F1422" s="3" t="s">
        <v>46</v>
      </c>
    </row>
    <row r="1423" spans="1:6" x14ac:dyDescent="0.25">
      <c r="A1423" s="3">
        <v>69564623</v>
      </c>
      <c r="B1423" s="3">
        <v>2904</v>
      </c>
      <c r="C1423" s="24">
        <v>4576</v>
      </c>
      <c r="D1423" s="4">
        <v>46085</v>
      </c>
      <c r="E1423" t="str">
        <f>VLOOKUP($A1423,Sheet4!$A:$B,2,0)</f>
        <v>BR ND Vanilla 6 1.5QT</v>
      </c>
      <c r="F1423" s="3" t="s">
        <v>17</v>
      </c>
    </row>
    <row r="1424" spans="1:6" x14ac:dyDescent="0.25">
      <c r="A1424" s="3">
        <v>69564623</v>
      </c>
      <c r="B1424" s="3">
        <v>2904</v>
      </c>
      <c r="C1424" s="24">
        <v>7689</v>
      </c>
      <c r="D1424" s="4">
        <v>46086</v>
      </c>
      <c r="E1424" t="str">
        <f>VLOOKUP($A1424,Sheet4!$A:$B,2,0)</f>
        <v>BR ND Vanilla 6 1.5QT</v>
      </c>
      <c r="F1424" s="3" t="s">
        <v>17</v>
      </c>
    </row>
    <row r="1425" spans="1:6" x14ac:dyDescent="0.25">
      <c r="A1425" s="3">
        <v>69564623</v>
      </c>
      <c r="B1425" s="3">
        <v>2904</v>
      </c>
      <c r="C1425" s="24">
        <v>6160</v>
      </c>
      <c r="D1425" s="4">
        <v>46086</v>
      </c>
      <c r="E1425" t="str">
        <f>VLOOKUP($A1425,Sheet4!$A:$B,2,0)</f>
        <v>BR ND Vanilla 6 1.5QT</v>
      </c>
      <c r="F1425" s="3" t="s">
        <v>17</v>
      </c>
    </row>
    <row r="1426" spans="1:6" x14ac:dyDescent="0.25">
      <c r="A1426" s="3">
        <v>69564623</v>
      </c>
      <c r="B1426" s="3">
        <v>2904</v>
      </c>
      <c r="C1426" s="24">
        <v>6160</v>
      </c>
      <c r="D1426" s="4">
        <v>46087</v>
      </c>
      <c r="E1426" t="str">
        <f>VLOOKUP($A1426,Sheet4!$A:$B,2,0)</f>
        <v>BR ND Vanilla 6 1.5QT</v>
      </c>
      <c r="F1426" s="3" t="s">
        <v>17</v>
      </c>
    </row>
    <row r="1427" spans="1:6" x14ac:dyDescent="0.25">
      <c r="A1427" s="3">
        <v>69564623</v>
      </c>
      <c r="B1427" s="3">
        <v>2904</v>
      </c>
      <c r="C1427" s="24">
        <v>7318</v>
      </c>
      <c r="D1427" s="4">
        <v>46087</v>
      </c>
      <c r="E1427" t="str">
        <f>VLOOKUP($A1427,Sheet4!$A:$B,2,0)</f>
        <v>BR ND Vanilla 6 1.5QT</v>
      </c>
      <c r="F1427" s="3" t="s">
        <v>17</v>
      </c>
    </row>
    <row r="1428" spans="1:6" x14ac:dyDescent="0.25">
      <c r="A1428" s="3">
        <v>69564623</v>
      </c>
      <c r="B1428" s="3">
        <v>2904</v>
      </c>
      <c r="C1428" s="24">
        <v>2612</v>
      </c>
      <c r="D1428" s="4">
        <v>46088</v>
      </c>
      <c r="E1428" t="str">
        <f>VLOOKUP($A1428,Sheet4!$A:$B,2,0)</f>
        <v>BR ND Vanilla 6 1.5QT</v>
      </c>
      <c r="F1428" s="3" t="s">
        <v>17</v>
      </c>
    </row>
    <row r="1429" spans="1:6" x14ac:dyDescent="0.25">
      <c r="A1429" s="3">
        <v>69568828</v>
      </c>
      <c r="B1429" s="3">
        <v>2904</v>
      </c>
      <c r="C1429" s="24">
        <v>704</v>
      </c>
      <c r="D1429" s="4">
        <v>46077</v>
      </c>
      <c r="E1429" t="str">
        <f>VLOOKUP($A1429,Sheet4!$A:$B,2,0)</f>
        <v>BR CS Vanilla 6 1.5QT</v>
      </c>
      <c r="F1429" s="3" t="s">
        <v>17</v>
      </c>
    </row>
    <row r="1430" spans="1:6" x14ac:dyDescent="0.25">
      <c r="A1430" s="3">
        <v>69568828</v>
      </c>
      <c r="B1430" s="3">
        <v>2904</v>
      </c>
      <c r="C1430" s="24">
        <v>-704</v>
      </c>
      <c r="D1430" s="4">
        <v>46078</v>
      </c>
      <c r="E1430" t="str">
        <f>VLOOKUP($A1430,Sheet4!$A:$B,2,0)</f>
        <v>BR CS Vanilla 6 1.5QT</v>
      </c>
      <c r="F1430" s="3" t="s">
        <v>17</v>
      </c>
    </row>
    <row r="1431" spans="1:6" x14ac:dyDescent="0.25">
      <c r="A1431" s="3">
        <v>69568828</v>
      </c>
      <c r="B1431" s="3">
        <v>2904</v>
      </c>
      <c r="C1431" s="24">
        <v>1232</v>
      </c>
      <c r="D1431" s="4">
        <v>46077</v>
      </c>
      <c r="E1431" t="str">
        <f>VLOOKUP($A1431,Sheet4!$A:$B,2,0)</f>
        <v>BR CS Vanilla 6 1.5QT</v>
      </c>
      <c r="F1431" s="3" t="s">
        <v>17</v>
      </c>
    </row>
    <row r="1432" spans="1:6" x14ac:dyDescent="0.25">
      <c r="A1432" s="3">
        <v>69568828</v>
      </c>
      <c r="B1432" s="3">
        <v>2904</v>
      </c>
      <c r="C1432" s="24">
        <v>3401</v>
      </c>
      <c r="D1432" s="4">
        <v>46078</v>
      </c>
      <c r="E1432" t="str">
        <f>VLOOKUP($A1432,Sheet4!$A:$B,2,0)</f>
        <v>BR CS Vanilla 6 1.5QT</v>
      </c>
      <c r="F1432" s="3" t="s">
        <v>17</v>
      </c>
    </row>
    <row r="1433" spans="1:6" x14ac:dyDescent="0.25">
      <c r="A1433" s="3">
        <v>69568828</v>
      </c>
      <c r="B1433" s="3">
        <v>2904</v>
      </c>
      <c r="C1433" s="24">
        <v>5609</v>
      </c>
      <c r="D1433" s="4">
        <v>46078</v>
      </c>
      <c r="E1433" t="str">
        <f>VLOOKUP($A1433,Sheet4!$A:$B,2,0)</f>
        <v>BR CS Vanilla 6 1.5QT</v>
      </c>
      <c r="F1433" s="3" t="s">
        <v>17</v>
      </c>
    </row>
    <row r="1434" spans="1:6" x14ac:dyDescent="0.25">
      <c r="A1434" s="3">
        <v>69568828</v>
      </c>
      <c r="B1434" s="3">
        <v>2904</v>
      </c>
      <c r="C1434" s="24">
        <v>6821</v>
      </c>
      <c r="D1434" s="4">
        <v>46079</v>
      </c>
      <c r="E1434" t="str">
        <f>VLOOKUP($A1434,Sheet4!$A:$B,2,0)</f>
        <v>BR CS Vanilla 6 1.5QT</v>
      </c>
      <c r="F1434" s="3" t="s">
        <v>17</v>
      </c>
    </row>
    <row r="1435" spans="1:6" x14ac:dyDescent="0.25">
      <c r="A1435" s="3">
        <v>69568828</v>
      </c>
      <c r="B1435" s="3">
        <v>2904</v>
      </c>
      <c r="C1435" s="24">
        <v>7127</v>
      </c>
      <c r="D1435" s="4">
        <v>46079</v>
      </c>
      <c r="E1435" t="str">
        <f>VLOOKUP($A1435,Sheet4!$A:$B,2,0)</f>
        <v>BR CS Vanilla 6 1.5QT</v>
      </c>
      <c r="F1435" s="3" t="s">
        <v>17</v>
      </c>
    </row>
    <row r="1436" spans="1:6" x14ac:dyDescent="0.25">
      <c r="A1436" s="3">
        <v>69568828</v>
      </c>
      <c r="B1436" s="3">
        <v>2904</v>
      </c>
      <c r="C1436" s="24">
        <v>5088</v>
      </c>
      <c r="D1436" s="4">
        <v>46080</v>
      </c>
      <c r="E1436" t="str">
        <f>VLOOKUP($A1436,Sheet4!$A:$B,2,0)</f>
        <v>BR CS Vanilla 6 1.5QT</v>
      </c>
      <c r="F1436" s="3" t="s">
        <v>17</v>
      </c>
    </row>
    <row r="1437" spans="1:6" x14ac:dyDescent="0.25">
      <c r="A1437" s="3">
        <v>69568828</v>
      </c>
      <c r="B1437" s="3">
        <v>2904</v>
      </c>
      <c r="C1437" s="24">
        <v>3630</v>
      </c>
      <c r="D1437" s="4">
        <v>46098</v>
      </c>
      <c r="E1437" t="str">
        <f>VLOOKUP($A1437,Sheet4!$A:$B,2,0)</f>
        <v>BR CS Vanilla 6 1.5QT</v>
      </c>
      <c r="F1437" s="3" t="s">
        <v>17</v>
      </c>
    </row>
    <row r="1438" spans="1:6" x14ac:dyDescent="0.25">
      <c r="A1438" s="3">
        <v>69568828</v>
      </c>
      <c r="B1438" s="3">
        <v>2904</v>
      </c>
      <c r="C1438" s="24">
        <v>6688</v>
      </c>
      <c r="D1438" s="4">
        <v>46098</v>
      </c>
      <c r="E1438" t="str">
        <f>VLOOKUP($A1438,Sheet4!$A:$B,2,0)</f>
        <v>BR CS Vanilla 6 1.5QT</v>
      </c>
      <c r="F1438" s="3" t="s">
        <v>17</v>
      </c>
    </row>
    <row r="1439" spans="1:6" x14ac:dyDescent="0.25">
      <c r="A1439" s="3">
        <v>69568828</v>
      </c>
      <c r="B1439" s="3">
        <v>2904</v>
      </c>
      <c r="C1439" s="24">
        <v>4677</v>
      </c>
      <c r="D1439" s="4">
        <v>46099</v>
      </c>
      <c r="E1439" t="str">
        <f>VLOOKUP($A1439,Sheet4!$A:$B,2,0)</f>
        <v>BR CS Vanilla 6 1.5QT</v>
      </c>
      <c r="F1439" s="3" t="s">
        <v>17</v>
      </c>
    </row>
    <row r="1440" spans="1:6" x14ac:dyDescent="0.25">
      <c r="A1440" s="3">
        <v>69568828</v>
      </c>
      <c r="B1440" s="3">
        <v>2904</v>
      </c>
      <c r="C1440" s="24">
        <v>513</v>
      </c>
      <c r="D1440" s="4">
        <v>46099</v>
      </c>
      <c r="E1440" t="str">
        <f>VLOOKUP($A1440,Sheet4!$A:$B,2,0)</f>
        <v>BR CS Vanilla 6 1.5QT</v>
      </c>
      <c r="F1440" s="3" t="s">
        <v>17</v>
      </c>
    </row>
    <row r="1441" spans="1:6" x14ac:dyDescent="0.25">
      <c r="A1441" s="3">
        <v>69568828</v>
      </c>
      <c r="B1441" s="3">
        <v>2904</v>
      </c>
      <c r="C1441" s="24">
        <v>1605</v>
      </c>
      <c r="D1441" s="4">
        <v>46100</v>
      </c>
      <c r="E1441" t="str">
        <f>VLOOKUP($A1441,Sheet4!$A:$B,2,0)</f>
        <v>BR CS Vanilla 6 1.5QT</v>
      </c>
      <c r="F1441" s="3" t="s">
        <v>17</v>
      </c>
    </row>
    <row r="1442" spans="1:6" x14ac:dyDescent="0.25">
      <c r="A1442" s="3">
        <v>69568828</v>
      </c>
      <c r="B1442" s="3">
        <v>2904</v>
      </c>
      <c r="C1442" s="24">
        <v>7040</v>
      </c>
      <c r="D1442" s="4">
        <v>46100</v>
      </c>
      <c r="E1442" t="str">
        <f>VLOOKUP($A1442,Sheet4!$A:$B,2,0)</f>
        <v>BR CS Vanilla 6 1.5QT</v>
      </c>
      <c r="F1442" s="3" t="s">
        <v>17</v>
      </c>
    </row>
    <row r="1443" spans="1:6" x14ac:dyDescent="0.25">
      <c r="A1443" s="3">
        <v>69568828</v>
      </c>
      <c r="B1443" s="3">
        <v>2904</v>
      </c>
      <c r="C1443" s="24">
        <v>6050</v>
      </c>
      <c r="D1443" s="4">
        <v>46101</v>
      </c>
      <c r="E1443" t="str">
        <f>VLOOKUP($A1443,Sheet4!$A:$B,2,0)</f>
        <v>BR CS Vanilla 6 1.5QT</v>
      </c>
      <c r="F1443" s="3" t="s">
        <v>17</v>
      </c>
    </row>
    <row r="1444" spans="1:6" x14ac:dyDescent="0.25">
      <c r="A1444" s="3">
        <v>69568828</v>
      </c>
      <c r="B1444" s="3">
        <v>2904</v>
      </c>
      <c r="C1444" s="24">
        <v>5632</v>
      </c>
      <c r="D1444" s="4">
        <v>46080</v>
      </c>
      <c r="E1444" t="str">
        <f>VLOOKUP($A1444,Sheet4!$A:$B,2,0)</f>
        <v>BR CS Vanilla 6 1.5QT</v>
      </c>
      <c r="F1444" s="3" t="s">
        <v>17</v>
      </c>
    </row>
    <row r="1445" spans="1:6" x14ac:dyDescent="0.25">
      <c r="A1445" s="3">
        <v>69568828</v>
      </c>
      <c r="B1445" s="3">
        <v>2904</v>
      </c>
      <c r="C1445" s="24">
        <v>6227</v>
      </c>
      <c r="D1445" s="4">
        <v>46081</v>
      </c>
      <c r="E1445" t="str">
        <f>VLOOKUP($A1445,Sheet4!$A:$B,2,0)</f>
        <v>BR CS Vanilla 6 1.5QT</v>
      </c>
      <c r="F1445" s="3" t="s">
        <v>17</v>
      </c>
    </row>
    <row r="1446" spans="1:6" x14ac:dyDescent="0.25">
      <c r="A1446" s="3">
        <v>69568828</v>
      </c>
      <c r="B1446" s="3">
        <v>2904</v>
      </c>
      <c r="C1446" s="24">
        <v>-176</v>
      </c>
      <c r="D1446" s="4">
        <v>46091</v>
      </c>
      <c r="E1446" t="str">
        <f>VLOOKUP($A1446,Sheet4!$A:$B,2,0)</f>
        <v>BR CS Vanilla 6 1.5QT</v>
      </c>
      <c r="F1446" s="3" t="s">
        <v>17</v>
      </c>
    </row>
    <row r="1447" spans="1:6" x14ac:dyDescent="0.25">
      <c r="A1447" s="3">
        <v>69568828</v>
      </c>
      <c r="B1447" s="3">
        <v>2904</v>
      </c>
      <c r="C1447" s="24">
        <v>3652</v>
      </c>
      <c r="D1447" s="4">
        <v>46081</v>
      </c>
      <c r="E1447" t="str">
        <f>VLOOKUP($A1447,Sheet4!$A:$B,2,0)</f>
        <v>BR CS Vanilla 6 1.5QT</v>
      </c>
      <c r="F1447" s="3" t="s">
        <v>17</v>
      </c>
    </row>
    <row r="1448" spans="1:6" x14ac:dyDescent="0.25">
      <c r="A1448" s="3">
        <v>69568828</v>
      </c>
      <c r="B1448" s="3">
        <v>2904</v>
      </c>
      <c r="C1448" s="24">
        <v>26</v>
      </c>
      <c r="D1448" s="4">
        <v>46082</v>
      </c>
      <c r="E1448" t="str">
        <f>VLOOKUP($A1448,Sheet4!$A:$B,2,0)</f>
        <v>BR CS Vanilla 6 1.5QT</v>
      </c>
      <c r="F1448" s="3" t="s">
        <v>17</v>
      </c>
    </row>
    <row r="1449" spans="1:6" x14ac:dyDescent="0.25">
      <c r="A1449" s="3">
        <v>69568828</v>
      </c>
      <c r="B1449" s="3">
        <v>2904</v>
      </c>
      <c r="C1449" s="24">
        <v>7392</v>
      </c>
      <c r="D1449" s="4">
        <v>46101</v>
      </c>
      <c r="E1449" t="str">
        <f>VLOOKUP($A1449,Sheet4!$A:$B,2,0)</f>
        <v>BR CS Vanilla 6 1.5QT</v>
      </c>
      <c r="F1449" s="3" t="s">
        <v>17</v>
      </c>
    </row>
    <row r="1450" spans="1:6" x14ac:dyDescent="0.25">
      <c r="A1450" s="3">
        <v>69568828</v>
      </c>
      <c r="B1450" s="3">
        <v>2904</v>
      </c>
      <c r="C1450" s="24">
        <v>6688</v>
      </c>
      <c r="D1450" s="4">
        <v>46102</v>
      </c>
      <c r="E1450" t="str">
        <f>VLOOKUP($A1450,Sheet4!$A:$B,2,0)</f>
        <v>BR CS Vanilla 6 1.5QT</v>
      </c>
      <c r="F1450" s="3" t="s">
        <v>17</v>
      </c>
    </row>
    <row r="1451" spans="1:6" x14ac:dyDescent="0.25">
      <c r="A1451" s="3">
        <v>69568828</v>
      </c>
      <c r="B1451" s="3">
        <v>2904</v>
      </c>
      <c r="C1451" s="24">
        <v>2464</v>
      </c>
      <c r="D1451" s="4">
        <v>46102</v>
      </c>
      <c r="E1451" t="str">
        <f>VLOOKUP($A1451,Sheet4!$A:$B,2,0)</f>
        <v>BR CS Vanilla 6 1.5QT</v>
      </c>
      <c r="F1451" s="3" t="s">
        <v>17</v>
      </c>
    </row>
    <row r="1452" spans="1:6" x14ac:dyDescent="0.25">
      <c r="A1452" s="3">
        <v>69568829</v>
      </c>
      <c r="B1452" s="3">
        <v>2904</v>
      </c>
      <c r="C1452" s="24">
        <v>5632</v>
      </c>
      <c r="D1452" s="4">
        <v>46079</v>
      </c>
      <c r="E1452" t="str">
        <f>VLOOKUP($A1452,Sheet4!$A:$B,2,0)</f>
        <v>BR CS CHOC 6 1.5QT</v>
      </c>
      <c r="F1452" s="3" t="s">
        <v>21</v>
      </c>
    </row>
    <row r="1453" spans="1:6" x14ac:dyDescent="0.25">
      <c r="A1453" s="3">
        <v>69568829</v>
      </c>
      <c r="B1453" s="3">
        <v>2904</v>
      </c>
      <c r="C1453" s="24">
        <v>7649</v>
      </c>
      <c r="D1453" s="4">
        <v>46080</v>
      </c>
      <c r="E1453" t="str">
        <f>VLOOKUP($A1453,Sheet4!$A:$B,2,0)</f>
        <v>BR CS CHOC 6 1.5QT</v>
      </c>
      <c r="F1453" s="3" t="s">
        <v>21</v>
      </c>
    </row>
    <row r="1454" spans="1:6" x14ac:dyDescent="0.25">
      <c r="A1454" s="3">
        <v>69568829</v>
      </c>
      <c r="B1454" s="3">
        <v>2904</v>
      </c>
      <c r="C1454" s="24">
        <v>5984</v>
      </c>
      <c r="D1454" s="4">
        <v>46080</v>
      </c>
      <c r="E1454" t="str">
        <f>VLOOKUP($A1454,Sheet4!$A:$B,2,0)</f>
        <v>BR CS CHOC 6 1.5QT</v>
      </c>
      <c r="F1454" s="3" t="s">
        <v>21</v>
      </c>
    </row>
    <row r="1455" spans="1:6" x14ac:dyDescent="0.25">
      <c r="A1455" s="3">
        <v>69568829</v>
      </c>
      <c r="B1455" s="3">
        <v>2904</v>
      </c>
      <c r="C1455" s="24">
        <v>5566</v>
      </c>
      <c r="D1455" s="4">
        <v>46081</v>
      </c>
      <c r="E1455" t="str">
        <f>VLOOKUP($A1455,Sheet4!$A:$B,2,0)</f>
        <v>BR CS CHOC 6 1.5QT</v>
      </c>
      <c r="F1455" s="3" t="s">
        <v>21</v>
      </c>
    </row>
    <row r="1456" spans="1:6" x14ac:dyDescent="0.25">
      <c r="A1456" s="3">
        <v>69568829</v>
      </c>
      <c r="B1456" s="3">
        <v>2904</v>
      </c>
      <c r="C1456" s="24">
        <v>5760</v>
      </c>
      <c r="D1456" s="4">
        <v>46081</v>
      </c>
      <c r="E1456" t="str">
        <f>VLOOKUP($A1456,Sheet4!$A:$B,2,0)</f>
        <v>BR CS CHOC 6 1.5QT</v>
      </c>
      <c r="F1456" s="3" t="s">
        <v>21</v>
      </c>
    </row>
    <row r="1457" spans="1:6" x14ac:dyDescent="0.25">
      <c r="A1457" s="3">
        <v>69568829</v>
      </c>
      <c r="B1457" s="3">
        <v>2904</v>
      </c>
      <c r="C1457" s="24">
        <v>5808</v>
      </c>
      <c r="D1457" s="4">
        <v>46082</v>
      </c>
      <c r="E1457" t="str">
        <f>VLOOKUP($A1457,Sheet4!$A:$B,2,0)</f>
        <v>BR CS CHOC 6 1.5QT</v>
      </c>
      <c r="F1457" s="3" t="s">
        <v>21</v>
      </c>
    </row>
    <row r="1458" spans="1:6" x14ac:dyDescent="0.25">
      <c r="A1458" s="3">
        <v>69568829</v>
      </c>
      <c r="B1458" s="3">
        <v>2904</v>
      </c>
      <c r="C1458" s="24">
        <v>2145</v>
      </c>
      <c r="D1458" s="4">
        <v>46082</v>
      </c>
      <c r="E1458" t="str">
        <f>VLOOKUP($A1458,Sheet4!$A:$B,2,0)</f>
        <v>BR CS CHOC 6 1.5QT</v>
      </c>
      <c r="F1458" s="3" t="s">
        <v>21</v>
      </c>
    </row>
    <row r="1459" spans="1:6" x14ac:dyDescent="0.25">
      <c r="A1459" s="3">
        <v>69568829</v>
      </c>
      <c r="B1459" s="3">
        <v>2904</v>
      </c>
      <c r="C1459" s="24">
        <v>2603</v>
      </c>
      <c r="D1459" s="4">
        <v>46079</v>
      </c>
      <c r="E1459" t="str">
        <f>VLOOKUP($A1459,Sheet4!$A:$B,2,0)</f>
        <v>BR CS CHOC 6 1.5QT</v>
      </c>
      <c r="F1459" s="3" t="s">
        <v>21</v>
      </c>
    </row>
    <row r="1460" spans="1:6" x14ac:dyDescent="0.25">
      <c r="A1460" s="3">
        <v>69568964</v>
      </c>
      <c r="B1460" s="3">
        <v>2904</v>
      </c>
      <c r="C1460" s="24">
        <v>0</v>
      </c>
      <c r="D1460" s="4">
        <v>46078</v>
      </c>
      <c r="E1460" t="str">
        <f>VLOOKUP($A1460,Sheet4!$A:$B,2,0)</f>
        <v>BR NSA Vanilla 6 1.5QT</v>
      </c>
      <c r="F1460" s="3" t="s">
        <v>17</v>
      </c>
    </row>
    <row r="1461" spans="1:6" x14ac:dyDescent="0.25">
      <c r="A1461" s="3">
        <v>69568964</v>
      </c>
      <c r="B1461" s="3">
        <v>2904</v>
      </c>
      <c r="C1461" s="24">
        <v>2464</v>
      </c>
      <c r="D1461" s="4">
        <v>46105</v>
      </c>
      <c r="E1461" t="str">
        <f>VLOOKUP($A1461,Sheet4!$A:$B,2,0)</f>
        <v>BR NSA Vanilla 6 1.5QT</v>
      </c>
      <c r="F1461" s="3" t="s">
        <v>17</v>
      </c>
    </row>
    <row r="1462" spans="1:6" x14ac:dyDescent="0.25">
      <c r="A1462" s="3">
        <v>69568964</v>
      </c>
      <c r="B1462" s="3">
        <v>2904</v>
      </c>
      <c r="C1462" s="24">
        <v>7744</v>
      </c>
      <c r="D1462" s="4">
        <v>46105</v>
      </c>
      <c r="E1462" t="str">
        <f>VLOOKUP($A1462,Sheet4!$A:$B,2,0)</f>
        <v>BR NSA Vanilla 6 1.5QT</v>
      </c>
      <c r="F1462" s="3" t="s">
        <v>17</v>
      </c>
    </row>
    <row r="1463" spans="1:6" x14ac:dyDescent="0.25">
      <c r="A1463" s="3">
        <v>69629468</v>
      </c>
      <c r="B1463" s="3">
        <v>2904</v>
      </c>
      <c r="C1463" s="24">
        <v>39</v>
      </c>
      <c r="D1463" s="4">
        <v>46077</v>
      </c>
      <c r="E1463" t="str">
        <f>VLOOKUP($A1463,Sheet4!$A:$B,2,0)</f>
        <v>PS Fudgesicle NSA 6-18PK</v>
      </c>
      <c r="F1463" s="3" t="s">
        <v>39</v>
      </c>
    </row>
    <row r="1464" spans="1:6" x14ac:dyDescent="0.25">
      <c r="A1464" s="3">
        <v>69629468</v>
      </c>
      <c r="B1464" s="3">
        <v>2904</v>
      </c>
      <c r="C1464" s="24">
        <v>1820</v>
      </c>
      <c r="D1464" s="4">
        <v>46076</v>
      </c>
      <c r="E1464" t="str">
        <f>VLOOKUP($A1464,Sheet4!$A:$B,2,0)</f>
        <v>PS Fudgesicle NSA 6-18PK</v>
      </c>
      <c r="F1464" s="3" t="s">
        <v>39</v>
      </c>
    </row>
    <row r="1465" spans="1:6" x14ac:dyDescent="0.25">
      <c r="A1465" s="3">
        <v>69629468</v>
      </c>
      <c r="B1465" s="3">
        <v>2904</v>
      </c>
      <c r="C1465" s="24">
        <v>1625</v>
      </c>
      <c r="D1465" s="4">
        <v>46077</v>
      </c>
      <c r="E1465" t="str">
        <f>VLOOKUP($A1465,Sheet4!$A:$B,2,0)</f>
        <v>PS Fudgesicle NSA 6-18PK</v>
      </c>
      <c r="F1465" s="3" t="s">
        <v>39</v>
      </c>
    </row>
    <row r="1466" spans="1:6" x14ac:dyDescent="0.25">
      <c r="A1466" s="3">
        <v>69629468</v>
      </c>
      <c r="B1466" s="3">
        <v>2904</v>
      </c>
      <c r="C1466" s="24">
        <v>1950</v>
      </c>
      <c r="D1466" s="4">
        <v>46077</v>
      </c>
      <c r="E1466" t="str">
        <f>VLOOKUP($A1466,Sheet4!$A:$B,2,0)</f>
        <v>PS Fudgesicle NSA 6-18PK</v>
      </c>
      <c r="F1466" s="3" t="s">
        <v>39</v>
      </c>
    </row>
    <row r="1467" spans="1:6" x14ac:dyDescent="0.25">
      <c r="A1467" s="3">
        <v>69629468</v>
      </c>
      <c r="B1467" s="3">
        <v>2904</v>
      </c>
      <c r="C1467" s="24">
        <v>1300</v>
      </c>
      <c r="D1467" s="4">
        <v>46078</v>
      </c>
      <c r="E1467" t="str">
        <f>VLOOKUP($A1467,Sheet4!$A:$B,2,0)</f>
        <v>PS Fudgesicle NSA 6-18PK</v>
      </c>
      <c r="F1467" s="3" t="s">
        <v>39</v>
      </c>
    </row>
    <row r="1468" spans="1:6" x14ac:dyDescent="0.25">
      <c r="A1468" s="3">
        <v>69629468</v>
      </c>
      <c r="B1468" s="3">
        <v>2904</v>
      </c>
      <c r="C1468" s="24">
        <v>626</v>
      </c>
      <c r="D1468" s="4">
        <v>46078</v>
      </c>
      <c r="E1468" t="str">
        <f>VLOOKUP($A1468,Sheet4!$A:$B,2,0)</f>
        <v>PS Fudgesicle NSA 6-18PK</v>
      </c>
      <c r="F1468" s="3" t="s">
        <v>39</v>
      </c>
    </row>
    <row r="1469" spans="1:6" x14ac:dyDescent="0.25">
      <c r="A1469" s="3">
        <v>69629468</v>
      </c>
      <c r="B1469" s="3">
        <v>2904</v>
      </c>
      <c r="C1469" s="24">
        <v>1456</v>
      </c>
      <c r="D1469" s="4">
        <v>46079</v>
      </c>
      <c r="E1469" t="str">
        <f>VLOOKUP($A1469,Sheet4!$A:$B,2,0)</f>
        <v>PS Fudgesicle NSA 6-18PK</v>
      </c>
      <c r="F1469" s="3" t="s">
        <v>39</v>
      </c>
    </row>
    <row r="1470" spans="1:6" x14ac:dyDescent="0.25">
      <c r="A1470" s="3">
        <v>69629468</v>
      </c>
      <c r="B1470" s="3">
        <v>2904</v>
      </c>
      <c r="C1470" s="24">
        <v>1560</v>
      </c>
      <c r="D1470" s="4">
        <v>46080</v>
      </c>
      <c r="E1470" t="str">
        <f>VLOOKUP($A1470,Sheet4!$A:$B,2,0)</f>
        <v>PS Fudgesicle NSA 6-18PK</v>
      </c>
      <c r="F1470" s="3" t="s">
        <v>39</v>
      </c>
    </row>
    <row r="1471" spans="1:6" x14ac:dyDescent="0.25">
      <c r="A1471" s="3">
        <v>69629468</v>
      </c>
      <c r="B1471" s="3">
        <v>2904</v>
      </c>
      <c r="C1471" s="24">
        <v>2376</v>
      </c>
      <c r="D1471" s="4">
        <v>46080</v>
      </c>
      <c r="E1471" t="str">
        <f>VLOOKUP($A1471,Sheet4!$A:$B,2,0)</f>
        <v>PS Fudgesicle NSA 6-18PK</v>
      </c>
      <c r="F1471" s="3" t="s">
        <v>39</v>
      </c>
    </row>
    <row r="1472" spans="1:6" x14ac:dyDescent="0.25">
      <c r="A1472" s="3">
        <v>69629468</v>
      </c>
      <c r="B1472" s="3">
        <v>2904</v>
      </c>
      <c r="C1472" s="24">
        <v>840</v>
      </c>
      <c r="D1472" s="4">
        <v>46081</v>
      </c>
      <c r="E1472" t="str">
        <f>VLOOKUP($A1472,Sheet4!$A:$B,2,0)</f>
        <v>PS Fudgesicle NSA 6-18PK</v>
      </c>
      <c r="F1472" s="3" t="s">
        <v>39</v>
      </c>
    </row>
    <row r="1473" spans="1:6" x14ac:dyDescent="0.25">
      <c r="A1473" s="3">
        <v>69629468</v>
      </c>
      <c r="B1473" s="3">
        <v>2904</v>
      </c>
      <c r="C1473" s="24">
        <v>1646</v>
      </c>
      <c r="D1473" s="4">
        <v>46083</v>
      </c>
      <c r="E1473" t="str">
        <f>VLOOKUP($A1473,Sheet4!$A:$B,2,0)</f>
        <v>PS Fudgesicle NSA 6-18PK</v>
      </c>
      <c r="F1473" s="3" t="s">
        <v>39</v>
      </c>
    </row>
    <row r="1474" spans="1:6" x14ac:dyDescent="0.25">
      <c r="A1474" s="3">
        <v>69629468</v>
      </c>
      <c r="B1474" s="3">
        <v>2904</v>
      </c>
      <c r="C1474" s="24">
        <v>1404</v>
      </c>
      <c r="D1474" s="4">
        <v>46084</v>
      </c>
      <c r="E1474" t="str">
        <f>VLOOKUP($A1474,Sheet4!$A:$B,2,0)</f>
        <v>PS Fudgesicle NSA 6-18PK</v>
      </c>
      <c r="F1474" s="3" t="s">
        <v>39</v>
      </c>
    </row>
    <row r="1475" spans="1:6" x14ac:dyDescent="0.25">
      <c r="A1475" s="3">
        <v>69629468</v>
      </c>
      <c r="B1475" s="3">
        <v>2904</v>
      </c>
      <c r="C1475" s="24">
        <v>2552</v>
      </c>
      <c r="D1475" s="4">
        <v>46084</v>
      </c>
      <c r="E1475" t="str">
        <f>VLOOKUP($A1475,Sheet4!$A:$B,2,0)</f>
        <v>PS Fudgesicle NSA 6-18PK</v>
      </c>
      <c r="F1475" s="3" t="s">
        <v>39</v>
      </c>
    </row>
    <row r="1476" spans="1:6" x14ac:dyDescent="0.25">
      <c r="A1476" s="3">
        <v>69629468</v>
      </c>
      <c r="B1476" s="3">
        <v>2904</v>
      </c>
      <c r="C1476" s="24">
        <v>2140</v>
      </c>
      <c r="D1476" s="4">
        <v>46085</v>
      </c>
      <c r="E1476" t="str">
        <f>VLOOKUP($A1476,Sheet4!$A:$B,2,0)</f>
        <v>PS Fudgesicle NSA 6-18PK</v>
      </c>
      <c r="F1476" s="3" t="s">
        <v>39</v>
      </c>
    </row>
    <row r="1477" spans="1:6" x14ac:dyDescent="0.25">
      <c r="A1477" s="3">
        <v>69629468</v>
      </c>
      <c r="B1477" s="3">
        <v>2904</v>
      </c>
      <c r="C1477" s="24">
        <v>520</v>
      </c>
      <c r="D1477" s="4">
        <v>46085</v>
      </c>
      <c r="E1477" t="str">
        <f>VLOOKUP($A1477,Sheet4!$A:$B,2,0)</f>
        <v>PS Fudgesicle NSA 6-18PK</v>
      </c>
      <c r="F1477" s="3" t="s">
        <v>39</v>
      </c>
    </row>
    <row r="1478" spans="1:6" x14ac:dyDescent="0.25">
      <c r="A1478" s="3">
        <v>69629468</v>
      </c>
      <c r="B1478" s="3">
        <v>2904</v>
      </c>
      <c r="C1478" s="24">
        <v>1911</v>
      </c>
      <c r="D1478" s="4">
        <v>46086</v>
      </c>
      <c r="E1478" t="str">
        <f>VLOOKUP($A1478,Sheet4!$A:$B,2,0)</f>
        <v>PS Fudgesicle NSA 6-18PK</v>
      </c>
      <c r="F1478" s="3" t="s">
        <v>39</v>
      </c>
    </row>
    <row r="1479" spans="1:6" x14ac:dyDescent="0.25">
      <c r="A1479" s="3">
        <v>69629468</v>
      </c>
      <c r="B1479" s="3">
        <v>2904</v>
      </c>
      <c r="C1479" s="24">
        <v>2280</v>
      </c>
      <c r="D1479" s="4">
        <v>46086</v>
      </c>
      <c r="E1479" t="str">
        <f>VLOOKUP($A1479,Sheet4!$A:$B,2,0)</f>
        <v>PS Fudgesicle NSA 6-18PK</v>
      </c>
      <c r="F1479" s="3" t="s">
        <v>39</v>
      </c>
    </row>
    <row r="1480" spans="1:6" x14ac:dyDescent="0.25">
      <c r="A1480" s="3">
        <v>69629468</v>
      </c>
      <c r="B1480" s="3">
        <v>2904</v>
      </c>
      <c r="C1480" s="24">
        <v>2009</v>
      </c>
      <c r="D1480" s="4">
        <v>46087</v>
      </c>
      <c r="E1480" t="str">
        <f>VLOOKUP($A1480,Sheet4!$A:$B,2,0)</f>
        <v>PS Fudgesicle NSA 6-18PK</v>
      </c>
      <c r="F1480" s="3" t="s">
        <v>39</v>
      </c>
    </row>
    <row r="1481" spans="1:6" x14ac:dyDescent="0.25">
      <c r="A1481" s="3">
        <v>69629468</v>
      </c>
      <c r="B1481" s="3">
        <v>2904</v>
      </c>
      <c r="C1481" s="24">
        <v>2258</v>
      </c>
      <c r="D1481" s="4">
        <v>46087</v>
      </c>
      <c r="E1481" t="str">
        <f>VLOOKUP($A1481,Sheet4!$A:$B,2,0)</f>
        <v>PS Fudgesicle NSA 6-18PK</v>
      </c>
      <c r="F1481" s="3" t="s">
        <v>39</v>
      </c>
    </row>
    <row r="1482" spans="1:6" x14ac:dyDescent="0.25">
      <c r="A1482" s="3">
        <v>69629468</v>
      </c>
      <c r="B1482" s="3">
        <v>2904</v>
      </c>
      <c r="C1482" s="24">
        <v>1165</v>
      </c>
      <c r="D1482" s="4">
        <v>46088</v>
      </c>
      <c r="E1482" t="str">
        <f>VLOOKUP($A1482,Sheet4!$A:$B,2,0)</f>
        <v>PS Fudgesicle NSA 6-18PK</v>
      </c>
      <c r="F1482" s="3" t="s">
        <v>39</v>
      </c>
    </row>
    <row r="1483" spans="1:6" x14ac:dyDescent="0.25">
      <c r="A1483" s="3">
        <v>69629468</v>
      </c>
      <c r="B1483" s="3">
        <v>2904</v>
      </c>
      <c r="C1483" s="24">
        <v>1820</v>
      </c>
      <c r="D1483" s="4">
        <v>46090</v>
      </c>
      <c r="E1483" t="str">
        <f>VLOOKUP($A1483,Sheet4!$A:$B,2,0)</f>
        <v>PS Fudgesicle NSA 6-18PK</v>
      </c>
      <c r="F1483" s="3" t="s">
        <v>39</v>
      </c>
    </row>
    <row r="1484" spans="1:6" x14ac:dyDescent="0.25">
      <c r="A1484" s="3">
        <v>69629468</v>
      </c>
      <c r="B1484" s="3">
        <v>2904</v>
      </c>
      <c r="C1484" s="24">
        <v>238</v>
      </c>
      <c r="D1484" s="4">
        <v>46091</v>
      </c>
      <c r="E1484" t="str">
        <f>VLOOKUP($A1484,Sheet4!$A:$B,2,0)</f>
        <v>PS Fudgesicle NSA 6-18PK</v>
      </c>
      <c r="F1484" s="3" t="s">
        <v>39</v>
      </c>
    </row>
    <row r="1485" spans="1:6" x14ac:dyDescent="0.25">
      <c r="A1485" s="3">
        <v>69629468</v>
      </c>
      <c r="B1485" s="3">
        <v>2904</v>
      </c>
      <c r="C1485" s="24">
        <v>1518</v>
      </c>
      <c r="D1485" s="4">
        <v>46091</v>
      </c>
      <c r="E1485" t="str">
        <f>VLOOKUP($A1485,Sheet4!$A:$B,2,0)</f>
        <v>PS Fudgesicle NSA 6-18PK</v>
      </c>
      <c r="F1485" s="3" t="s">
        <v>39</v>
      </c>
    </row>
    <row r="1486" spans="1:6" x14ac:dyDescent="0.25">
      <c r="A1486" s="3">
        <v>69629468</v>
      </c>
      <c r="B1486" s="3">
        <v>2904</v>
      </c>
      <c r="C1486" s="24">
        <v>1585</v>
      </c>
      <c r="D1486" s="4">
        <v>46092</v>
      </c>
      <c r="E1486" t="str">
        <f>VLOOKUP($A1486,Sheet4!$A:$B,2,0)</f>
        <v>PS Fudgesicle NSA 6-18PK</v>
      </c>
      <c r="F1486" s="3" t="s">
        <v>39</v>
      </c>
    </row>
    <row r="1487" spans="1:6" x14ac:dyDescent="0.25">
      <c r="A1487" s="3">
        <v>69629468</v>
      </c>
      <c r="B1487" s="3">
        <v>2904</v>
      </c>
      <c r="C1487" s="24">
        <v>1703</v>
      </c>
      <c r="D1487" s="4">
        <v>46092</v>
      </c>
      <c r="E1487" t="str">
        <f>VLOOKUP($A1487,Sheet4!$A:$B,2,0)</f>
        <v>PS Fudgesicle NSA 6-18PK</v>
      </c>
      <c r="F1487" s="3" t="s">
        <v>39</v>
      </c>
    </row>
    <row r="1488" spans="1:6" x14ac:dyDescent="0.25">
      <c r="A1488" s="3">
        <v>69629468</v>
      </c>
      <c r="B1488" s="3">
        <v>2904</v>
      </c>
      <c r="C1488" s="24">
        <v>626</v>
      </c>
      <c r="D1488" s="4">
        <v>46093</v>
      </c>
      <c r="E1488" t="str">
        <f>VLOOKUP($A1488,Sheet4!$A:$B,2,0)</f>
        <v>PS Fudgesicle NSA 6-18PK</v>
      </c>
      <c r="F1488" s="3" t="s">
        <v>39</v>
      </c>
    </row>
    <row r="1489" spans="1:6" x14ac:dyDescent="0.25">
      <c r="A1489" s="3">
        <v>69629468</v>
      </c>
      <c r="B1489" s="3">
        <v>2904</v>
      </c>
      <c r="C1489" s="24">
        <v>791</v>
      </c>
      <c r="D1489" s="4">
        <v>46093</v>
      </c>
      <c r="E1489" t="str">
        <f>VLOOKUP($A1489,Sheet4!$A:$B,2,0)</f>
        <v>PS Fudgesicle NSA 6-18PK</v>
      </c>
      <c r="F1489" s="3" t="s">
        <v>39</v>
      </c>
    </row>
    <row r="1490" spans="1:6" x14ac:dyDescent="0.25">
      <c r="A1490" s="3">
        <v>69629468</v>
      </c>
      <c r="B1490" s="3">
        <v>2904</v>
      </c>
      <c r="C1490" s="24">
        <v>1505</v>
      </c>
      <c r="D1490" s="4">
        <v>46094</v>
      </c>
      <c r="E1490" t="str">
        <f>VLOOKUP($A1490,Sheet4!$A:$B,2,0)</f>
        <v>PS Fudgesicle NSA 6-18PK</v>
      </c>
      <c r="F1490" s="3" t="s">
        <v>39</v>
      </c>
    </row>
    <row r="1491" spans="1:6" x14ac:dyDescent="0.25">
      <c r="A1491" s="3">
        <v>69629468</v>
      </c>
      <c r="B1491" s="3">
        <v>2904</v>
      </c>
      <c r="C1491" s="24">
        <v>1546</v>
      </c>
      <c r="D1491" s="4">
        <v>46094</v>
      </c>
      <c r="E1491" t="str">
        <f>VLOOKUP($A1491,Sheet4!$A:$B,2,0)</f>
        <v>PS Fudgesicle NSA 6-18PK</v>
      </c>
      <c r="F1491" s="3" t="s">
        <v>39</v>
      </c>
    </row>
    <row r="1492" spans="1:6" x14ac:dyDescent="0.25">
      <c r="A1492" s="3">
        <v>69629468</v>
      </c>
      <c r="B1492" s="3">
        <v>2904</v>
      </c>
      <c r="C1492" s="24">
        <v>1226</v>
      </c>
      <c r="D1492" s="4">
        <v>46095</v>
      </c>
      <c r="E1492" t="str">
        <f>VLOOKUP($A1492,Sheet4!$A:$B,2,0)</f>
        <v>PS Fudgesicle NSA 6-18PK</v>
      </c>
      <c r="F1492" s="3" t="s">
        <v>39</v>
      </c>
    </row>
    <row r="1493" spans="1:6" x14ac:dyDescent="0.25">
      <c r="A1493" s="3">
        <v>69629468</v>
      </c>
      <c r="B1493" s="3">
        <v>2904</v>
      </c>
      <c r="C1493" s="24">
        <v>691</v>
      </c>
      <c r="D1493" s="4">
        <v>46097</v>
      </c>
      <c r="E1493" t="str">
        <f>VLOOKUP($A1493,Sheet4!$A:$B,2,0)</f>
        <v>PS Fudgesicle NSA 6-18PK</v>
      </c>
      <c r="F1493" s="3" t="s">
        <v>39</v>
      </c>
    </row>
    <row r="1494" spans="1:6" x14ac:dyDescent="0.25">
      <c r="A1494" s="3">
        <v>69629468</v>
      </c>
      <c r="B1494" s="3">
        <v>2904</v>
      </c>
      <c r="C1494" s="24">
        <v>858</v>
      </c>
      <c r="D1494" s="4">
        <v>46098</v>
      </c>
      <c r="E1494" t="str">
        <f>VLOOKUP($A1494,Sheet4!$A:$B,2,0)</f>
        <v>PS Fudgesicle NSA 6-18PK</v>
      </c>
      <c r="F1494" s="3" t="s">
        <v>39</v>
      </c>
    </row>
    <row r="1495" spans="1:6" x14ac:dyDescent="0.25">
      <c r="A1495" s="3">
        <v>69629468</v>
      </c>
      <c r="B1495" s="3">
        <v>2904</v>
      </c>
      <c r="C1495" s="24">
        <v>2050</v>
      </c>
      <c r="D1495" s="4">
        <v>46098</v>
      </c>
      <c r="E1495" t="str">
        <f>VLOOKUP($A1495,Sheet4!$A:$B,2,0)</f>
        <v>PS Fudgesicle NSA 6-18PK</v>
      </c>
      <c r="F1495" s="3" t="s">
        <v>39</v>
      </c>
    </row>
    <row r="1496" spans="1:6" x14ac:dyDescent="0.25">
      <c r="A1496" s="3">
        <v>69629468</v>
      </c>
      <c r="B1496" s="3">
        <v>2904</v>
      </c>
      <c r="C1496" s="24">
        <v>1539</v>
      </c>
      <c r="D1496" s="4">
        <v>46099</v>
      </c>
      <c r="E1496" t="str">
        <f>VLOOKUP($A1496,Sheet4!$A:$B,2,0)</f>
        <v>PS Fudgesicle NSA 6-18PK</v>
      </c>
      <c r="F1496" s="3" t="s">
        <v>39</v>
      </c>
    </row>
    <row r="1497" spans="1:6" x14ac:dyDescent="0.25">
      <c r="A1497" s="3">
        <v>69629468</v>
      </c>
      <c r="B1497" s="3">
        <v>2904</v>
      </c>
      <c r="C1497" s="24">
        <v>68</v>
      </c>
      <c r="D1497" s="4">
        <v>46099</v>
      </c>
      <c r="E1497" t="str">
        <f>VLOOKUP($A1497,Sheet4!$A:$B,2,0)</f>
        <v>PS Fudgesicle NSA 6-18PK</v>
      </c>
      <c r="F1497" s="3" t="s">
        <v>39</v>
      </c>
    </row>
    <row r="1498" spans="1:6" x14ac:dyDescent="0.25">
      <c r="A1498" s="3">
        <v>69629468</v>
      </c>
      <c r="B1498" s="3">
        <v>2904</v>
      </c>
      <c r="C1498" s="24">
        <v>2080</v>
      </c>
      <c r="D1498" s="4">
        <v>46100</v>
      </c>
      <c r="E1498" t="str">
        <f>VLOOKUP($A1498,Sheet4!$A:$B,2,0)</f>
        <v>PS Fudgesicle NSA 6-18PK</v>
      </c>
      <c r="F1498" s="3" t="s">
        <v>39</v>
      </c>
    </row>
    <row r="1499" spans="1:6" x14ac:dyDescent="0.25">
      <c r="A1499" s="3">
        <v>69629468</v>
      </c>
      <c r="B1499" s="3">
        <v>2904</v>
      </c>
      <c r="C1499" s="24">
        <v>2574</v>
      </c>
      <c r="D1499" s="4">
        <v>46100</v>
      </c>
      <c r="E1499" t="str">
        <f>VLOOKUP($A1499,Sheet4!$A:$B,2,0)</f>
        <v>PS Fudgesicle NSA 6-18PK</v>
      </c>
      <c r="F1499" s="3" t="s">
        <v>39</v>
      </c>
    </row>
    <row r="1500" spans="1:6" x14ac:dyDescent="0.25">
      <c r="A1500" s="3">
        <v>69629468</v>
      </c>
      <c r="B1500" s="3">
        <v>2904</v>
      </c>
      <c r="C1500" s="24">
        <v>1638</v>
      </c>
      <c r="D1500" s="4">
        <v>46101</v>
      </c>
      <c r="E1500" t="str">
        <f>VLOOKUP($A1500,Sheet4!$A:$B,2,0)</f>
        <v>PS Fudgesicle NSA 6-18PK</v>
      </c>
      <c r="F1500" s="3" t="s">
        <v>39</v>
      </c>
    </row>
    <row r="1501" spans="1:6" x14ac:dyDescent="0.25">
      <c r="A1501" s="3">
        <v>69629468</v>
      </c>
      <c r="B1501" s="3">
        <v>2904</v>
      </c>
      <c r="C1501" s="24">
        <v>1948</v>
      </c>
      <c r="D1501" s="4">
        <v>46101</v>
      </c>
      <c r="E1501" t="str">
        <f>VLOOKUP($A1501,Sheet4!$A:$B,2,0)</f>
        <v>PS Fudgesicle NSA 6-18PK</v>
      </c>
      <c r="F1501" s="3" t="s">
        <v>39</v>
      </c>
    </row>
    <row r="1502" spans="1:6" x14ac:dyDescent="0.25">
      <c r="A1502" s="3">
        <v>69629468</v>
      </c>
      <c r="B1502" s="3">
        <v>2904</v>
      </c>
      <c r="C1502" s="24">
        <v>998</v>
      </c>
      <c r="D1502" s="4">
        <v>46102</v>
      </c>
      <c r="E1502" t="str">
        <f>VLOOKUP($A1502,Sheet4!$A:$B,2,0)</f>
        <v>PS Fudgesicle NSA 6-18PK</v>
      </c>
      <c r="F1502" s="3" t="s">
        <v>39</v>
      </c>
    </row>
    <row r="1503" spans="1:6" x14ac:dyDescent="0.25">
      <c r="A1503" s="3">
        <v>69629468</v>
      </c>
      <c r="B1503" s="3">
        <v>2904</v>
      </c>
      <c r="C1503" s="24">
        <v>1601</v>
      </c>
      <c r="D1503" s="4">
        <v>46104</v>
      </c>
      <c r="E1503" t="str">
        <f>VLOOKUP($A1503,Sheet4!$A:$B,2,0)</f>
        <v>PS Fudgesicle NSA 6-18PK</v>
      </c>
      <c r="F1503" s="3" t="s">
        <v>39</v>
      </c>
    </row>
    <row r="1504" spans="1:6" x14ac:dyDescent="0.25">
      <c r="A1504" s="3">
        <v>69629468</v>
      </c>
      <c r="B1504" s="3">
        <v>2904</v>
      </c>
      <c r="C1504" s="24">
        <v>1560</v>
      </c>
      <c r="D1504" s="4">
        <v>46105</v>
      </c>
      <c r="E1504" t="str">
        <f>VLOOKUP($A1504,Sheet4!$A:$B,2,0)</f>
        <v>PS Fudgesicle NSA 6-18PK</v>
      </c>
      <c r="F1504" s="3" t="s">
        <v>39</v>
      </c>
    </row>
    <row r="1505" spans="1:6" x14ac:dyDescent="0.25">
      <c r="A1505" s="3">
        <v>69629468</v>
      </c>
      <c r="B1505" s="3">
        <v>2904</v>
      </c>
      <c r="C1505" s="24">
        <v>2210</v>
      </c>
      <c r="D1505" s="4">
        <v>46105</v>
      </c>
      <c r="E1505" t="str">
        <f>VLOOKUP($A1505,Sheet4!$A:$B,2,0)</f>
        <v>PS Fudgesicle NSA 6-18PK</v>
      </c>
      <c r="F1505" s="3" t="s">
        <v>39</v>
      </c>
    </row>
    <row r="1506" spans="1:6" x14ac:dyDescent="0.25">
      <c r="A1506" s="3">
        <v>69690941</v>
      </c>
      <c r="B1506" s="3">
        <v>2904</v>
      </c>
      <c r="C1506" s="24">
        <v>4426</v>
      </c>
      <c r="D1506" s="4">
        <v>46099</v>
      </c>
      <c r="E1506" t="str">
        <f>VLOOKUP($A1506,Sheet4!$A:$B,2,0)</f>
        <v>MG Mini Classic 6-6PK</v>
      </c>
      <c r="F1506" s="3" t="s">
        <v>56</v>
      </c>
    </row>
    <row r="1507" spans="1:6" x14ac:dyDescent="0.25">
      <c r="A1507" s="3">
        <v>69690941</v>
      </c>
      <c r="B1507" s="3">
        <v>2904</v>
      </c>
      <c r="C1507" s="24">
        <v>6864</v>
      </c>
      <c r="D1507" s="4">
        <v>46099</v>
      </c>
      <c r="E1507" t="str">
        <f>VLOOKUP($A1507,Sheet4!$A:$B,2,0)</f>
        <v>MG Mini Classic 6-6PK</v>
      </c>
      <c r="F1507" s="3" t="s">
        <v>56</v>
      </c>
    </row>
    <row r="1508" spans="1:6" x14ac:dyDescent="0.25">
      <c r="A1508" s="3">
        <v>69690941</v>
      </c>
      <c r="B1508" s="3">
        <v>2904</v>
      </c>
      <c r="C1508" s="24">
        <v>6613</v>
      </c>
      <c r="D1508" s="4">
        <v>46100</v>
      </c>
      <c r="E1508" t="str">
        <f>VLOOKUP($A1508,Sheet4!$A:$B,2,0)</f>
        <v>MG Mini Classic 6-6PK</v>
      </c>
      <c r="F1508" s="3" t="s">
        <v>56</v>
      </c>
    </row>
    <row r="1509" spans="1:6" x14ac:dyDescent="0.25">
      <c r="A1509" s="3">
        <v>69690941</v>
      </c>
      <c r="B1509" s="3">
        <v>2904</v>
      </c>
      <c r="C1509" s="24">
        <v>2591</v>
      </c>
      <c r="D1509" s="4">
        <v>46100</v>
      </c>
      <c r="E1509" t="str">
        <f>VLOOKUP($A1509,Sheet4!$A:$B,2,0)</f>
        <v>MG Mini Classic 6-6PK</v>
      </c>
      <c r="F1509" s="3" t="s">
        <v>56</v>
      </c>
    </row>
    <row r="1510" spans="1:6" x14ac:dyDescent="0.25">
      <c r="A1510" s="3">
        <v>69717801</v>
      </c>
      <c r="B1510" s="3">
        <v>2904</v>
      </c>
      <c r="C1510" s="24">
        <v>3479</v>
      </c>
      <c r="D1510" s="4">
        <v>46091</v>
      </c>
      <c r="E1510" t="str">
        <f>VLOOKUP($A1510,Sheet4!$A:$B,2,0)</f>
        <v>BR Carbsmart Fudge Bar 8-6PK</v>
      </c>
      <c r="F1510" s="3" t="s">
        <v>37</v>
      </c>
    </row>
    <row r="1511" spans="1:6" x14ac:dyDescent="0.25">
      <c r="A1511" s="3">
        <v>69717801</v>
      </c>
      <c r="B1511" s="3">
        <v>2904</v>
      </c>
      <c r="C1511" s="24">
        <v>4719</v>
      </c>
      <c r="D1511" s="4">
        <v>46092</v>
      </c>
      <c r="E1511" t="str">
        <f>VLOOKUP($A1511,Sheet4!$A:$B,2,0)</f>
        <v>BR Carbsmart Fudge Bar 8-6PK</v>
      </c>
      <c r="F1511" s="3" t="s">
        <v>37</v>
      </c>
    </row>
    <row r="1512" spans="1:6" x14ac:dyDescent="0.25">
      <c r="A1512" s="3">
        <v>69717801</v>
      </c>
      <c r="B1512" s="3">
        <v>2904</v>
      </c>
      <c r="C1512" s="24">
        <v>4432</v>
      </c>
      <c r="D1512" s="4">
        <v>46093</v>
      </c>
      <c r="E1512" t="str">
        <f>VLOOKUP($A1512,Sheet4!$A:$B,2,0)</f>
        <v>BR Carbsmart Fudge Bar 8-6PK</v>
      </c>
      <c r="F1512" s="3" t="s">
        <v>37</v>
      </c>
    </row>
    <row r="1513" spans="1:6" x14ac:dyDescent="0.25">
      <c r="A1513" s="3">
        <v>69717801</v>
      </c>
      <c r="B1513" s="3">
        <v>2904</v>
      </c>
      <c r="C1513" s="24">
        <v>4330</v>
      </c>
      <c r="D1513" s="4">
        <v>46094</v>
      </c>
      <c r="E1513" t="str">
        <f>VLOOKUP($A1513,Sheet4!$A:$B,2,0)</f>
        <v>BR Carbsmart Fudge Bar 8-6PK</v>
      </c>
      <c r="F1513" s="3" t="s">
        <v>37</v>
      </c>
    </row>
    <row r="1514" spans="1:6" x14ac:dyDescent="0.25">
      <c r="A1514" s="3">
        <v>69717801</v>
      </c>
      <c r="B1514" s="3">
        <v>2904</v>
      </c>
      <c r="C1514" s="24">
        <v>-143</v>
      </c>
      <c r="D1514" s="4">
        <v>46100</v>
      </c>
      <c r="E1514" t="str">
        <f>VLOOKUP($A1514,Sheet4!$A:$B,2,0)</f>
        <v>BR Carbsmart Fudge Bar 8-6PK</v>
      </c>
      <c r="F1514" s="3" t="s">
        <v>37</v>
      </c>
    </row>
    <row r="1515" spans="1:6" x14ac:dyDescent="0.25">
      <c r="A1515" s="3">
        <v>69717801</v>
      </c>
      <c r="B1515" s="3">
        <v>2904</v>
      </c>
      <c r="C1515" s="24">
        <v>3957</v>
      </c>
      <c r="D1515" s="4">
        <v>46092</v>
      </c>
      <c r="E1515" t="str">
        <f>VLOOKUP($A1515,Sheet4!$A:$B,2,0)</f>
        <v>BR Carbsmart Fudge Bar 8-6PK</v>
      </c>
      <c r="F1515" s="3" t="s">
        <v>37</v>
      </c>
    </row>
    <row r="1516" spans="1:6" x14ac:dyDescent="0.25">
      <c r="A1516" s="3">
        <v>69717801</v>
      </c>
      <c r="B1516" s="3">
        <v>2904</v>
      </c>
      <c r="C1516" s="24">
        <v>4495</v>
      </c>
      <c r="D1516" s="4">
        <v>46093</v>
      </c>
      <c r="E1516" t="str">
        <f>VLOOKUP($A1516,Sheet4!$A:$B,2,0)</f>
        <v>BR Carbsmart Fudge Bar 8-6PK</v>
      </c>
      <c r="F1516" s="3" t="s">
        <v>37</v>
      </c>
    </row>
    <row r="1517" spans="1:6" x14ac:dyDescent="0.25">
      <c r="A1517" s="3">
        <v>69717801</v>
      </c>
      <c r="B1517" s="3">
        <v>2904</v>
      </c>
      <c r="C1517" s="24">
        <v>2389</v>
      </c>
      <c r="D1517" s="4">
        <v>46094</v>
      </c>
      <c r="E1517" t="str">
        <f>VLOOKUP($A1517,Sheet4!$A:$B,2,0)</f>
        <v>BR Carbsmart Fudge Bar 8-6PK</v>
      </c>
      <c r="F1517" s="3" t="s">
        <v>37</v>
      </c>
    </row>
    <row r="1518" spans="1:6" x14ac:dyDescent="0.25">
      <c r="A1518" s="3">
        <v>69717801</v>
      </c>
      <c r="B1518" s="3">
        <v>2904</v>
      </c>
      <c r="C1518" s="24">
        <v>4719</v>
      </c>
      <c r="D1518" s="4">
        <v>46095</v>
      </c>
      <c r="E1518" t="str">
        <f>VLOOKUP($A1518,Sheet4!$A:$B,2,0)</f>
        <v>BR Carbsmart Fudge Bar 8-6PK</v>
      </c>
      <c r="F1518" s="3" t="s">
        <v>37</v>
      </c>
    </row>
    <row r="1519" spans="1:6" x14ac:dyDescent="0.25">
      <c r="A1519" s="3">
        <v>69717801</v>
      </c>
      <c r="B1519" s="3">
        <v>2904</v>
      </c>
      <c r="C1519" s="24">
        <v>176</v>
      </c>
      <c r="D1519" s="4">
        <v>46097</v>
      </c>
      <c r="E1519" t="str">
        <f>VLOOKUP($A1519,Sheet4!$A:$B,2,0)</f>
        <v>BR Carbsmart Fudge Bar 8-6PK</v>
      </c>
      <c r="F1519" s="3" t="s">
        <v>37</v>
      </c>
    </row>
    <row r="1520" spans="1:6" x14ac:dyDescent="0.25">
      <c r="A1520" s="3">
        <v>69717801</v>
      </c>
      <c r="B1520" s="3">
        <v>2904</v>
      </c>
      <c r="C1520" s="24">
        <v>12154</v>
      </c>
      <c r="D1520" s="4">
        <v>46097</v>
      </c>
      <c r="E1520" t="str">
        <f>VLOOKUP($A1520,Sheet4!$A:$B,2,0)</f>
        <v>BR Carbsmart Fudge Bar 8-6PK</v>
      </c>
      <c r="F1520" s="3" t="s">
        <v>37</v>
      </c>
    </row>
    <row r="1521" spans="1:6" x14ac:dyDescent="0.25">
      <c r="A1521" s="3">
        <v>69717801</v>
      </c>
      <c r="B1521" s="3">
        <v>2904</v>
      </c>
      <c r="C1521" s="24">
        <v>1688</v>
      </c>
      <c r="D1521" s="4">
        <v>46098</v>
      </c>
      <c r="E1521" t="str">
        <f>VLOOKUP($A1521,Sheet4!$A:$B,2,0)</f>
        <v>BR Carbsmart Fudge Bar 8-6PK</v>
      </c>
      <c r="F1521" s="3" t="s">
        <v>37</v>
      </c>
    </row>
    <row r="1522" spans="1:6" x14ac:dyDescent="0.25">
      <c r="A1522" s="3">
        <v>69717801</v>
      </c>
      <c r="B1522" s="3">
        <v>2904</v>
      </c>
      <c r="C1522" s="24">
        <v>906</v>
      </c>
      <c r="D1522" s="4">
        <v>46099</v>
      </c>
      <c r="E1522" t="str">
        <f>VLOOKUP($A1522,Sheet4!$A:$B,2,0)</f>
        <v>BR Carbsmart Fudge Bar 8-6PK</v>
      </c>
      <c r="F1522" s="3" t="s">
        <v>37</v>
      </c>
    </row>
    <row r="1523" spans="1:6" x14ac:dyDescent="0.25">
      <c r="A1523" s="3">
        <v>69717801</v>
      </c>
      <c r="B1523" s="3">
        <v>2904</v>
      </c>
      <c r="C1523" s="24">
        <v>9009</v>
      </c>
      <c r="D1523" s="4">
        <v>46098</v>
      </c>
      <c r="E1523" t="str">
        <f>VLOOKUP($A1523,Sheet4!$A:$B,2,0)</f>
        <v>BR Carbsmart Fudge Bar 8-6PK</v>
      </c>
      <c r="F1523" s="3" t="s">
        <v>37</v>
      </c>
    </row>
    <row r="1524" spans="1:6" x14ac:dyDescent="0.25">
      <c r="A1524" s="3">
        <v>69717801</v>
      </c>
      <c r="B1524" s="3">
        <v>2904</v>
      </c>
      <c r="C1524" s="24">
        <v>-143</v>
      </c>
      <c r="D1524" s="4">
        <v>46100</v>
      </c>
      <c r="E1524" t="str">
        <f>VLOOKUP($A1524,Sheet4!$A:$B,2,0)</f>
        <v>BR Carbsmart Fudge Bar 8-6PK</v>
      </c>
      <c r="F1524" s="3" t="s">
        <v>37</v>
      </c>
    </row>
    <row r="1525" spans="1:6" x14ac:dyDescent="0.25">
      <c r="A1525" s="3">
        <v>69717801</v>
      </c>
      <c r="B1525" s="3">
        <v>2904</v>
      </c>
      <c r="C1525" s="24">
        <v>4949</v>
      </c>
      <c r="D1525" s="4">
        <v>46098</v>
      </c>
      <c r="E1525" t="str">
        <f>VLOOKUP($A1525,Sheet4!$A:$B,2,0)</f>
        <v>BR Carbsmart Fudge Bar 8-6PK</v>
      </c>
      <c r="F1525" s="3" t="s">
        <v>37</v>
      </c>
    </row>
    <row r="1526" spans="1:6" x14ac:dyDescent="0.25">
      <c r="A1526" s="3">
        <v>69717801</v>
      </c>
      <c r="B1526" s="3">
        <v>2904</v>
      </c>
      <c r="C1526" s="24">
        <v>3080</v>
      </c>
      <c r="D1526" s="4">
        <v>46099</v>
      </c>
      <c r="E1526" t="str">
        <f>VLOOKUP($A1526,Sheet4!$A:$B,2,0)</f>
        <v>BR Carbsmart Fudge Bar 8-6PK</v>
      </c>
      <c r="F1526" s="3" t="s">
        <v>37</v>
      </c>
    </row>
    <row r="1527" spans="1:6" x14ac:dyDescent="0.25">
      <c r="A1527" s="3">
        <v>69717801</v>
      </c>
      <c r="B1527" s="3">
        <v>2904</v>
      </c>
      <c r="C1527" s="24">
        <v>224</v>
      </c>
      <c r="D1527" s="4">
        <v>46099</v>
      </c>
      <c r="E1527" t="str">
        <f>VLOOKUP($A1527,Sheet4!$A:$B,2,0)</f>
        <v>BR Carbsmart Fudge Bar 8-6PK</v>
      </c>
      <c r="F1527" s="3" t="s">
        <v>37</v>
      </c>
    </row>
    <row r="1528" spans="1:6" x14ac:dyDescent="0.25">
      <c r="A1528" s="3">
        <v>69717801</v>
      </c>
      <c r="B1528" s="3">
        <v>2904</v>
      </c>
      <c r="C1528" s="24">
        <v>6864</v>
      </c>
      <c r="D1528" s="4">
        <v>46100</v>
      </c>
      <c r="E1528" t="str">
        <f>VLOOKUP($A1528,Sheet4!$A:$B,2,0)</f>
        <v>BR Carbsmart Fudge Bar 8-6PK</v>
      </c>
      <c r="F1528" s="3" t="s">
        <v>37</v>
      </c>
    </row>
    <row r="1529" spans="1:6" x14ac:dyDescent="0.25">
      <c r="A1529" s="3">
        <v>69717801</v>
      </c>
      <c r="B1529" s="3">
        <v>2904</v>
      </c>
      <c r="C1529" s="24">
        <v>3316</v>
      </c>
      <c r="D1529" s="4">
        <v>46100</v>
      </c>
      <c r="E1529" t="str">
        <f>VLOOKUP($A1529,Sheet4!$A:$B,2,0)</f>
        <v>BR Carbsmart Fudge Bar 8-6PK</v>
      </c>
      <c r="F1529" s="3" t="s">
        <v>37</v>
      </c>
    </row>
    <row r="1530" spans="1:6" x14ac:dyDescent="0.25">
      <c r="A1530" s="3">
        <v>69717801</v>
      </c>
      <c r="B1530" s="3">
        <v>2904</v>
      </c>
      <c r="C1530" s="24">
        <v>4719</v>
      </c>
      <c r="D1530" s="4">
        <v>46101</v>
      </c>
      <c r="E1530" t="str">
        <f>VLOOKUP($A1530,Sheet4!$A:$B,2,0)</f>
        <v>BR Carbsmart Fudge Bar 8-6PK</v>
      </c>
      <c r="F1530" s="3" t="s">
        <v>37</v>
      </c>
    </row>
    <row r="1531" spans="1:6" x14ac:dyDescent="0.25">
      <c r="A1531" s="3">
        <v>69717801</v>
      </c>
      <c r="B1531" s="3">
        <v>2904</v>
      </c>
      <c r="C1531" s="24">
        <v>5134</v>
      </c>
      <c r="D1531" s="4">
        <v>46101</v>
      </c>
      <c r="E1531" t="str">
        <f>VLOOKUP($A1531,Sheet4!$A:$B,2,0)</f>
        <v>BR Carbsmart Fudge Bar 8-6PK</v>
      </c>
      <c r="F1531" s="3" t="s">
        <v>37</v>
      </c>
    </row>
    <row r="1532" spans="1:6" x14ac:dyDescent="0.25">
      <c r="A1532" s="3">
        <v>69717801</v>
      </c>
      <c r="B1532" s="3">
        <v>2904</v>
      </c>
      <c r="C1532" s="24">
        <v>4901</v>
      </c>
      <c r="D1532" s="4">
        <v>46102</v>
      </c>
      <c r="E1532" t="str">
        <f>VLOOKUP($A1532,Sheet4!$A:$B,2,0)</f>
        <v>BR Carbsmart Fudge Bar 8-6PK</v>
      </c>
      <c r="F1532" s="3" t="s">
        <v>37</v>
      </c>
    </row>
    <row r="1533" spans="1:6" x14ac:dyDescent="0.25">
      <c r="A1533" s="3">
        <v>69717801</v>
      </c>
      <c r="B1533" s="3">
        <v>2904</v>
      </c>
      <c r="C1533" s="24">
        <v>4547</v>
      </c>
      <c r="D1533" s="4">
        <v>46102</v>
      </c>
      <c r="E1533" t="str">
        <f>VLOOKUP($A1533,Sheet4!$A:$B,2,0)</f>
        <v>BR Carbsmart Fudge Bar 8-6PK</v>
      </c>
      <c r="F1533" s="3" t="s">
        <v>37</v>
      </c>
    </row>
    <row r="1534" spans="1:6" x14ac:dyDescent="0.25">
      <c r="A1534" s="3">
        <v>69717801</v>
      </c>
      <c r="B1534" s="3">
        <v>2904</v>
      </c>
      <c r="C1534" s="24">
        <v>4147</v>
      </c>
      <c r="D1534" s="4">
        <v>46103</v>
      </c>
      <c r="E1534" t="str">
        <f>VLOOKUP($A1534,Sheet4!$A:$B,2,0)</f>
        <v>BR Carbsmart Fudge Bar 8-6PK</v>
      </c>
      <c r="F1534" s="3" t="s">
        <v>37</v>
      </c>
    </row>
    <row r="1535" spans="1:6" x14ac:dyDescent="0.25">
      <c r="A1535" s="3">
        <v>69717801</v>
      </c>
      <c r="B1535" s="3">
        <v>2904</v>
      </c>
      <c r="C1535" s="24">
        <v>230</v>
      </c>
      <c r="D1535" s="4">
        <v>46103</v>
      </c>
      <c r="E1535" t="str">
        <f>VLOOKUP($A1535,Sheet4!$A:$B,2,0)</f>
        <v>BR Carbsmart Fudge Bar 8-6PK</v>
      </c>
      <c r="F1535" s="3" t="s">
        <v>37</v>
      </c>
    </row>
    <row r="1536" spans="1:6" x14ac:dyDescent="0.25">
      <c r="A1536" s="3">
        <v>69717802</v>
      </c>
      <c r="B1536" s="3">
        <v>2904</v>
      </c>
      <c r="C1536" s="24">
        <v>4940</v>
      </c>
      <c r="D1536" s="4">
        <v>46076</v>
      </c>
      <c r="E1536" t="str">
        <f>VLOOKUP($A1536,Sheet4!$A:$B,2,0)</f>
        <v>BR Carbsmart IC Bars 8-6PK</v>
      </c>
      <c r="F1536" s="3" t="s">
        <v>37</v>
      </c>
    </row>
    <row r="1537" spans="1:6" x14ac:dyDescent="0.25">
      <c r="A1537" s="3">
        <v>69717802</v>
      </c>
      <c r="B1537" s="3">
        <v>2904</v>
      </c>
      <c r="C1537" s="24">
        <v>4862</v>
      </c>
      <c r="D1537" s="4">
        <v>46104</v>
      </c>
      <c r="E1537" t="str">
        <f>VLOOKUP($A1537,Sheet4!$A:$B,2,0)</f>
        <v>BR Carbsmart IC Bars 8-6PK</v>
      </c>
      <c r="F1537" s="3" t="s">
        <v>37</v>
      </c>
    </row>
    <row r="1538" spans="1:6" x14ac:dyDescent="0.25">
      <c r="A1538" s="3">
        <v>69717802</v>
      </c>
      <c r="B1538" s="3">
        <v>2904</v>
      </c>
      <c r="C1538" s="24">
        <v>3289</v>
      </c>
      <c r="D1538" s="4">
        <v>46105</v>
      </c>
      <c r="E1538" t="str">
        <f>VLOOKUP($A1538,Sheet4!$A:$B,2,0)</f>
        <v>BR Carbsmart IC Bars 8-6PK</v>
      </c>
      <c r="F1538" s="3" t="s">
        <v>37</v>
      </c>
    </row>
    <row r="1539" spans="1:6" x14ac:dyDescent="0.25">
      <c r="A1539" s="3">
        <v>69717802</v>
      </c>
      <c r="B1539" s="3">
        <v>2904</v>
      </c>
      <c r="C1539" s="24">
        <v>3270</v>
      </c>
      <c r="D1539" s="4">
        <v>46105</v>
      </c>
      <c r="E1539" t="str">
        <f>VLOOKUP($A1539,Sheet4!$A:$B,2,0)</f>
        <v>BR Carbsmart IC Bars 8-6PK</v>
      </c>
      <c r="F1539" s="3" t="s">
        <v>37</v>
      </c>
    </row>
    <row r="1540" spans="1:6" x14ac:dyDescent="0.25">
      <c r="A1540" s="3">
        <v>69717802</v>
      </c>
      <c r="B1540" s="3">
        <v>2904</v>
      </c>
      <c r="C1540" s="24">
        <v>1827</v>
      </c>
      <c r="D1540" s="4">
        <v>46076</v>
      </c>
      <c r="E1540" t="str">
        <f>VLOOKUP($A1540,Sheet4!$A:$B,2,0)</f>
        <v>BR Carbsmart IC Bars 8-6PK</v>
      </c>
      <c r="F1540" s="3" t="s">
        <v>37</v>
      </c>
    </row>
    <row r="1541" spans="1:6" x14ac:dyDescent="0.25">
      <c r="A1541" s="3">
        <v>69717802</v>
      </c>
      <c r="B1541" s="3">
        <v>2904</v>
      </c>
      <c r="C1541" s="24">
        <v>2678</v>
      </c>
      <c r="D1541" s="4">
        <v>46104</v>
      </c>
      <c r="E1541" t="str">
        <f>VLOOKUP($A1541,Sheet4!$A:$B,2,0)</f>
        <v>BR Carbsmart IC Bars 8-6PK</v>
      </c>
      <c r="F1541" s="3" t="s">
        <v>37</v>
      </c>
    </row>
    <row r="1542" spans="1:6" x14ac:dyDescent="0.25">
      <c r="A1542" s="3">
        <v>69717803</v>
      </c>
      <c r="B1542" s="3">
        <v>2904</v>
      </c>
      <c r="C1542" s="24">
        <v>4147</v>
      </c>
      <c r="D1542" s="4">
        <v>46084</v>
      </c>
      <c r="E1542" t="str">
        <f>VLOOKUP($A1542,Sheet4!$A:$B,2,0)</f>
        <v>BR Carbsmart Almond Bar 8-6PK</v>
      </c>
      <c r="F1542" s="3" t="s">
        <v>37</v>
      </c>
    </row>
    <row r="1543" spans="1:6" x14ac:dyDescent="0.25">
      <c r="A1543" s="3">
        <v>69717803</v>
      </c>
      <c r="B1543" s="3">
        <v>2904</v>
      </c>
      <c r="C1543" s="24">
        <v>4095</v>
      </c>
      <c r="D1543" s="4">
        <v>46085</v>
      </c>
      <c r="E1543" t="str">
        <f>VLOOKUP($A1543,Sheet4!$A:$B,2,0)</f>
        <v>BR Carbsmart Almond Bar 8-6PK</v>
      </c>
      <c r="F1543" s="3" t="s">
        <v>37</v>
      </c>
    </row>
    <row r="1544" spans="1:6" x14ac:dyDescent="0.25">
      <c r="A1544" s="3">
        <v>69717803</v>
      </c>
      <c r="B1544" s="3">
        <v>2904</v>
      </c>
      <c r="C1544" s="24">
        <v>1349</v>
      </c>
      <c r="D1544" s="4">
        <v>46083</v>
      </c>
      <c r="E1544" t="str">
        <f>VLOOKUP($A1544,Sheet4!$A:$B,2,0)</f>
        <v>BR Carbsmart Almond Bar 8-6PK</v>
      </c>
      <c r="F1544" s="3" t="s">
        <v>37</v>
      </c>
    </row>
    <row r="1545" spans="1:6" x14ac:dyDescent="0.25">
      <c r="A1545" s="3">
        <v>69717803</v>
      </c>
      <c r="B1545" s="3">
        <v>2904</v>
      </c>
      <c r="C1545" s="24">
        <v>1833</v>
      </c>
      <c r="D1545" s="4">
        <v>46084</v>
      </c>
      <c r="E1545" t="str">
        <f>VLOOKUP($A1545,Sheet4!$A:$B,2,0)</f>
        <v>BR Carbsmart Almond Bar 8-6PK</v>
      </c>
      <c r="F1545" s="3" t="s">
        <v>37</v>
      </c>
    </row>
    <row r="1546" spans="1:6" x14ac:dyDescent="0.25">
      <c r="A1546" s="3">
        <v>69717803</v>
      </c>
      <c r="B1546" s="3">
        <v>2904</v>
      </c>
      <c r="C1546" s="24">
        <v>2352</v>
      </c>
      <c r="D1546" s="4">
        <v>46085</v>
      </c>
      <c r="E1546" t="str">
        <f>VLOOKUP($A1546,Sheet4!$A:$B,2,0)</f>
        <v>BR Carbsmart Almond Bar 8-6PK</v>
      </c>
      <c r="F1546" s="3" t="s">
        <v>37</v>
      </c>
    </row>
    <row r="1547" spans="1:6" x14ac:dyDescent="0.25">
      <c r="A1547" s="3">
        <v>69717803</v>
      </c>
      <c r="B1547" s="3">
        <v>2904</v>
      </c>
      <c r="C1547" s="24">
        <v>2215</v>
      </c>
      <c r="D1547" s="4">
        <v>46086</v>
      </c>
      <c r="E1547" t="str">
        <f>VLOOKUP($A1547,Sheet4!$A:$B,2,0)</f>
        <v>BR Carbsmart Almond Bar 8-6PK</v>
      </c>
      <c r="F1547" s="3" t="s">
        <v>37</v>
      </c>
    </row>
    <row r="1548" spans="1:6" x14ac:dyDescent="0.25">
      <c r="A1548" s="3">
        <v>69717803</v>
      </c>
      <c r="B1548" s="3">
        <v>2904</v>
      </c>
      <c r="C1548" s="24">
        <v>2593</v>
      </c>
      <c r="D1548" s="4">
        <v>46087</v>
      </c>
      <c r="E1548" t="str">
        <f>VLOOKUP($A1548,Sheet4!$A:$B,2,0)</f>
        <v>BR Carbsmart Almond Bar 8-6PK</v>
      </c>
      <c r="F1548" s="3" t="s">
        <v>37</v>
      </c>
    </row>
    <row r="1549" spans="1:6" x14ac:dyDescent="0.25">
      <c r="A1549" s="3">
        <v>69717803</v>
      </c>
      <c r="B1549" s="3">
        <v>2904</v>
      </c>
      <c r="C1549" s="24">
        <v>2145</v>
      </c>
      <c r="D1549" s="4">
        <v>46087</v>
      </c>
      <c r="E1549" t="str">
        <f>VLOOKUP($A1549,Sheet4!$A:$B,2,0)</f>
        <v>BR Carbsmart Almond Bar 8-6PK</v>
      </c>
      <c r="F1549" s="3" t="s">
        <v>37</v>
      </c>
    </row>
    <row r="1550" spans="1:6" x14ac:dyDescent="0.25">
      <c r="A1550" s="3">
        <v>69717803</v>
      </c>
      <c r="B1550" s="3">
        <v>2904</v>
      </c>
      <c r="C1550" s="24">
        <v>2717</v>
      </c>
      <c r="D1550" s="4">
        <v>46088</v>
      </c>
      <c r="E1550" t="str">
        <f>VLOOKUP($A1550,Sheet4!$A:$B,2,0)</f>
        <v>BR Carbsmart Almond Bar 8-6PK</v>
      </c>
      <c r="F1550" s="3" t="s">
        <v>37</v>
      </c>
    </row>
    <row r="1551" spans="1:6" x14ac:dyDescent="0.25">
      <c r="A1551" s="3">
        <v>69717803</v>
      </c>
      <c r="B1551" s="3">
        <v>2904</v>
      </c>
      <c r="C1551" s="24">
        <v>143</v>
      </c>
      <c r="D1551" s="4">
        <v>46090</v>
      </c>
      <c r="E1551" t="str">
        <f>VLOOKUP($A1551,Sheet4!$A:$B,2,0)</f>
        <v>BR Carbsmart Almond Bar 8-6PK</v>
      </c>
      <c r="F1551" s="3" t="s">
        <v>37</v>
      </c>
    </row>
    <row r="1552" spans="1:6" x14ac:dyDescent="0.25">
      <c r="A1552" s="3">
        <v>69717803</v>
      </c>
      <c r="B1552" s="3">
        <v>2904</v>
      </c>
      <c r="C1552" s="24">
        <v>1682</v>
      </c>
      <c r="D1552" s="4">
        <v>46088</v>
      </c>
      <c r="E1552" t="str">
        <f>VLOOKUP($A1552,Sheet4!$A:$B,2,0)</f>
        <v>BR Carbsmart Almond Bar 8-6PK</v>
      </c>
      <c r="F1552" s="3" t="s">
        <v>37</v>
      </c>
    </row>
    <row r="1553" spans="1:6" x14ac:dyDescent="0.25">
      <c r="A1553" s="3">
        <v>69717803</v>
      </c>
      <c r="B1553" s="3">
        <v>2904</v>
      </c>
      <c r="C1553" s="24">
        <v>1326</v>
      </c>
      <c r="D1553" s="4">
        <v>46089</v>
      </c>
      <c r="E1553" t="str">
        <f>VLOOKUP($A1553,Sheet4!$A:$B,2,0)</f>
        <v>BR Carbsmart Almond Bar 8-6PK</v>
      </c>
      <c r="F1553" s="3" t="s">
        <v>37</v>
      </c>
    </row>
    <row r="1554" spans="1:6" x14ac:dyDescent="0.25">
      <c r="A1554" s="3">
        <v>69717803</v>
      </c>
      <c r="B1554" s="3">
        <v>2904</v>
      </c>
      <c r="C1554" s="24">
        <v>76</v>
      </c>
      <c r="D1554" s="4">
        <v>46090</v>
      </c>
      <c r="E1554" t="str">
        <f>VLOOKUP($A1554,Sheet4!$A:$B,2,0)</f>
        <v>BR Carbsmart Almond Bar 8-6PK</v>
      </c>
      <c r="F1554" s="3" t="s">
        <v>37</v>
      </c>
    </row>
    <row r="1555" spans="1:6" x14ac:dyDescent="0.25">
      <c r="A1555" s="3">
        <v>69717803</v>
      </c>
      <c r="B1555" s="3">
        <v>2904</v>
      </c>
      <c r="C1555" s="24">
        <v>3316</v>
      </c>
      <c r="D1555" s="4">
        <v>46089</v>
      </c>
      <c r="E1555" t="str">
        <f>VLOOKUP($A1555,Sheet4!$A:$B,2,0)</f>
        <v>BR Carbsmart Almond Bar 8-6PK</v>
      </c>
      <c r="F1555" s="3" t="s">
        <v>37</v>
      </c>
    </row>
    <row r="1556" spans="1:6" x14ac:dyDescent="0.25">
      <c r="A1556" s="3">
        <v>69717803</v>
      </c>
      <c r="B1556" s="3">
        <v>2904</v>
      </c>
      <c r="C1556" s="24">
        <v>2953</v>
      </c>
      <c r="D1556" s="4">
        <v>46090</v>
      </c>
      <c r="E1556" t="str">
        <f>VLOOKUP($A1556,Sheet4!$A:$B,2,0)</f>
        <v>BR Carbsmart Almond Bar 8-6PK</v>
      </c>
      <c r="F1556" s="3" t="s">
        <v>37</v>
      </c>
    </row>
    <row r="1557" spans="1:6" x14ac:dyDescent="0.25">
      <c r="A1557" s="3">
        <v>69717803</v>
      </c>
      <c r="B1557" s="3">
        <v>2904</v>
      </c>
      <c r="C1557" s="24">
        <v>99</v>
      </c>
      <c r="D1557" s="4">
        <v>46083</v>
      </c>
      <c r="E1557" t="str">
        <f>VLOOKUP($A1557,Sheet4!$A:$B,2,0)</f>
        <v>BR Carbsmart Almond Bar 8-6PK</v>
      </c>
      <c r="F1557" s="3" t="s">
        <v>37</v>
      </c>
    </row>
    <row r="1558" spans="1:6" x14ac:dyDescent="0.25">
      <c r="A1558" s="3">
        <v>69717803</v>
      </c>
      <c r="B1558" s="3">
        <v>2904</v>
      </c>
      <c r="C1558" s="24">
        <v>2135</v>
      </c>
      <c r="D1558" s="4">
        <v>46090</v>
      </c>
      <c r="E1558" t="str">
        <f>VLOOKUP($A1558,Sheet4!$A:$B,2,0)</f>
        <v>BR Carbsmart Almond Bar 8-6PK</v>
      </c>
      <c r="F1558" s="3" t="s">
        <v>37</v>
      </c>
    </row>
    <row r="1559" spans="1:6" x14ac:dyDescent="0.25">
      <c r="A1559" s="3">
        <v>69983234</v>
      </c>
      <c r="B1559" s="3">
        <v>2904</v>
      </c>
      <c r="C1559" s="24">
        <v>1330</v>
      </c>
      <c r="D1559" s="4">
        <v>46076</v>
      </c>
      <c r="E1559" t="str">
        <f>VLOOKUP($A1559,Sheet4!$A:$B,2,0)</f>
        <v>GH Creamsicle Bar 100 CAL 8-6PK</v>
      </c>
      <c r="F1559" s="3" t="s">
        <v>49</v>
      </c>
    </row>
    <row r="1560" spans="1:6" x14ac:dyDescent="0.25">
      <c r="A1560" s="3">
        <v>69983234</v>
      </c>
      <c r="B1560" s="3">
        <v>2904</v>
      </c>
      <c r="C1560" s="24">
        <v>2618</v>
      </c>
      <c r="D1560" s="4">
        <v>46077</v>
      </c>
      <c r="E1560" t="str">
        <f>VLOOKUP($A1560,Sheet4!$A:$B,2,0)</f>
        <v>GH Creamsicle Bar 100 CAL 8-6PK</v>
      </c>
      <c r="F1560" s="3" t="s">
        <v>49</v>
      </c>
    </row>
    <row r="1561" spans="1:6" x14ac:dyDescent="0.25">
      <c r="A1561" s="3">
        <v>69983234</v>
      </c>
      <c r="B1561" s="3">
        <v>2904</v>
      </c>
      <c r="C1561" s="24">
        <v>2742</v>
      </c>
      <c r="D1561" s="4">
        <v>46077</v>
      </c>
      <c r="E1561" t="str">
        <f>VLOOKUP($A1561,Sheet4!$A:$B,2,0)</f>
        <v>GH Creamsicle Bar 100 CAL 8-6PK</v>
      </c>
      <c r="F1561" s="3" t="s">
        <v>49</v>
      </c>
    </row>
    <row r="1562" spans="1:6" x14ac:dyDescent="0.25">
      <c r="A1562" s="3">
        <v>69983234</v>
      </c>
      <c r="B1562" s="3">
        <v>2904</v>
      </c>
      <c r="C1562" s="24">
        <v>2156</v>
      </c>
      <c r="D1562" s="4">
        <v>46078</v>
      </c>
      <c r="E1562" t="str">
        <f>VLOOKUP($A1562,Sheet4!$A:$B,2,0)</f>
        <v>GH Creamsicle Bar 100 CAL 8-6PK</v>
      </c>
      <c r="F1562" s="3" t="s">
        <v>49</v>
      </c>
    </row>
    <row r="1563" spans="1:6" x14ac:dyDescent="0.25">
      <c r="A1563" s="3">
        <v>69983234</v>
      </c>
      <c r="B1563" s="3">
        <v>2904</v>
      </c>
      <c r="C1563" s="24">
        <v>3388</v>
      </c>
      <c r="D1563" s="4">
        <v>46078</v>
      </c>
      <c r="E1563" t="str">
        <f>VLOOKUP($A1563,Sheet4!$A:$B,2,0)</f>
        <v>GH Creamsicle Bar 100 CAL 8-6PK</v>
      </c>
      <c r="F1563" s="3" t="s">
        <v>49</v>
      </c>
    </row>
    <row r="1564" spans="1:6" x14ac:dyDescent="0.25">
      <c r="A1564" s="3">
        <v>69983234</v>
      </c>
      <c r="B1564" s="3">
        <v>2904</v>
      </c>
      <c r="C1564" s="24">
        <v>2427</v>
      </c>
      <c r="D1564" s="4">
        <v>46079</v>
      </c>
      <c r="E1564" t="str">
        <f>VLOOKUP($A1564,Sheet4!$A:$B,2,0)</f>
        <v>GH Creamsicle Bar 100 CAL 8-6PK</v>
      </c>
      <c r="F1564" s="3" t="s">
        <v>49</v>
      </c>
    </row>
    <row r="1565" spans="1:6" x14ac:dyDescent="0.25">
      <c r="A1565" s="3">
        <v>69983234</v>
      </c>
      <c r="B1565" s="3">
        <v>2904</v>
      </c>
      <c r="C1565" s="24">
        <v>2552</v>
      </c>
      <c r="D1565" s="4">
        <v>46079</v>
      </c>
      <c r="E1565" t="str">
        <f>VLOOKUP($A1565,Sheet4!$A:$B,2,0)</f>
        <v>GH Creamsicle Bar 100 CAL 8-6PK</v>
      </c>
      <c r="F1565" s="3" t="s">
        <v>49</v>
      </c>
    </row>
    <row r="1566" spans="1:6" x14ac:dyDescent="0.25">
      <c r="A1566" s="3">
        <v>69983234</v>
      </c>
      <c r="B1566" s="3">
        <v>2904</v>
      </c>
      <c r="C1566" s="24">
        <v>2475</v>
      </c>
      <c r="D1566" s="4">
        <v>46080</v>
      </c>
      <c r="E1566" t="str">
        <f>VLOOKUP($A1566,Sheet4!$A:$B,2,0)</f>
        <v>GH Creamsicle Bar 100 CAL 8-6PK</v>
      </c>
      <c r="F1566" s="3" t="s">
        <v>49</v>
      </c>
    </row>
    <row r="1567" spans="1:6" x14ac:dyDescent="0.25">
      <c r="A1567" s="3">
        <v>69983234</v>
      </c>
      <c r="B1567" s="3">
        <v>2904</v>
      </c>
      <c r="C1567" s="24">
        <v>1848</v>
      </c>
      <c r="D1567" s="4">
        <v>46080</v>
      </c>
      <c r="E1567" t="str">
        <f>VLOOKUP($A1567,Sheet4!$A:$B,2,0)</f>
        <v>GH Creamsicle Bar 100 CAL 8-6PK</v>
      </c>
      <c r="F1567" s="3" t="s">
        <v>49</v>
      </c>
    </row>
    <row r="1568" spans="1:6" x14ac:dyDescent="0.25">
      <c r="A1568" s="3">
        <v>69983234</v>
      </c>
      <c r="B1568" s="3">
        <v>2904</v>
      </c>
      <c r="C1568" s="24">
        <v>754</v>
      </c>
      <c r="D1568" s="4">
        <v>46081</v>
      </c>
      <c r="E1568" t="str">
        <f>VLOOKUP($A1568,Sheet4!$A:$B,2,0)</f>
        <v>GH Creamsicle Bar 100 CAL 8-6PK</v>
      </c>
      <c r="F1568" s="3" t="s">
        <v>49</v>
      </c>
    </row>
    <row r="1569" spans="1:6" x14ac:dyDescent="0.25">
      <c r="A1569" s="3">
        <v>69983234</v>
      </c>
      <c r="B1569" s="3">
        <v>2904</v>
      </c>
      <c r="C1569" s="24">
        <v>1104</v>
      </c>
      <c r="D1569" s="4">
        <v>46083</v>
      </c>
      <c r="E1569" t="str">
        <f>VLOOKUP($A1569,Sheet4!$A:$B,2,0)</f>
        <v>GH Creamsicle Bar 100 CAL 8-6PK</v>
      </c>
      <c r="F1569" s="3" t="s">
        <v>49</v>
      </c>
    </row>
    <row r="1570" spans="1:6" x14ac:dyDescent="0.25">
      <c r="A1570" s="3">
        <v>69983234</v>
      </c>
      <c r="B1570" s="3">
        <v>2904</v>
      </c>
      <c r="C1570" s="24">
        <v>1484</v>
      </c>
      <c r="D1570" s="4">
        <v>46084</v>
      </c>
      <c r="E1570" t="str">
        <f>VLOOKUP($A1570,Sheet4!$A:$B,2,0)</f>
        <v>GH Creamsicle Bar 100 CAL 8-6PK</v>
      </c>
      <c r="F1570" s="3" t="s">
        <v>49</v>
      </c>
    </row>
    <row r="1571" spans="1:6" x14ac:dyDescent="0.25">
      <c r="A1571" s="3">
        <v>69983234</v>
      </c>
      <c r="B1571" s="3">
        <v>2904</v>
      </c>
      <c r="C1571" s="24">
        <v>2067</v>
      </c>
      <c r="D1571" s="4">
        <v>46084</v>
      </c>
      <c r="E1571" t="str">
        <f>VLOOKUP($A1571,Sheet4!$A:$B,2,0)</f>
        <v>GH Creamsicle Bar 100 CAL 8-6PK</v>
      </c>
      <c r="F1571" s="3" t="s">
        <v>49</v>
      </c>
    </row>
    <row r="1572" spans="1:6" x14ac:dyDescent="0.25">
      <c r="A1572" s="3">
        <v>69983234</v>
      </c>
      <c r="B1572" s="3">
        <v>2904</v>
      </c>
      <c r="C1572" s="24">
        <v>1670</v>
      </c>
      <c r="D1572" s="4">
        <v>46085</v>
      </c>
      <c r="E1572" t="str">
        <f>VLOOKUP($A1572,Sheet4!$A:$B,2,0)</f>
        <v>GH Creamsicle Bar 100 CAL 8-6PK</v>
      </c>
      <c r="F1572" s="3" t="s">
        <v>49</v>
      </c>
    </row>
    <row r="1573" spans="1:6" x14ac:dyDescent="0.25">
      <c r="A1573" s="3">
        <v>69983234</v>
      </c>
      <c r="B1573" s="3">
        <v>2904</v>
      </c>
      <c r="C1573" s="24">
        <v>1261</v>
      </c>
      <c r="D1573" s="4">
        <v>46085</v>
      </c>
      <c r="E1573" t="str">
        <f>VLOOKUP($A1573,Sheet4!$A:$B,2,0)</f>
        <v>GH Creamsicle Bar 100 CAL 8-6PK</v>
      </c>
      <c r="F1573" s="3" t="s">
        <v>49</v>
      </c>
    </row>
    <row r="1574" spans="1:6" x14ac:dyDescent="0.25">
      <c r="A1574" s="3">
        <v>69983234</v>
      </c>
      <c r="B1574" s="3">
        <v>2904</v>
      </c>
      <c r="C1574" s="24">
        <v>2691</v>
      </c>
      <c r="D1574" s="4">
        <v>46086</v>
      </c>
      <c r="E1574" t="str">
        <f>VLOOKUP($A1574,Sheet4!$A:$B,2,0)</f>
        <v>GH Creamsicle Bar 100 CAL 8-6PK</v>
      </c>
      <c r="F1574" s="3" t="s">
        <v>49</v>
      </c>
    </row>
    <row r="1575" spans="1:6" x14ac:dyDescent="0.25">
      <c r="A1575" s="3">
        <v>69983234</v>
      </c>
      <c r="B1575" s="3">
        <v>2904</v>
      </c>
      <c r="C1575" s="24">
        <v>2398</v>
      </c>
      <c r="D1575" s="4">
        <v>46086</v>
      </c>
      <c r="E1575" t="str">
        <f>VLOOKUP($A1575,Sheet4!$A:$B,2,0)</f>
        <v>GH Creamsicle Bar 100 CAL 8-6PK</v>
      </c>
      <c r="F1575" s="3" t="s">
        <v>49</v>
      </c>
    </row>
    <row r="1576" spans="1:6" x14ac:dyDescent="0.25">
      <c r="A1576" s="3">
        <v>69983234</v>
      </c>
      <c r="B1576" s="3">
        <v>2904</v>
      </c>
      <c r="C1576" s="24">
        <v>2233</v>
      </c>
      <c r="D1576" s="4">
        <v>46087</v>
      </c>
      <c r="E1576" t="str">
        <f>VLOOKUP($A1576,Sheet4!$A:$B,2,0)</f>
        <v>GH Creamsicle Bar 100 CAL 8-6PK</v>
      </c>
      <c r="F1576" s="3" t="s">
        <v>49</v>
      </c>
    </row>
    <row r="1577" spans="1:6" x14ac:dyDescent="0.25">
      <c r="A1577" s="3">
        <v>69983234</v>
      </c>
      <c r="B1577" s="3">
        <v>2904</v>
      </c>
      <c r="C1577" s="24">
        <v>2310</v>
      </c>
      <c r="D1577" s="4">
        <v>46087</v>
      </c>
      <c r="E1577" t="str">
        <f>VLOOKUP($A1577,Sheet4!$A:$B,2,0)</f>
        <v>GH Creamsicle Bar 100 CAL 8-6PK</v>
      </c>
      <c r="F1577" s="3" t="s">
        <v>49</v>
      </c>
    </row>
    <row r="1578" spans="1:6" x14ac:dyDescent="0.25">
      <c r="A1578" s="3">
        <v>69983234</v>
      </c>
      <c r="B1578" s="3">
        <v>2904</v>
      </c>
      <c r="C1578" s="24">
        <v>1440</v>
      </c>
      <c r="D1578" s="4">
        <v>46088</v>
      </c>
      <c r="E1578" t="str">
        <f>VLOOKUP($A1578,Sheet4!$A:$B,2,0)</f>
        <v>GH Creamsicle Bar 100 CAL 8-6PK</v>
      </c>
      <c r="F1578" s="3" t="s">
        <v>49</v>
      </c>
    </row>
    <row r="1579" spans="1:6" x14ac:dyDescent="0.25">
      <c r="A1579" s="3">
        <v>69983234</v>
      </c>
      <c r="B1579" s="3">
        <v>2904</v>
      </c>
      <c r="C1579" s="24">
        <v>2135</v>
      </c>
      <c r="D1579" s="4">
        <v>46090</v>
      </c>
      <c r="E1579" t="str">
        <f>VLOOKUP($A1579,Sheet4!$A:$B,2,0)</f>
        <v>GH Creamsicle Bar 100 CAL 8-6PK</v>
      </c>
      <c r="F1579" s="3" t="s">
        <v>49</v>
      </c>
    </row>
    <row r="1580" spans="1:6" x14ac:dyDescent="0.25">
      <c r="A1580" s="3">
        <v>69983234</v>
      </c>
      <c r="B1580" s="3">
        <v>2904</v>
      </c>
      <c r="C1580" s="24">
        <v>2682</v>
      </c>
      <c r="D1580" s="4">
        <v>46091</v>
      </c>
      <c r="E1580" t="str">
        <f>VLOOKUP($A1580,Sheet4!$A:$B,2,0)</f>
        <v>GH Creamsicle Bar 100 CAL 8-6PK</v>
      </c>
      <c r="F1580" s="3" t="s">
        <v>49</v>
      </c>
    </row>
    <row r="1581" spans="1:6" x14ac:dyDescent="0.25">
      <c r="A1581" s="3">
        <v>69983234</v>
      </c>
      <c r="B1581" s="3">
        <v>2904</v>
      </c>
      <c r="C1581" s="24">
        <v>2129</v>
      </c>
      <c r="D1581" s="4">
        <v>46091</v>
      </c>
      <c r="E1581" t="str">
        <f>VLOOKUP($A1581,Sheet4!$A:$B,2,0)</f>
        <v>GH Creamsicle Bar 100 CAL 8-6PK</v>
      </c>
      <c r="F1581" s="3" t="s">
        <v>49</v>
      </c>
    </row>
    <row r="1582" spans="1:6" x14ac:dyDescent="0.25">
      <c r="A1582" s="3">
        <v>69983234</v>
      </c>
      <c r="B1582" s="3">
        <v>2904</v>
      </c>
      <c r="C1582" s="24">
        <v>2310</v>
      </c>
      <c r="D1582" s="4">
        <v>46092</v>
      </c>
      <c r="E1582" t="str">
        <f>VLOOKUP($A1582,Sheet4!$A:$B,2,0)</f>
        <v>GH Creamsicle Bar 100 CAL 8-6PK</v>
      </c>
      <c r="F1582" s="3" t="s">
        <v>49</v>
      </c>
    </row>
    <row r="1583" spans="1:6" x14ac:dyDescent="0.25">
      <c r="A1583" s="3">
        <v>69983234</v>
      </c>
      <c r="B1583" s="3">
        <v>2904</v>
      </c>
      <c r="C1583" s="24">
        <v>2464</v>
      </c>
      <c r="D1583" s="4">
        <v>46092</v>
      </c>
      <c r="E1583" t="str">
        <f>VLOOKUP($A1583,Sheet4!$A:$B,2,0)</f>
        <v>GH Creamsicle Bar 100 CAL 8-6PK</v>
      </c>
      <c r="F1583" s="3" t="s">
        <v>49</v>
      </c>
    </row>
    <row r="1584" spans="1:6" x14ac:dyDescent="0.25">
      <c r="A1584" s="3">
        <v>69983234</v>
      </c>
      <c r="B1584" s="3">
        <v>2904</v>
      </c>
      <c r="C1584" s="24">
        <v>1592</v>
      </c>
      <c r="D1584" s="4">
        <v>46093</v>
      </c>
      <c r="E1584" t="str">
        <f>VLOOKUP($A1584,Sheet4!$A:$B,2,0)</f>
        <v>GH Creamsicle Bar 100 CAL 8-6PK</v>
      </c>
      <c r="F1584" s="3" t="s">
        <v>49</v>
      </c>
    </row>
    <row r="1585" spans="1:6" x14ac:dyDescent="0.25">
      <c r="A1585" s="3">
        <v>69999266</v>
      </c>
      <c r="B1585" s="3">
        <v>2904</v>
      </c>
      <c r="C1585" s="24">
        <v>4249</v>
      </c>
      <c r="D1585" s="4">
        <v>46105</v>
      </c>
      <c r="E1585" t="str">
        <f>VLOOKUP($A1585,Sheet4!$A:$B,2,0)</f>
        <v>BJ US -IC-LightsCaramelAction-8 1PT</v>
      </c>
      <c r="F1585" s="3" t="s">
        <v>54</v>
      </c>
    </row>
    <row r="1586" spans="1:6" x14ac:dyDescent="0.25">
      <c r="A1586" s="3">
        <v>69999266</v>
      </c>
      <c r="B1586" s="3">
        <v>2904</v>
      </c>
      <c r="C1586" s="24">
        <v>5605</v>
      </c>
      <c r="D1586" s="4">
        <v>46105</v>
      </c>
      <c r="E1586" t="str">
        <f>VLOOKUP($A1586,Sheet4!$A:$B,2,0)</f>
        <v>BJ US -IC-LightsCaramelAction-8 1PT</v>
      </c>
      <c r="F1586" s="3" t="s">
        <v>54</v>
      </c>
    </row>
    <row r="1587" spans="1:6" x14ac:dyDescent="0.25">
      <c r="A1587" s="3">
        <v>69999267</v>
      </c>
      <c r="B1587" s="3">
        <v>2904</v>
      </c>
      <c r="C1587" s="24">
        <v>195</v>
      </c>
      <c r="D1587" s="4">
        <v>46076</v>
      </c>
      <c r="E1587" t="str">
        <f>VLOOKUP($A1587,Sheet4!$A:$B,2,0)</f>
        <v>BJ US-IC-GimmeSmore-8 1PT</v>
      </c>
      <c r="F1587" s="3" t="s">
        <v>54</v>
      </c>
    </row>
    <row r="1588" spans="1:6" x14ac:dyDescent="0.25">
      <c r="A1588" s="3">
        <v>69999267</v>
      </c>
      <c r="B1588" s="3">
        <v>2904</v>
      </c>
      <c r="C1588" s="24">
        <v>2939</v>
      </c>
      <c r="D1588" s="4">
        <v>46097</v>
      </c>
      <c r="E1588" t="str">
        <f>VLOOKUP($A1588,Sheet4!$A:$B,2,0)</f>
        <v>BJ US-IC-GimmeSmore-8 1PT</v>
      </c>
      <c r="F1588" s="3" t="s">
        <v>54</v>
      </c>
    </row>
    <row r="1589" spans="1:6" x14ac:dyDescent="0.25">
      <c r="A1589" s="3">
        <v>69999267</v>
      </c>
      <c r="B1589" s="3">
        <v>2904</v>
      </c>
      <c r="C1589" s="24">
        <v>6511</v>
      </c>
      <c r="D1589" s="4">
        <v>46098</v>
      </c>
      <c r="E1589" t="str">
        <f>VLOOKUP($A1589,Sheet4!$A:$B,2,0)</f>
        <v>BJ US-IC-GimmeSmore-8 1PT</v>
      </c>
      <c r="F1589" s="3" t="s">
        <v>54</v>
      </c>
    </row>
    <row r="1590" spans="1:6" x14ac:dyDescent="0.25">
      <c r="A1590" s="3">
        <v>69999267</v>
      </c>
      <c r="B1590" s="3">
        <v>2904</v>
      </c>
      <c r="C1590" s="24">
        <v>9519</v>
      </c>
      <c r="D1590" s="4">
        <v>46098</v>
      </c>
      <c r="E1590" t="str">
        <f>VLOOKUP($A1590,Sheet4!$A:$B,2,0)</f>
        <v>BJ US-IC-GimmeSmore-8 1PT</v>
      </c>
      <c r="F1590" s="3" t="s">
        <v>54</v>
      </c>
    </row>
    <row r="1591" spans="1:6" x14ac:dyDescent="0.25">
      <c r="A1591" s="3">
        <v>69999267</v>
      </c>
      <c r="B1591" s="3">
        <v>2904</v>
      </c>
      <c r="C1591" s="24">
        <v>9794</v>
      </c>
      <c r="D1591" s="4">
        <v>46099</v>
      </c>
      <c r="E1591" t="str">
        <f>VLOOKUP($A1591,Sheet4!$A:$B,2,0)</f>
        <v>BJ US-IC-GimmeSmore-8 1PT</v>
      </c>
      <c r="F1591" s="3" t="s">
        <v>54</v>
      </c>
    </row>
    <row r="1592" spans="1:6" x14ac:dyDescent="0.25">
      <c r="A1592" s="3">
        <v>69999267</v>
      </c>
      <c r="B1592" s="3">
        <v>2904</v>
      </c>
      <c r="C1592" s="24">
        <v>9945</v>
      </c>
      <c r="D1592" s="4">
        <v>46099</v>
      </c>
      <c r="E1592" t="str">
        <f>VLOOKUP($A1592,Sheet4!$A:$B,2,0)</f>
        <v>BJ US-IC-GimmeSmore-8 1PT</v>
      </c>
      <c r="F1592" s="3" t="s">
        <v>54</v>
      </c>
    </row>
    <row r="1593" spans="1:6" x14ac:dyDescent="0.25">
      <c r="A1593" s="3">
        <v>69999267</v>
      </c>
      <c r="B1593" s="3">
        <v>2904</v>
      </c>
      <c r="C1593" s="24">
        <v>6822</v>
      </c>
      <c r="D1593" s="4">
        <v>46100</v>
      </c>
      <c r="E1593" t="str">
        <f>VLOOKUP($A1593,Sheet4!$A:$B,2,0)</f>
        <v>BJ US-IC-GimmeSmore-8 1PT</v>
      </c>
      <c r="F1593" s="3" t="s">
        <v>54</v>
      </c>
    </row>
    <row r="1594" spans="1:6" x14ac:dyDescent="0.25">
      <c r="A1594" s="3">
        <v>69999267</v>
      </c>
      <c r="B1594" s="3">
        <v>2904</v>
      </c>
      <c r="C1594" s="24">
        <v>-17</v>
      </c>
      <c r="D1594" s="4">
        <v>46105</v>
      </c>
      <c r="E1594" t="str">
        <f>VLOOKUP($A1594,Sheet4!$A:$B,2,0)</f>
        <v>BJ US-IC-GimmeSmore-8 1PT</v>
      </c>
      <c r="F1594" s="3" t="s">
        <v>54</v>
      </c>
    </row>
    <row r="1595" spans="1:6" x14ac:dyDescent="0.25">
      <c r="A1595" s="3">
        <v>69999267</v>
      </c>
      <c r="B1595" s="3">
        <v>2904</v>
      </c>
      <c r="C1595" s="24">
        <v>0</v>
      </c>
      <c r="D1595" s="4">
        <v>46101</v>
      </c>
      <c r="E1595" t="str">
        <f>VLOOKUP($A1595,Sheet4!$A:$B,2,0)</f>
        <v>BJ US-IC-GimmeSmore-8 1PT</v>
      </c>
      <c r="F1595" s="3" t="s">
        <v>54</v>
      </c>
    </row>
    <row r="1596" spans="1:6" x14ac:dyDescent="0.25">
      <c r="A1596" s="3">
        <v>69999268</v>
      </c>
      <c r="B1596" s="3">
        <v>2904</v>
      </c>
      <c r="C1596" s="24">
        <v>5425</v>
      </c>
      <c r="D1596" s="4">
        <v>46086</v>
      </c>
      <c r="E1596" t="str">
        <f>VLOOKUP($A1596,Sheet4!$A:$B,2,0)</f>
        <v>BJ US-IC-ChurrayForChurros-8 1PT</v>
      </c>
      <c r="F1596" s="3" t="s">
        <v>54</v>
      </c>
    </row>
    <row r="1597" spans="1:6" x14ac:dyDescent="0.25">
      <c r="A1597" s="3">
        <v>69999268</v>
      </c>
      <c r="B1597" s="3">
        <v>2904</v>
      </c>
      <c r="C1597" s="24">
        <v>6000</v>
      </c>
      <c r="D1597" s="4">
        <v>46087</v>
      </c>
      <c r="E1597" t="str">
        <f>VLOOKUP($A1597,Sheet4!$A:$B,2,0)</f>
        <v>BJ US-IC-ChurrayForChurros-8 1PT</v>
      </c>
      <c r="F1597" s="3" t="s">
        <v>54</v>
      </c>
    </row>
    <row r="1598" spans="1:6" x14ac:dyDescent="0.25">
      <c r="A1598" s="3">
        <v>69999268</v>
      </c>
      <c r="B1598" s="3">
        <v>2904</v>
      </c>
      <c r="C1598" s="24">
        <v>1440</v>
      </c>
      <c r="D1598" s="4">
        <v>46090</v>
      </c>
      <c r="E1598" t="str">
        <f>VLOOKUP($A1598,Sheet4!$A:$B,2,0)</f>
        <v>BJ US-IC-ChurrayForChurros-8 1PT</v>
      </c>
      <c r="F1598" s="3" t="s">
        <v>54</v>
      </c>
    </row>
    <row r="1599" spans="1:6" x14ac:dyDescent="0.25">
      <c r="A1599" s="3">
        <v>69999268</v>
      </c>
      <c r="B1599" s="3">
        <v>2904</v>
      </c>
      <c r="C1599" s="24">
        <v>4529</v>
      </c>
      <c r="D1599" s="4">
        <v>46087</v>
      </c>
      <c r="E1599" t="str">
        <f>VLOOKUP($A1599,Sheet4!$A:$B,2,0)</f>
        <v>BJ US-IC-ChurrayForChurros-8 1PT</v>
      </c>
      <c r="F1599" s="3" t="s">
        <v>54</v>
      </c>
    </row>
    <row r="1600" spans="1:6" x14ac:dyDescent="0.25">
      <c r="A1600" s="3">
        <v>69999268</v>
      </c>
      <c r="B1600" s="3">
        <v>2904</v>
      </c>
      <c r="C1600" s="24">
        <v>630</v>
      </c>
      <c r="D1600" s="4">
        <v>46090</v>
      </c>
      <c r="E1600" t="str">
        <f>VLOOKUP($A1600,Sheet4!$A:$B,2,0)</f>
        <v>BJ US-IC-ChurrayForChurros-8 1PT</v>
      </c>
      <c r="F1600" s="3" t="s">
        <v>54</v>
      </c>
    </row>
    <row r="1601" spans="1:6" x14ac:dyDescent="0.25">
      <c r="A1601" s="3">
        <v>69999268</v>
      </c>
      <c r="B1601" s="3">
        <v>2904</v>
      </c>
      <c r="C1601" s="24">
        <v>6435</v>
      </c>
      <c r="D1601" s="4">
        <v>46086</v>
      </c>
      <c r="E1601" t="str">
        <f>VLOOKUP($A1601,Sheet4!$A:$B,2,0)</f>
        <v>BJ US-IC-ChurrayForChurros-8 1PT</v>
      </c>
      <c r="F1601" s="3" t="s">
        <v>54</v>
      </c>
    </row>
    <row r="1602" spans="1:6" x14ac:dyDescent="0.25">
      <c r="A1602" s="3">
        <v>69999268</v>
      </c>
      <c r="B1602" s="3">
        <v>2904</v>
      </c>
      <c r="C1602" s="24">
        <v>720</v>
      </c>
      <c r="D1602" s="4">
        <v>46087</v>
      </c>
      <c r="E1602" t="str">
        <f>VLOOKUP($A1602,Sheet4!$A:$B,2,0)</f>
        <v>BJ US-IC-ChurrayForChurros-8 1PT</v>
      </c>
      <c r="F1602" s="3" t="s">
        <v>54</v>
      </c>
    </row>
    <row r="1603" spans="1:6" x14ac:dyDescent="0.25">
      <c r="A1603" s="3">
        <v>84135781</v>
      </c>
      <c r="B1603" s="3">
        <v>2904</v>
      </c>
      <c r="C1603" s="24">
        <v>5246</v>
      </c>
      <c r="D1603" s="4">
        <v>46083</v>
      </c>
      <c r="E1603" t="str">
        <f>VLOOKUP($A1603,Sheet4!$A:$B,2,0)</f>
        <v>BJ US-IC-Vanilla-FTNG-8 1PT</v>
      </c>
      <c r="F1603" s="3" t="s">
        <v>54</v>
      </c>
    </row>
    <row r="1604" spans="1:6" x14ac:dyDescent="0.25">
      <c r="A1604" s="3">
        <v>84135781</v>
      </c>
      <c r="B1604" s="3">
        <v>2904</v>
      </c>
      <c r="C1604" s="24">
        <v>10694</v>
      </c>
      <c r="D1604" s="4">
        <v>46084</v>
      </c>
      <c r="E1604" t="str">
        <f>VLOOKUP($A1604,Sheet4!$A:$B,2,0)</f>
        <v>BJ US-IC-Vanilla-FTNG-8 1PT</v>
      </c>
      <c r="F1604" s="3" t="s">
        <v>54</v>
      </c>
    </row>
    <row r="1605" spans="1:6" x14ac:dyDescent="0.25">
      <c r="A1605" s="3">
        <v>84135781</v>
      </c>
      <c r="B1605" s="3">
        <v>2904</v>
      </c>
      <c r="C1605" s="24">
        <v>10320</v>
      </c>
      <c r="D1605" s="4">
        <v>46084</v>
      </c>
      <c r="E1605" t="str">
        <f>VLOOKUP($A1605,Sheet4!$A:$B,2,0)</f>
        <v>BJ US-IC-Vanilla-FTNG-8 1PT</v>
      </c>
      <c r="F1605" s="3" t="s">
        <v>54</v>
      </c>
    </row>
    <row r="1606" spans="1:6" x14ac:dyDescent="0.25">
      <c r="A1606" s="3">
        <v>84135781</v>
      </c>
      <c r="B1606" s="3">
        <v>2904</v>
      </c>
      <c r="C1606" s="24">
        <v>10227</v>
      </c>
      <c r="D1606" s="4">
        <v>46085</v>
      </c>
      <c r="E1606" t="str">
        <f>VLOOKUP($A1606,Sheet4!$A:$B,2,0)</f>
        <v>BJ US-IC-Vanilla-FTNG-8 1PT</v>
      </c>
      <c r="F1606" s="3" t="s">
        <v>54</v>
      </c>
    </row>
    <row r="1607" spans="1:6" x14ac:dyDescent="0.25">
      <c r="A1607" s="3">
        <v>84135781</v>
      </c>
      <c r="B1607" s="3">
        <v>2904</v>
      </c>
      <c r="C1607" s="24">
        <v>240</v>
      </c>
      <c r="D1607" s="4">
        <v>46086</v>
      </c>
      <c r="E1607" t="str">
        <f>VLOOKUP($A1607,Sheet4!$A:$B,2,0)</f>
        <v>BJ US-IC-Vanilla-FTNG-8 1PT</v>
      </c>
      <c r="F1607" s="3" t="s">
        <v>54</v>
      </c>
    </row>
    <row r="1608" spans="1:6" x14ac:dyDescent="0.25">
      <c r="A1608" s="3">
        <v>84135781</v>
      </c>
      <c r="B1608" s="3">
        <v>2904</v>
      </c>
      <c r="C1608" s="24">
        <v>1680</v>
      </c>
      <c r="D1608" s="4">
        <v>46085</v>
      </c>
      <c r="E1608" t="str">
        <f>VLOOKUP($A1608,Sheet4!$A:$B,2,0)</f>
        <v>BJ US-IC-Vanilla-FTNG-8 1PT</v>
      </c>
      <c r="F1608" s="3" t="s">
        <v>54</v>
      </c>
    </row>
    <row r="1609" spans="1:6" x14ac:dyDescent="0.25">
      <c r="A1609" s="3">
        <v>84135781</v>
      </c>
      <c r="B1609" s="3">
        <v>2904</v>
      </c>
      <c r="C1609" s="24">
        <v>0</v>
      </c>
      <c r="D1609" s="4">
        <v>46086</v>
      </c>
      <c r="E1609" t="str">
        <f>VLOOKUP($A1609,Sheet4!$A:$B,2,0)</f>
        <v>BJ US-IC-Vanilla-FTNG-8 1PT</v>
      </c>
      <c r="F1609" s="3" t="s">
        <v>54</v>
      </c>
    </row>
    <row r="1610" spans="1:6" x14ac:dyDescent="0.25">
      <c r="A1610" s="3">
        <v>84164937</v>
      </c>
      <c r="B1610" s="3">
        <v>2904</v>
      </c>
      <c r="C1610" s="24">
        <v>240</v>
      </c>
      <c r="D1610" s="4">
        <v>46100</v>
      </c>
      <c r="E1610" t="str">
        <f>VLOOKUP($A1610,Sheet4!$A:$B,2,0)</f>
        <v>BJ US-IC-ChubbyHubby-8 1PT</v>
      </c>
      <c r="F1610" s="3" t="s">
        <v>54</v>
      </c>
    </row>
    <row r="1611" spans="1:6" x14ac:dyDescent="0.25">
      <c r="A1611" s="3">
        <v>84164937</v>
      </c>
      <c r="B1611" s="3">
        <v>2904</v>
      </c>
      <c r="C1611" s="24">
        <v>5020</v>
      </c>
      <c r="D1611" s="4">
        <v>46101</v>
      </c>
      <c r="E1611" t="str">
        <f>VLOOKUP($A1611,Sheet4!$A:$B,2,0)</f>
        <v>BJ US-IC-ChubbyHubby-8 1PT</v>
      </c>
      <c r="F1611" s="3" t="s">
        <v>54</v>
      </c>
    </row>
    <row r="1612" spans="1:6" x14ac:dyDescent="0.25">
      <c r="A1612" s="3">
        <v>84164937</v>
      </c>
      <c r="B1612" s="3">
        <v>2904</v>
      </c>
      <c r="C1612" s="24">
        <v>7805</v>
      </c>
      <c r="D1612" s="4">
        <v>46101</v>
      </c>
      <c r="E1612" t="str">
        <f>VLOOKUP($A1612,Sheet4!$A:$B,2,0)</f>
        <v>BJ US-IC-ChubbyHubby-8 1PT</v>
      </c>
      <c r="F1612" s="3" t="s">
        <v>54</v>
      </c>
    </row>
    <row r="1613" spans="1:6" x14ac:dyDescent="0.25">
      <c r="A1613" s="3">
        <v>84164937</v>
      </c>
      <c r="B1613" s="3">
        <v>2904</v>
      </c>
      <c r="C1613" s="24">
        <v>4490</v>
      </c>
      <c r="D1613" s="4">
        <v>46102</v>
      </c>
      <c r="E1613" t="str">
        <f>VLOOKUP($A1613,Sheet4!$A:$B,2,0)</f>
        <v>BJ US-IC-ChubbyHubby-8 1PT</v>
      </c>
      <c r="F1613" s="3" t="s">
        <v>54</v>
      </c>
    </row>
    <row r="1614" spans="1:6" x14ac:dyDescent="0.25">
      <c r="A1614" s="3">
        <v>62681617</v>
      </c>
      <c r="B1614" s="3">
        <v>3910</v>
      </c>
      <c r="C1614" s="24">
        <v>4680</v>
      </c>
      <c r="D1614" s="4">
        <v>46099</v>
      </c>
      <c r="E1614" t="str">
        <f>VLOOKUP($A1614,Sheet4!$A:$B,2,0)</f>
        <v>Magnum White Chocolate Almond 12-3PK</v>
      </c>
      <c r="F1614" s="3" t="s">
        <v>843</v>
      </c>
    </row>
    <row r="1615" spans="1:6" x14ac:dyDescent="0.25">
      <c r="A1615" s="3">
        <v>62681617</v>
      </c>
      <c r="B1615" s="3">
        <v>3910</v>
      </c>
      <c r="C1615" s="24">
        <v>98</v>
      </c>
      <c r="D1615" s="4">
        <v>46100</v>
      </c>
      <c r="E1615" t="str">
        <f>VLOOKUP($A1615,Sheet4!$A:$B,2,0)</f>
        <v>Magnum White Chocolate Almond 12-3PK</v>
      </c>
      <c r="F1615" s="3" t="s">
        <v>843</v>
      </c>
    </row>
    <row r="1616" spans="1:6" x14ac:dyDescent="0.25">
      <c r="A1616" s="3">
        <v>62681618</v>
      </c>
      <c r="B1616" s="3">
        <v>3910</v>
      </c>
      <c r="C1616" s="24">
        <v>1569</v>
      </c>
      <c r="D1616" s="4">
        <v>46104</v>
      </c>
      <c r="E1616" t="str">
        <f>VLOOKUP($A1616,Sheet4!$A:$B,2,0)</f>
        <v>Magnum Dark Chocolate Classic 12-3PK</v>
      </c>
      <c r="F1616" s="3" t="s">
        <v>58</v>
      </c>
    </row>
    <row r="1617" spans="1:6" x14ac:dyDescent="0.25">
      <c r="A1617" s="3">
        <v>62681618</v>
      </c>
      <c r="B1617" s="3">
        <v>3910</v>
      </c>
      <c r="C1617" s="24">
        <v>351</v>
      </c>
      <c r="D1617" s="4">
        <v>46105</v>
      </c>
      <c r="E1617" t="str">
        <f>VLOOKUP($A1617,Sheet4!$A:$B,2,0)</f>
        <v>Magnum Dark Chocolate Classic 12-3PK</v>
      </c>
      <c r="F1617" s="3" t="s">
        <v>58</v>
      </c>
    </row>
    <row r="1618" spans="1:6" x14ac:dyDescent="0.25">
      <c r="A1618" s="3">
        <v>62681618</v>
      </c>
      <c r="B1618" s="3">
        <v>3910</v>
      </c>
      <c r="C1618" s="24">
        <v>2724</v>
      </c>
      <c r="D1618" s="4">
        <v>46105</v>
      </c>
      <c r="E1618" t="str">
        <f>VLOOKUP($A1618,Sheet4!$A:$B,2,0)</f>
        <v>Magnum Dark Chocolate Classic 12-3PK</v>
      </c>
      <c r="F1618" s="3" t="s">
        <v>58</v>
      </c>
    </row>
    <row r="1619" spans="1:6" x14ac:dyDescent="0.25">
      <c r="A1619" s="3">
        <v>62711308</v>
      </c>
      <c r="B1619" s="3">
        <v>3910</v>
      </c>
      <c r="C1619" s="24">
        <v>19712</v>
      </c>
      <c r="D1619" s="4">
        <v>46085</v>
      </c>
      <c r="E1619" t="str">
        <f>VLOOKUP($A1619,Sheet4!$A:$B,2,0)</f>
        <v>MG Strawberry n Cream 1-12BK</v>
      </c>
      <c r="F1619" s="3" t="s">
        <v>844</v>
      </c>
    </row>
    <row r="1620" spans="1:6" x14ac:dyDescent="0.25">
      <c r="A1620" s="3">
        <v>62711308</v>
      </c>
      <c r="B1620" s="3">
        <v>3910</v>
      </c>
      <c r="C1620" s="24">
        <v>1344</v>
      </c>
      <c r="D1620" s="4">
        <v>46086</v>
      </c>
      <c r="E1620" t="str">
        <f>VLOOKUP($A1620,Sheet4!$A:$B,2,0)</f>
        <v>MG Strawberry n Cream 1-12BK</v>
      </c>
      <c r="F1620" s="3" t="s">
        <v>844</v>
      </c>
    </row>
    <row r="1621" spans="1:6" x14ac:dyDescent="0.25">
      <c r="A1621" s="3">
        <v>62711308</v>
      </c>
      <c r="B1621" s="3">
        <v>3910</v>
      </c>
      <c r="C1621" s="24">
        <v>1792</v>
      </c>
      <c r="D1621" s="4">
        <v>46086</v>
      </c>
      <c r="E1621" t="str">
        <f>VLOOKUP($A1621,Sheet4!$A:$B,2,0)</f>
        <v>MG Strawberry n Cream 1-12BK</v>
      </c>
      <c r="F1621" s="3" t="s">
        <v>844</v>
      </c>
    </row>
    <row r="1622" spans="1:6" x14ac:dyDescent="0.25">
      <c r="A1622" s="3">
        <v>62711308</v>
      </c>
      <c r="B1622" s="3">
        <v>3910</v>
      </c>
      <c r="C1622" s="24">
        <v>2240</v>
      </c>
      <c r="D1622" s="4">
        <v>46087</v>
      </c>
      <c r="E1622" t="str">
        <f>VLOOKUP($A1622,Sheet4!$A:$B,2,0)</f>
        <v>MG Strawberry n Cream 1-12BK</v>
      </c>
      <c r="F1622" s="3" t="s">
        <v>844</v>
      </c>
    </row>
    <row r="1623" spans="1:6" x14ac:dyDescent="0.25">
      <c r="A1623" s="3">
        <v>62711311</v>
      </c>
      <c r="B1623" s="3">
        <v>3910</v>
      </c>
      <c r="C1623" s="24">
        <v>10304</v>
      </c>
      <c r="D1623" s="4">
        <v>46076</v>
      </c>
      <c r="E1623" t="str">
        <f>VLOOKUP($A1623,Sheet4!$A:$B,2,0)</f>
        <v>MG Cookie Duet 1-12BK</v>
      </c>
      <c r="F1623" s="3" t="s">
        <v>844</v>
      </c>
    </row>
    <row r="1624" spans="1:6" x14ac:dyDescent="0.25">
      <c r="A1624" s="3">
        <v>62711311</v>
      </c>
      <c r="B1624" s="3">
        <v>3910</v>
      </c>
      <c r="C1624" s="24">
        <v>1792</v>
      </c>
      <c r="D1624" s="4">
        <v>46077</v>
      </c>
      <c r="E1624" t="str">
        <f>VLOOKUP($A1624,Sheet4!$A:$B,2,0)</f>
        <v>MG Cookie Duet 1-12BK</v>
      </c>
      <c r="F1624" s="3" t="s">
        <v>844</v>
      </c>
    </row>
    <row r="1625" spans="1:6" x14ac:dyDescent="0.25">
      <c r="A1625" s="3">
        <v>62711311</v>
      </c>
      <c r="B1625" s="3">
        <v>3910</v>
      </c>
      <c r="C1625" s="24">
        <v>15232</v>
      </c>
      <c r="D1625" s="4">
        <v>46077</v>
      </c>
      <c r="E1625" t="str">
        <f>VLOOKUP($A1625,Sheet4!$A:$B,2,0)</f>
        <v>MG Cookie Duet 1-12BK</v>
      </c>
      <c r="F1625" s="3" t="s">
        <v>844</v>
      </c>
    </row>
    <row r="1626" spans="1:6" x14ac:dyDescent="0.25">
      <c r="A1626" s="3">
        <v>62711311</v>
      </c>
      <c r="B1626" s="3">
        <v>3910</v>
      </c>
      <c r="C1626" s="24">
        <v>760</v>
      </c>
      <c r="D1626" s="4">
        <v>46078</v>
      </c>
      <c r="E1626" t="str">
        <f>VLOOKUP($A1626,Sheet4!$A:$B,2,0)</f>
        <v>MG Cookie Duet 1-12BK</v>
      </c>
      <c r="F1626" s="3" t="s">
        <v>844</v>
      </c>
    </row>
    <row r="1627" spans="1:6" x14ac:dyDescent="0.25">
      <c r="A1627" s="3">
        <v>62711311</v>
      </c>
      <c r="B1627" s="3">
        <v>3910</v>
      </c>
      <c r="C1627" s="24">
        <v>373</v>
      </c>
      <c r="D1627" s="4">
        <v>46083</v>
      </c>
      <c r="E1627" t="str">
        <f>VLOOKUP($A1627,Sheet4!$A:$B,2,0)</f>
        <v>MG Cookie Duet 1-12BK</v>
      </c>
      <c r="F1627" s="3" t="s">
        <v>844</v>
      </c>
    </row>
    <row r="1628" spans="1:6" x14ac:dyDescent="0.25">
      <c r="A1628" s="3">
        <v>62711314</v>
      </c>
      <c r="B1628" s="3">
        <v>3910</v>
      </c>
      <c r="C1628" s="24">
        <v>11200</v>
      </c>
      <c r="D1628" s="4">
        <v>46083</v>
      </c>
      <c r="E1628" t="str">
        <f>VLOOKUP($A1628,Sheet4!$A:$B,2,0)</f>
        <v>MG Double Caramel 1-12 BK</v>
      </c>
      <c r="F1628" s="3" t="s">
        <v>106</v>
      </c>
    </row>
    <row r="1629" spans="1:6" x14ac:dyDescent="0.25">
      <c r="A1629" s="3">
        <v>62711314</v>
      </c>
      <c r="B1629" s="3">
        <v>3910</v>
      </c>
      <c r="C1629" s="24">
        <v>2688</v>
      </c>
      <c r="D1629" s="4">
        <v>46084</v>
      </c>
      <c r="E1629" t="str">
        <f>VLOOKUP($A1629,Sheet4!$A:$B,2,0)</f>
        <v>MG Double Caramel 1-12 BK</v>
      </c>
      <c r="F1629" s="3" t="s">
        <v>106</v>
      </c>
    </row>
    <row r="1630" spans="1:6" x14ac:dyDescent="0.25">
      <c r="A1630" s="3">
        <v>62711314</v>
      </c>
      <c r="B1630" s="3">
        <v>3910</v>
      </c>
      <c r="C1630" s="24">
        <v>-3</v>
      </c>
      <c r="D1630" s="4">
        <v>46087</v>
      </c>
      <c r="E1630" t="str">
        <f>VLOOKUP($A1630,Sheet4!$A:$B,2,0)</f>
        <v>MG Double Caramel 1-12 BK</v>
      </c>
      <c r="F1630" s="3" t="s">
        <v>106</v>
      </c>
    </row>
    <row r="1631" spans="1:6" x14ac:dyDescent="0.25">
      <c r="A1631" s="3">
        <v>62711314</v>
      </c>
      <c r="B1631" s="3">
        <v>3910</v>
      </c>
      <c r="C1631" s="24">
        <v>12096</v>
      </c>
      <c r="D1631" s="4">
        <v>46084</v>
      </c>
      <c r="E1631" t="str">
        <f>VLOOKUP($A1631,Sheet4!$A:$B,2,0)</f>
        <v>MG Double Caramel 1-12 BK</v>
      </c>
      <c r="F1631" s="3" t="s">
        <v>106</v>
      </c>
    </row>
    <row r="1632" spans="1:6" x14ac:dyDescent="0.25">
      <c r="A1632" s="3">
        <v>62711374</v>
      </c>
      <c r="B1632" s="3">
        <v>3910</v>
      </c>
      <c r="C1632" s="24">
        <v>6660</v>
      </c>
      <c r="D1632" s="4">
        <v>46090</v>
      </c>
      <c r="E1632" t="str">
        <f>VLOOKUP($A1632,Sheet4!$A:$B,2,0)</f>
        <v>MG Mini Dark 6-4PK</v>
      </c>
      <c r="F1632" s="3" t="s">
        <v>58</v>
      </c>
    </row>
    <row r="1633" spans="1:6" x14ac:dyDescent="0.25">
      <c r="A1633" s="3">
        <v>62711374</v>
      </c>
      <c r="B1633" s="3">
        <v>3910</v>
      </c>
      <c r="C1633" s="24">
        <v>1080</v>
      </c>
      <c r="D1633" s="4">
        <v>46091</v>
      </c>
      <c r="E1633" t="str">
        <f>VLOOKUP($A1633,Sheet4!$A:$B,2,0)</f>
        <v>MG Mini Dark 6-4PK</v>
      </c>
      <c r="F1633" s="3" t="s">
        <v>58</v>
      </c>
    </row>
    <row r="1634" spans="1:6" x14ac:dyDescent="0.25">
      <c r="A1634" s="3">
        <v>62711374</v>
      </c>
      <c r="B1634" s="3">
        <v>3910</v>
      </c>
      <c r="C1634" s="24">
        <v>1511</v>
      </c>
      <c r="D1634" s="4">
        <v>46091</v>
      </c>
      <c r="E1634" t="str">
        <f>VLOOKUP($A1634,Sheet4!$A:$B,2,0)</f>
        <v>MG Mini Dark 6-4PK</v>
      </c>
      <c r="F1634" s="3" t="s">
        <v>58</v>
      </c>
    </row>
    <row r="1635" spans="1:6" x14ac:dyDescent="0.25">
      <c r="A1635" s="3">
        <v>62712612</v>
      </c>
      <c r="B1635" s="3">
        <v>3910</v>
      </c>
      <c r="C1635" s="24">
        <v>1039</v>
      </c>
      <c r="D1635" s="4">
        <v>46086</v>
      </c>
      <c r="E1635" t="str">
        <f>VLOOKUP($A1635,Sheet4!$A:$B,2,0)</f>
        <v>MG Strawberry n Cream 12-3PK</v>
      </c>
      <c r="F1635" s="3" t="s">
        <v>31</v>
      </c>
    </row>
    <row r="1636" spans="1:6" x14ac:dyDescent="0.25">
      <c r="A1636" s="3">
        <v>62712617</v>
      </c>
      <c r="B1636" s="3">
        <v>3910</v>
      </c>
      <c r="C1636" s="24">
        <v>3778</v>
      </c>
      <c r="D1636" s="4">
        <v>46092</v>
      </c>
      <c r="E1636" t="str">
        <f>VLOOKUP($A1636,Sheet4!$A:$B,2,0)</f>
        <v>MG Classic 12-3PK</v>
      </c>
      <c r="F1636" s="3" t="s">
        <v>58</v>
      </c>
    </row>
    <row r="1637" spans="1:6" x14ac:dyDescent="0.25">
      <c r="A1637" s="3">
        <v>62712617</v>
      </c>
      <c r="B1637" s="3">
        <v>3910</v>
      </c>
      <c r="C1637" s="24">
        <v>3627</v>
      </c>
      <c r="D1637" s="4">
        <v>46091</v>
      </c>
      <c r="E1637" t="str">
        <f>VLOOKUP($A1637,Sheet4!$A:$B,2,0)</f>
        <v>MG Classic 12-3PK</v>
      </c>
      <c r="F1637" s="3" t="s">
        <v>58</v>
      </c>
    </row>
    <row r="1638" spans="1:6" x14ac:dyDescent="0.25">
      <c r="A1638" s="3">
        <v>62712617</v>
      </c>
      <c r="B1638" s="3">
        <v>3910</v>
      </c>
      <c r="C1638" s="24">
        <v>351</v>
      </c>
      <c r="D1638" s="4">
        <v>46092</v>
      </c>
      <c r="E1638" t="str">
        <f>VLOOKUP($A1638,Sheet4!$A:$B,2,0)</f>
        <v>MG Classic 12-3PK</v>
      </c>
      <c r="F1638" s="3" t="s">
        <v>58</v>
      </c>
    </row>
    <row r="1639" spans="1:6" x14ac:dyDescent="0.25">
      <c r="A1639" s="3">
        <v>62712618</v>
      </c>
      <c r="B1639" s="3">
        <v>3910</v>
      </c>
      <c r="C1639" s="24">
        <v>3978</v>
      </c>
      <c r="D1639" s="4">
        <v>46078</v>
      </c>
      <c r="E1639" t="str">
        <f>VLOOKUP($A1639,Sheet4!$A:$B,2,0)</f>
        <v>MG Cookie Duet 12-3PK</v>
      </c>
      <c r="F1639" s="3" t="s">
        <v>106</v>
      </c>
    </row>
    <row r="1640" spans="1:6" x14ac:dyDescent="0.25">
      <c r="A1640" s="3">
        <v>62712618</v>
      </c>
      <c r="B1640" s="3">
        <v>3910</v>
      </c>
      <c r="C1640" s="24">
        <v>351</v>
      </c>
      <c r="D1640" s="4">
        <v>46079</v>
      </c>
      <c r="E1640" t="str">
        <f>VLOOKUP($A1640,Sheet4!$A:$B,2,0)</f>
        <v>MG Cookie Duet 12-3PK</v>
      </c>
      <c r="F1640" s="3" t="s">
        <v>106</v>
      </c>
    </row>
    <row r="1641" spans="1:6" x14ac:dyDescent="0.25">
      <c r="A1641" s="3">
        <v>62712618</v>
      </c>
      <c r="B1641" s="3">
        <v>3910</v>
      </c>
      <c r="C1641" s="24">
        <v>1404</v>
      </c>
      <c r="D1641" s="4">
        <v>46079</v>
      </c>
      <c r="E1641" t="str">
        <f>VLOOKUP($A1641,Sheet4!$A:$B,2,0)</f>
        <v>MG Cookie Duet 12-3PK</v>
      </c>
      <c r="F1641" s="3" t="s">
        <v>106</v>
      </c>
    </row>
    <row r="1642" spans="1:6" x14ac:dyDescent="0.25">
      <c r="A1642" s="3">
        <v>62712618</v>
      </c>
      <c r="B1642" s="3">
        <v>3910</v>
      </c>
      <c r="C1642" s="24">
        <v>2094</v>
      </c>
      <c r="D1642" s="4">
        <v>46080</v>
      </c>
      <c r="E1642" t="str">
        <f>VLOOKUP($A1642,Sheet4!$A:$B,2,0)</f>
        <v>MG Cookie Duet 12-3PK</v>
      </c>
      <c r="F1642" s="3" t="s">
        <v>106</v>
      </c>
    </row>
    <row r="1643" spans="1:6" x14ac:dyDescent="0.25">
      <c r="A1643" s="3">
        <v>62712618</v>
      </c>
      <c r="B1643" s="3">
        <v>3910</v>
      </c>
      <c r="C1643" s="24">
        <v>-2</v>
      </c>
      <c r="D1643" s="4">
        <v>46084</v>
      </c>
      <c r="E1643" t="str">
        <f>VLOOKUP($A1643,Sheet4!$A:$B,2,0)</f>
        <v>MG Cookie Duet 12-3PK</v>
      </c>
      <c r="F1643" s="3" t="s">
        <v>106</v>
      </c>
    </row>
    <row r="1644" spans="1:6" x14ac:dyDescent="0.25">
      <c r="A1644" s="3">
        <v>62712623</v>
      </c>
      <c r="B1644" s="3">
        <v>3910</v>
      </c>
      <c r="C1644" s="24">
        <v>5517</v>
      </c>
      <c r="D1644" s="4">
        <v>46093</v>
      </c>
      <c r="E1644" t="str">
        <f>VLOOKUP($A1644,Sheet4!$A:$B,2,0)</f>
        <v>MG Double Caramel 12-3PK</v>
      </c>
      <c r="F1644" s="3" t="s">
        <v>58</v>
      </c>
    </row>
    <row r="1645" spans="1:6" x14ac:dyDescent="0.25">
      <c r="A1645" s="3">
        <v>62712623</v>
      </c>
      <c r="B1645" s="3">
        <v>3910</v>
      </c>
      <c r="C1645" s="24">
        <v>450</v>
      </c>
      <c r="D1645" s="4">
        <v>46094</v>
      </c>
      <c r="E1645" t="str">
        <f>VLOOKUP($A1645,Sheet4!$A:$B,2,0)</f>
        <v>MG Double Caramel 12-3PK</v>
      </c>
      <c r="F1645" s="3" t="s">
        <v>58</v>
      </c>
    </row>
    <row r="1646" spans="1:6" x14ac:dyDescent="0.25">
      <c r="A1646" s="3">
        <v>62712623</v>
      </c>
      <c r="B1646" s="3">
        <v>3910</v>
      </c>
      <c r="C1646" s="24">
        <v>2427</v>
      </c>
      <c r="D1646" s="4">
        <v>46094</v>
      </c>
      <c r="E1646" t="str">
        <f>VLOOKUP($A1646,Sheet4!$A:$B,2,0)</f>
        <v>MG Double Caramel 12-3PK</v>
      </c>
      <c r="F1646" s="3" t="s">
        <v>58</v>
      </c>
    </row>
    <row r="1647" spans="1:6" x14ac:dyDescent="0.25">
      <c r="A1647" s="3">
        <v>62712624</v>
      </c>
      <c r="B1647" s="3">
        <v>3910</v>
      </c>
      <c r="C1647" s="24">
        <v>4797</v>
      </c>
      <c r="D1647" s="4">
        <v>46080</v>
      </c>
      <c r="E1647" t="str">
        <f>VLOOKUP($A1647,Sheet4!$A:$B,2,0)</f>
        <v>MG Double Raspberry 12-3PK</v>
      </c>
      <c r="F1647" s="3" t="s">
        <v>58</v>
      </c>
    </row>
    <row r="1648" spans="1:6" x14ac:dyDescent="0.25">
      <c r="A1648" s="3">
        <v>62712624</v>
      </c>
      <c r="B1648" s="3">
        <v>3910</v>
      </c>
      <c r="C1648" s="24">
        <v>1163</v>
      </c>
      <c r="D1648" s="4">
        <v>46081</v>
      </c>
      <c r="E1648" t="str">
        <f>VLOOKUP($A1648,Sheet4!$A:$B,2,0)</f>
        <v>MG Double Raspberry 12-3PK</v>
      </c>
      <c r="F1648" s="3" t="s">
        <v>58</v>
      </c>
    </row>
    <row r="1649" spans="1:6" x14ac:dyDescent="0.25">
      <c r="A1649" s="3">
        <v>62722055</v>
      </c>
      <c r="B1649" s="3">
        <v>3910</v>
      </c>
      <c r="C1649" s="24">
        <v>3276</v>
      </c>
      <c r="D1649" s="4">
        <v>46100</v>
      </c>
      <c r="E1649" t="str">
        <f>VLOOKUP($A1649,Sheet4!$A:$B,2,0)</f>
        <v>MG Double Chocolate 12-3PK</v>
      </c>
      <c r="F1649" s="3" t="s">
        <v>31</v>
      </c>
    </row>
    <row r="1650" spans="1:6" x14ac:dyDescent="0.25">
      <c r="A1650" s="3">
        <v>62722055</v>
      </c>
      <c r="B1650" s="3">
        <v>3910</v>
      </c>
      <c r="C1650" s="24">
        <v>702</v>
      </c>
      <c r="D1650" s="4">
        <v>46101</v>
      </c>
      <c r="E1650" t="str">
        <f>VLOOKUP($A1650,Sheet4!$A:$B,2,0)</f>
        <v>MG Double Chocolate 12-3PK</v>
      </c>
      <c r="F1650" s="3" t="s">
        <v>31</v>
      </c>
    </row>
    <row r="1651" spans="1:6" x14ac:dyDescent="0.25">
      <c r="A1651" s="3">
        <v>62722055</v>
      </c>
      <c r="B1651" s="3">
        <v>3910</v>
      </c>
      <c r="C1651" s="24">
        <v>973</v>
      </c>
      <c r="D1651" s="4">
        <v>46101</v>
      </c>
      <c r="E1651" t="str">
        <f>VLOOKUP($A1651,Sheet4!$A:$B,2,0)</f>
        <v>MG Double Chocolate 12-3PK</v>
      </c>
      <c r="F1651" s="3" t="s">
        <v>31</v>
      </c>
    </row>
    <row r="1652" spans="1:6" x14ac:dyDescent="0.25">
      <c r="A1652" s="3">
        <v>64354009</v>
      </c>
      <c r="B1652" s="3">
        <v>3910</v>
      </c>
      <c r="C1652" s="24">
        <v>249</v>
      </c>
      <c r="D1652" s="4">
        <v>46076</v>
      </c>
      <c r="E1652" t="str">
        <f>VLOOKUP($A1652,Sheet4!$A:$B,2,0)</f>
        <v>PS Creamsicle Cream Bars 12-12PK</v>
      </c>
      <c r="F1652" s="3" t="s">
        <v>844</v>
      </c>
    </row>
    <row r="1653" spans="1:6" x14ac:dyDescent="0.25">
      <c r="A1653" s="3">
        <v>64354009</v>
      </c>
      <c r="B1653" s="3">
        <v>3910</v>
      </c>
      <c r="C1653" s="24">
        <v>1224</v>
      </c>
      <c r="D1653" s="4">
        <v>46076</v>
      </c>
      <c r="E1653" t="str">
        <f>VLOOKUP($A1653,Sheet4!$A:$B,2,0)</f>
        <v>PS Creamsicle Cream Bars 12-12PK</v>
      </c>
      <c r="F1653" s="3" t="s">
        <v>844</v>
      </c>
    </row>
    <row r="1654" spans="1:6" x14ac:dyDescent="0.25">
      <c r="A1654" s="3">
        <v>64354009</v>
      </c>
      <c r="B1654" s="3">
        <v>3910</v>
      </c>
      <c r="C1654" s="24">
        <v>17</v>
      </c>
      <c r="D1654" s="4">
        <v>46077</v>
      </c>
      <c r="E1654" t="str">
        <f>VLOOKUP($A1654,Sheet4!$A:$B,2,0)</f>
        <v>PS Creamsicle Cream Bars 12-12PK</v>
      </c>
      <c r="F1654" s="3" t="s">
        <v>844</v>
      </c>
    </row>
    <row r="1655" spans="1:6" x14ac:dyDescent="0.25">
      <c r="A1655" s="3">
        <v>64354009</v>
      </c>
      <c r="B1655" s="3">
        <v>3910</v>
      </c>
      <c r="C1655" s="24">
        <v>6</v>
      </c>
      <c r="D1655" s="4">
        <v>46078</v>
      </c>
      <c r="E1655" t="str">
        <f>VLOOKUP($A1655,Sheet4!$A:$B,2,0)</f>
        <v>PS Creamsicle Cream Bars 12-12PK</v>
      </c>
      <c r="F1655" s="3" t="s">
        <v>844</v>
      </c>
    </row>
    <row r="1656" spans="1:6" x14ac:dyDescent="0.25">
      <c r="A1656" s="3">
        <v>64354009</v>
      </c>
      <c r="B1656" s="3">
        <v>3910</v>
      </c>
      <c r="C1656" s="24">
        <v>2160</v>
      </c>
      <c r="D1656" s="4">
        <v>46077</v>
      </c>
      <c r="E1656" t="str">
        <f>VLOOKUP($A1656,Sheet4!$A:$B,2,0)</f>
        <v>PS Creamsicle Cream Bars 12-12PK</v>
      </c>
      <c r="F1656" s="3" t="s">
        <v>844</v>
      </c>
    </row>
    <row r="1657" spans="1:6" x14ac:dyDescent="0.25">
      <c r="A1657" s="3">
        <v>64354009</v>
      </c>
      <c r="B1657" s="3">
        <v>3910</v>
      </c>
      <c r="C1657" s="24">
        <v>288</v>
      </c>
      <c r="D1657" s="4">
        <v>46078</v>
      </c>
      <c r="E1657" t="str">
        <f>VLOOKUP($A1657,Sheet4!$A:$B,2,0)</f>
        <v>PS Creamsicle Cream Bars 12-12PK</v>
      </c>
      <c r="F1657" s="3" t="s">
        <v>844</v>
      </c>
    </row>
    <row r="1658" spans="1:6" x14ac:dyDescent="0.25">
      <c r="A1658" s="3">
        <v>64354009</v>
      </c>
      <c r="B1658" s="3">
        <v>3910</v>
      </c>
      <c r="C1658" s="24">
        <v>1584</v>
      </c>
      <c r="D1658" s="4">
        <v>46078</v>
      </c>
      <c r="E1658" t="str">
        <f>VLOOKUP($A1658,Sheet4!$A:$B,2,0)</f>
        <v>PS Creamsicle Cream Bars 12-12PK</v>
      </c>
      <c r="F1658" s="3" t="s">
        <v>844</v>
      </c>
    </row>
    <row r="1659" spans="1:6" x14ac:dyDescent="0.25">
      <c r="A1659" s="3">
        <v>64354009</v>
      </c>
      <c r="B1659" s="3">
        <v>3910</v>
      </c>
      <c r="C1659" s="24">
        <v>216</v>
      </c>
      <c r="D1659" s="4">
        <v>46079</v>
      </c>
      <c r="E1659" t="str">
        <f>VLOOKUP($A1659,Sheet4!$A:$B,2,0)</f>
        <v>PS Creamsicle Cream Bars 12-12PK</v>
      </c>
      <c r="F1659" s="3" t="s">
        <v>844</v>
      </c>
    </row>
    <row r="1660" spans="1:6" x14ac:dyDescent="0.25">
      <c r="A1660" s="3">
        <v>64354009</v>
      </c>
      <c r="B1660" s="3">
        <v>3910</v>
      </c>
      <c r="C1660" s="24">
        <v>2304</v>
      </c>
      <c r="D1660" s="4">
        <v>46079</v>
      </c>
      <c r="E1660" t="str">
        <f>VLOOKUP($A1660,Sheet4!$A:$B,2,0)</f>
        <v>PS Creamsicle Cream Bars 12-12PK</v>
      </c>
      <c r="F1660" s="3" t="s">
        <v>844</v>
      </c>
    </row>
    <row r="1661" spans="1:6" x14ac:dyDescent="0.25">
      <c r="A1661" s="3">
        <v>64354009</v>
      </c>
      <c r="B1661" s="3">
        <v>3910</v>
      </c>
      <c r="C1661" s="24">
        <v>216</v>
      </c>
      <c r="D1661" s="4">
        <v>46080</v>
      </c>
      <c r="E1661" t="str">
        <f>VLOOKUP($A1661,Sheet4!$A:$B,2,0)</f>
        <v>PS Creamsicle Cream Bars 12-12PK</v>
      </c>
      <c r="F1661" s="3" t="s">
        <v>844</v>
      </c>
    </row>
    <row r="1662" spans="1:6" x14ac:dyDescent="0.25">
      <c r="A1662" s="3">
        <v>64354009</v>
      </c>
      <c r="B1662" s="3">
        <v>3910</v>
      </c>
      <c r="C1662" s="24">
        <v>-1</v>
      </c>
      <c r="D1662" s="4">
        <v>46084</v>
      </c>
      <c r="E1662" t="str">
        <f>VLOOKUP($A1662,Sheet4!$A:$B,2,0)</f>
        <v>PS Creamsicle Cream Bars 12-12PK</v>
      </c>
      <c r="F1662" s="3" t="s">
        <v>844</v>
      </c>
    </row>
    <row r="1663" spans="1:6" x14ac:dyDescent="0.25">
      <c r="A1663" s="3">
        <v>64354009</v>
      </c>
      <c r="B1663" s="3">
        <v>3910</v>
      </c>
      <c r="C1663" s="24">
        <v>1346</v>
      </c>
      <c r="D1663" s="4">
        <v>46080</v>
      </c>
      <c r="E1663" t="str">
        <f>VLOOKUP($A1663,Sheet4!$A:$B,2,0)</f>
        <v>PS Creamsicle Cream Bars 12-12PK</v>
      </c>
      <c r="F1663" s="3" t="s">
        <v>844</v>
      </c>
    </row>
    <row r="1664" spans="1:6" x14ac:dyDescent="0.25">
      <c r="A1664" s="3">
        <v>64354009</v>
      </c>
      <c r="B1664" s="3">
        <v>3910</v>
      </c>
      <c r="C1664" s="24">
        <v>922</v>
      </c>
      <c r="D1664" s="4">
        <v>46104</v>
      </c>
      <c r="E1664" t="str">
        <f>VLOOKUP($A1664,Sheet4!$A:$B,2,0)</f>
        <v>PS Creamsicle Cream Bars 12-12PK</v>
      </c>
      <c r="F1664" s="3" t="s">
        <v>845</v>
      </c>
    </row>
    <row r="1665" spans="1:6" x14ac:dyDescent="0.25">
      <c r="A1665" s="3">
        <v>64354009</v>
      </c>
      <c r="B1665" s="3">
        <v>3910</v>
      </c>
      <c r="C1665" s="24">
        <v>288</v>
      </c>
      <c r="D1665" s="4">
        <v>46105</v>
      </c>
      <c r="E1665" t="str">
        <f>VLOOKUP($A1665,Sheet4!$A:$B,2,0)</f>
        <v>PS Creamsicle Cream Bars 12-12PK</v>
      </c>
      <c r="F1665" s="3" t="s">
        <v>845</v>
      </c>
    </row>
    <row r="1666" spans="1:6" x14ac:dyDescent="0.25">
      <c r="A1666" s="3">
        <v>64354009</v>
      </c>
      <c r="B1666" s="3">
        <v>3910</v>
      </c>
      <c r="C1666" s="24">
        <v>2230</v>
      </c>
      <c r="D1666" s="4">
        <v>46105</v>
      </c>
      <c r="E1666" t="str">
        <f>VLOOKUP($A1666,Sheet4!$A:$B,2,0)</f>
        <v>PS Creamsicle Cream Bars 12-12PK</v>
      </c>
      <c r="F1666" s="3" t="s">
        <v>845</v>
      </c>
    </row>
    <row r="1667" spans="1:6" x14ac:dyDescent="0.25">
      <c r="A1667" s="3">
        <v>64364066</v>
      </c>
      <c r="B1667" s="3">
        <v>3910</v>
      </c>
      <c r="C1667" s="24">
        <v>7680</v>
      </c>
      <c r="D1667" s="4">
        <v>46090</v>
      </c>
      <c r="E1667" t="str">
        <f>VLOOKUP($A1667,Sheet4!$A:$B,2,0)</f>
        <v>BJ CA-IC-UneAffaireEclair-8 473ML</v>
      </c>
      <c r="F1667" s="3" t="s">
        <v>106</v>
      </c>
    </row>
    <row r="1668" spans="1:6" x14ac:dyDescent="0.25">
      <c r="A1668" s="3">
        <v>64364066</v>
      </c>
      <c r="B1668" s="3">
        <v>3910</v>
      </c>
      <c r="C1668" s="24">
        <v>480</v>
      </c>
      <c r="D1668" s="4">
        <v>46091</v>
      </c>
      <c r="E1668" t="str">
        <f>VLOOKUP($A1668,Sheet4!$A:$B,2,0)</f>
        <v>BJ CA-IC-UneAffaireEclair-8 473ML</v>
      </c>
      <c r="F1668" s="3" t="s">
        <v>106</v>
      </c>
    </row>
    <row r="1669" spans="1:6" x14ac:dyDescent="0.25">
      <c r="A1669" s="3">
        <v>64379123</v>
      </c>
      <c r="B1669" s="3">
        <v>3910</v>
      </c>
      <c r="C1669" s="24">
        <v>391</v>
      </c>
      <c r="D1669" s="4">
        <v>46085</v>
      </c>
      <c r="E1669" t="str">
        <f>VLOOKUP($A1669,Sheet4!$A:$B,2,0)</f>
        <v>KL ORIG Club Pack 1-24PK</v>
      </c>
      <c r="F1669" s="3" t="s">
        <v>58</v>
      </c>
    </row>
    <row r="1670" spans="1:6" x14ac:dyDescent="0.25">
      <c r="A1670" s="3">
        <v>64379123</v>
      </c>
      <c r="B1670" s="3">
        <v>3910</v>
      </c>
      <c r="C1670" s="24">
        <v>539</v>
      </c>
      <c r="D1670" s="4">
        <v>46085</v>
      </c>
      <c r="E1670" t="str">
        <f>VLOOKUP($A1670,Sheet4!$A:$B,2,0)</f>
        <v>KL ORIG Club Pack 1-24PK</v>
      </c>
      <c r="F1670" s="3" t="s">
        <v>58</v>
      </c>
    </row>
    <row r="1671" spans="1:6" x14ac:dyDescent="0.25">
      <c r="A1671" s="3">
        <v>64379123</v>
      </c>
      <c r="B1671" s="3">
        <v>3910</v>
      </c>
      <c r="C1671" s="24">
        <v>321</v>
      </c>
      <c r="D1671" s="4">
        <v>46086</v>
      </c>
      <c r="E1671" t="str">
        <f>VLOOKUP($A1671,Sheet4!$A:$B,2,0)</f>
        <v>KL ORIG Club Pack 1-24PK</v>
      </c>
      <c r="F1671" s="3" t="s">
        <v>58</v>
      </c>
    </row>
    <row r="1672" spans="1:6" x14ac:dyDescent="0.25">
      <c r="A1672" s="3">
        <v>64379123</v>
      </c>
      <c r="B1672" s="3">
        <v>3910</v>
      </c>
      <c r="C1672" s="24">
        <v>3864</v>
      </c>
      <c r="D1672" s="4">
        <v>46086</v>
      </c>
      <c r="E1672" t="str">
        <f>VLOOKUP($A1672,Sheet4!$A:$B,2,0)</f>
        <v>KL ORIG Club Pack 1-24PK</v>
      </c>
      <c r="F1672" s="3" t="s">
        <v>58</v>
      </c>
    </row>
    <row r="1673" spans="1:6" x14ac:dyDescent="0.25">
      <c r="A1673" s="3">
        <v>64379123</v>
      </c>
      <c r="B1673" s="3">
        <v>3910</v>
      </c>
      <c r="C1673" s="24">
        <v>644</v>
      </c>
      <c r="D1673" s="4">
        <v>46087</v>
      </c>
      <c r="E1673" t="str">
        <f>VLOOKUP($A1673,Sheet4!$A:$B,2,0)</f>
        <v>KL ORIG Club Pack 1-24PK</v>
      </c>
      <c r="F1673" s="3" t="s">
        <v>58</v>
      </c>
    </row>
    <row r="1674" spans="1:6" x14ac:dyDescent="0.25">
      <c r="A1674" s="3">
        <v>64379123</v>
      </c>
      <c r="B1674" s="3">
        <v>3910</v>
      </c>
      <c r="C1674" s="24">
        <v>2619</v>
      </c>
      <c r="D1674" s="4">
        <v>46087</v>
      </c>
      <c r="E1674" t="str">
        <f>VLOOKUP($A1674,Sheet4!$A:$B,2,0)</f>
        <v>KL ORIG Club Pack 1-24PK</v>
      </c>
      <c r="F1674" s="3" t="s">
        <v>58</v>
      </c>
    </row>
    <row r="1675" spans="1:6" x14ac:dyDescent="0.25">
      <c r="A1675" s="3">
        <v>64379123</v>
      </c>
      <c r="B1675" s="3">
        <v>3910</v>
      </c>
      <c r="C1675" s="24">
        <v>960</v>
      </c>
      <c r="D1675" s="4">
        <v>46090</v>
      </c>
      <c r="E1675" t="str">
        <f>VLOOKUP($A1675,Sheet4!$A:$B,2,0)</f>
        <v>KL ORIG Club Pack 1-24PK</v>
      </c>
      <c r="F1675" s="3" t="s">
        <v>58</v>
      </c>
    </row>
    <row r="1676" spans="1:6" x14ac:dyDescent="0.25">
      <c r="A1676" s="3">
        <v>64379123</v>
      </c>
      <c r="B1676" s="3">
        <v>3910</v>
      </c>
      <c r="C1676" s="24">
        <v>638</v>
      </c>
      <c r="D1676" s="4">
        <v>46091</v>
      </c>
      <c r="E1676" t="str">
        <f>VLOOKUP($A1676,Sheet4!$A:$B,2,0)</f>
        <v>KL ORIG Club Pack 1-24PK</v>
      </c>
      <c r="F1676" s="3" t="s">
        <v>58</v>
      </c>
    </row>
    <row r="1677" spans="1:6" x14ac:dyDescent="0.25">
      <c r="A1677" s="3">
        <v>64379123</v>
      </c>
      <c r="B1677" s="3">
        <v>3910</v>
      </c>
      <c r="C1677" s="24">
        <v>-1</v>
      </c>
      <c r="D1677" s="4">
        <v>46092</v>
      </c>
      <c r="E1677" t="str">
        <f>VLOOKUP($A1677,Sheet4!$A:$B,2,0)</f>
        <v>KL ORIG Club Pack 1-24PK</v>
      </c>
      <c r="F1677" s="3" t="s">
        <v>58</v>
      </c>
    </row>
    <row r="1678" spans="1:6" x14ac:dyDescent="0.25">
      <c r="A1678" s="3">
        <v>64379123</v>
      </c>
      <c r="B1678" s="3">
        <v>3910</v>
      </c>
      <c r="C1678" s="24">
        <v>798</v>
      </c>
      <c r="D1678" s="4">
        <v>46092</v>
      </c>
      <c r="E1678" t="str">
        <f>VLOOKUP($A1678,Sheet4!$A:$B,2,0)</f>
        <v>KL ORIG Club Pack 1-24PK</v>
      </c>
      <c r="F1678" s="3" t="s">
        <v>58</v>
      </c>
    </row>
    <row r="1679" spans="1:6" x14ac:dyDescent="0.25">
      <c r="A1679" s="3">
        <v>64379123</v>
      </c>
      <c r="B1679" s="3">
        <v>3910</v>
      </c>
      <c r="C1679" s="24">
        <v>966</v>
      </c>
      <c r="D1679" s="4">
        <v>46093</v>
      </c>
      <c r="E1679" t="str">
        <f>VLOOKUP($A1679,Sheet4!$A:$B,2,0)</f>
        <v>KL ORIG Club Pack 1-24PK</v>
      </c>
      <c r="F1679" s="3" t="s">
        <v>58</v>
      </c>
    </row>
    <row r="1680" spans="1:6" x14ac:dyDescent="0.25">
      <c r="A1680" s="3">
        <v>64379123</v>
      </c>
      <c r="B1680" s="3">
        <v>3910</v>
      </c>
      <c r="C1680" s="24">
        <v>322</v>
      </c>
      <c r="D1680" s="4">
        <v>46094</v>
      </c>
      <c r="E1680" t="str">
        <f>VLOOKUP($A1680,Sheet4!$A:$B,2,0)</f>
        <v>KL ORIG Club Pack 1-24PK</v>
      </c>
      <c r="F1680" s="3" t="s">
        <v>58</v>
      </c>
    </row>
    <row r="1681" spans="1:6" x14ac:dyDescent="0.25">
      <c r="A1681" s="3">
        <v>64379123</v>
      </c>
      <c r="B1681" s="3">
        <v>3910</v>
      </c>
      <c r="C1681" s="24">
        <v>2342</v>
      </c>
      <c r="D1681" s="4">
        <v>46094</v>
      </c>
      <c r="E1681" t="str">
        <f>VLOOKUP($A1681,Sheet4!$A:$B,2,0)</f>
        <v>KL ORIG Club Pack 1-24PK</v>
      </c>
      <c r="F1681" s="3" t="s">
        <v>58</v>
      </c>
    </row>
    <row r="1682" spans="1:6" x14ac:dyDescent="0.25">
      <c r="A1682" s="3">
        <v>64380012</v>
      </c>
      <c r="B1682" s="3">
        <v>3910</v>
      </c>
      <c r="C1682" s="24">
        <v>276</v>
      </c>
      <c r="D1682" s="4">
        <v>46077</v>
      </c>
      <c r="E1682" t="str">
        <f>VLOOKUP($A1682,Sheet4!$A:$B,2,0)</f>
        <v>KL Giant Original Bar 1-24PK</v>
      </c>
      <c r="F1682" s="3" t="s">
        <v>58</v>
      </c>
    </row>
    <row r="1683" spans="1:6" x14ac:dyDescent="0.25">
      <c r="A1683" s="3">
        <v>64380012</v>
      </c>
      <c r="B1683" s="3">
        <v>3910</v>
      </c>
      <c r="C1683" s="24">
        <v>234</v>
      </c>
      <c r="D1683" s="4">
        <v>46078</v>
      </c>
      <c r="E1683" t="str">
        <f>VLOOKUP($A1683,Sheet4!$A:$B,2,0)</f>
        <v>KL Giant Original Bar 1-24PK</v>
      </c>
      <c r="F1683" s="3" t="s">
        <v>58</v>
      </c>
    </row>
    <row r="1684" spans="1:6" x14ac:dyDescent="0.25">
      <c r="A1684" s="3">
        <v>64380012</v>
      </c>
      <c r="B1684" s="3">
        <v>3910</v>
      </c>
      <c r="C1684" s="24">
        <v>2760</v>
      </c>
      <c r="D1684" s="4">
        <v>46078</v>
      </c>
      <c r="E1684" t="str">
        <f>VLOOKUP($A1684,Sheet4!$A:$B,2,0)</f>
        <v>KL Giant Original Bar 1-24PK</v>
      </c>
      <c r="F1684" s="3" t="s">
        <v>58</v>
      </c>
    </row>
    <row r="1685" spans="1:6" x14ac:dyDescent="0.25">
      <c r="A1685" s="3">
        <v>64380012</v>
      </c>
      <c r="B1685" s="3">
        <v>3910</v>
      </c>
      <c r="C1685" s="24">
        <v>552</v>
      </c>
      <c r="D1685" s="4">
        <v>46079</v>
      </c>
      <c r="E1685" t="str">
        <f>VLOOKUP($A1685,Sheet4!$A:$B,2,0)</f>
        <v>KL Giant Original Bar 1-24PK</v>
      </c>
      <c r="F1685" s="3" t="s">
        <v>58</v>
      </c>
    </row>
    <row r="1686" spans="1:6" x14ac:dyDescent="0.25">
      <c r="A1686" s="3">
        <v>64380012</v>
      </c>
      <c r="B1686" s="3">
        <v>3910</v>
      </c>
      <c r="C1686" s="24">
        <v>3864</v>
      </c>
      <c r="D1686" s="4">
        <v>46079</v>
      </c>
      <c r="E1686" t="str">
        <f>VLOOKUP($A1686,Sheet4!$A:$B,2,0)</f>
        <v>KL Giant Original Bar 1-24PK</v>
      </c>
      <c r="F1686" s="3" t="s">
        <v>58</v>
      </c>
    </row>
    <row r="1687" spans="1:6" x14ac:dyDescent="0.25">
      <c r="A1687" s="3">
        <v>64380012</v>
      </c>
      <c r="B1687" s="3">
        <v>3910</v>
      </c>
      <c r="C1687" s="24">
        <v>552</v>
      </c>
      <c r="D1687" s="4">
        <v>46080</v>
      </c>
      <c r="E1687" t="str">
        <f>VLOOKUP($A1687,Sheet4!$A:$B,2,0)</f>
        <v>KL Giant Original Bar 1-24PK</v>
      </c>
      <c r="F1687" s="3" t="s">
        <v>58</v>
      </c>
    </row>
    <row r="1688" spans="1:6" x14ac:dyDescent="0.25">
      <c r="A1688" s="3">
        <v>64380012</v>
      </c>
      <c r="B1688" s="3">
        <v>3910</v>
      </c>
      <c r="C1688" s="24">
        <v>1380</v>
      </c>
      <c r="D1688" s="4">
        <v>46080</v>
      </c>
      <c r="E1688" t="str">
        <f>VLOOKUP($A1688,Sheet4!$A:$B,2,0)</f>
        <v>KL Giant Original Bar 1-24PK</v>
      </c>
      <c r="F1688" s="3" t="s">
        <v>58</v>
      </c>
    </row>
    <row r="1689" spans="1:6" x14ac:dyDescent="0.25">
      <c r="A1689" s="3">
        <v>64380012</v>
      </c>
      <c r="B1689" s="3">
        <v>3910</v>
      </c>
      <c r="C1689" s="24">
        <v>240</v>
      </c>
      <c r="D1689" s="4">
        <v>46083</v>
      </c>
      <c r="E1689" t="str">
        <f>VLOOKUP($A1689,Sheet4!$A:$B,2,0)</f>
        <v>KL Giant Original Bar 1-24PK</v>
      </c>
      <c r="F1689" s="3" t="s">
        <v>58</v>
      </c>
    </row>
    <row r="1690" spans="1:6" x14ac:dyDescent="0.25">
      <c r="A1690" s="3">
        <v>64411068</v>
      </c>
      <c r="B1690" s="3">
        <v>3910</v>
      </c>
      <c r="C1690" s="24">
        <v>2141</v>
      </c>
      <c r="D1690" s="4">
        <v>46076</v>
      </c>
      <c r="E1690" t="str">
        <f>VLOOKUP($A1690,Sheet4!$A:$B,2,0)</f>
        <v>BJ CA-COR-BrownieBatter-8 473ML</v>
      </c>
      <c r="F1690" s="3" t="s">
        <v>846</v>
      </c>
    </row>
    <row r="1691" spans="1:6" x14ac:dyDescent="0.25">
      <c r="A1691" s="3">
        <v>64411068</v>
      </c>
      <c r="B1691" s="3">
        <v>3910</v>
      </c>
      <c r="C1691" s="24">
        <v>3570</v>
      </c>
      <c r="D1691" s="4">
        <v>46096</v>
      </c>
      <c r="E1691" t="str">
        <f>VLOOKUP($A1691,Sheet4!$A:$B,2,0)</f>
        <v>BJ CA-COR-BrownieBatter-8 473ML</v>
      </c>
      <c r="F1691" s="3" t="s">
        <v>846</v>
      </c>
    </row>
    <row r="1692" spans="1:6" x14ac:dyDescent="0.25">
      <c r="A1692" s="3">
        <v>64411068</v>
      </c>
      <c r="B1692" s="3">
        <v>3910</v>
      </c>
      <c r="C1692" s="24">
        <v>30</v>
      </c>
      <c r="D1692" s="4">
        <v>46097</v>
      </c>
      <c r="E1692" t="str">
        <f>VLOOKUP($A1692,Sheet4!$A:$B,2,0)</f>
        <v>BJ CA-COR-BrownieBatter-8 473ML</v>
      </c>
      <c r="F1692" s="3" t="s">
        <v>846</v>
      </c>
    </row>
    <row r="1693" spans="1:6" x14ac:dyDescent="0.25">
      <c r="A1693" s="3">
        <v>64411070</v>
      </c>
      <c r="B1693" s="3">
        <v>3910</v>
      </c>
      <c r="C1693" s="24">
        <v>6000</v>
      </c>
      <c r="D1693" s="4">
        <v>46091</v>
      </c>
      <c r="E1693" t="str">
        <f>VLOOKUP($A1693,Sheet4!$A:$B,2,0)</f>
        <v>BJ CA-COR-ChocolateChip-8 473ML</v>
      </c>
      <c r="F1693" s="3" t="s">
        <v>847</v>
      </c>
    </row>
    <row r="1694" spans="1:6" x14ac:dyDescent="0.25">
      <c r="A1694" s="3">
        <v>64411070</v>
      </c>
      <c r="B1694" s="3">
        <v>3910</v>
      </c>
      <c r="C1694" s="24">
        <v>4726</v>
      </c>
      <c r="D1694" s="4">
        <v>46092</v>
      </c>
      <c r="E1694" t="str">
        <f>VLOOKUP($A1694,Sheet4!$A:$B,2,0)</f>
        <v>BJ CA-COR-ChocolateChip-8 473ML</v>
      </c>
      <c r="F1694" s="3" t="s">
        <v>847</v>
      </c>
    </row>
    <row r="1695" spans="1:6" x14ac:dyDescent="0.25">
      <c r="A1695" s="3">
        <v>64411070</v>
      </c>
      <c r="B1695" s="3">
        <v>3910</v>
      </c>
      <c r="C1695" s="24">
        <v>-4</v>
      </c>
      <c r="D1695" s="4">
        <v>46097</v>
      </c>
      <c r="E1695" t="str">
        <f>VLOOKUP($A1695,Sheet4!$A:$B,2,0)</f>
        <v>BJ CA-COR-ChocolateChip-8 473ML</v>
      </c>
      <c r="F1695" s="3" t="s">
        <v>847</v>
      </c>
    </row>
    <row r="1696" spans="1:6" x14ac:dyDescent="0.25">
      <c r="A1696" s="3">
        <v>64797747</v>
      </c>
      <c r="B1696" s="3">
        <v>3910</v>
      </c>
      <c r="C1696" s="24">
        <v>5040</v>
      </c>
      <c r="D1696" s="4">
        <v>46085</v>
      </c>
      <c r="E1696" t="str">
        <f>VLOOKUP($A1696,Sheet4!$A:$B,2,0)</f>
        <v>BJ CA-IC-CherryGarcia-8 473ML</v>
      </c>
      <c r="F1696" s="3" t="s">
        <v>847</v>
      </c>
    </row>
    <row r="1697" spans="1:6" x14ac:dyDescent="0.25">
      <c r="A1697" s="3">
        <v>64797747</v>
      </c>
      <c r="B1697" s="3">
        <v>3910</v>
      </c>
      <c r="C1697" s="24">
        <v>1920</v>
      </c>
      <c r="D1697" s="4">
        <v>46086</v>
      </c>
      <c r="E1697" t="str">
        <f>VLOOKUP($A1697,Sheet4!$A:$B,2,0)</f>
        <v>BJ CA-IC-CherryGarcia-8 473ML</v>
      </c>
      <c r="F1697" s="3" t="s">
        <v>847</v>
      </c>
    </row>
    <row r="1698" spans="1:6" x14ac:dyDescent="0.25">
      <c r="A1698" s="3">
        <v>64797747</v>
      </c>
      <c r="B1698" s="3">
        <v>3910</v>
      </c>
      <c r="C1698" s="24">
        <v>9986</v>
      </c>
      <c r="D1698" s="4">
        <v>46086</v>
      </c>
      <c r="E1698" t="str">
        <f>VLOOKUP($A1698,Sheet4!$A:$B,2,0)</f>
        <v>BJ CA-IC-CherryGarcia-8 473ML</v>
      </c>
      <c r="F1698" s="3" t="s">
        <v>847</v>
      </c>
    </row>
    <row r="1699" spans="1:6" x14ac:dyDescent="0.25">
      <c r="A1699" s="3">
        <v>64797748</v>
      </c>
      <c r="B1699" s="3">
        <v>3910</v>
      </c>
      <c r="C1699" s="24">
        <v>12240</v>
      </c>
      <c r="D1699" s="4">
        <v>46079</v>
      </c>
      <c r="E1699" t="str">
        <f>VLOOKUP($A1699,Sheet4!$A:$B,2,0)</f>
        <v>BJ CA-IC-HalfBaked-8 473ML</v>
      </c>
      <c r="F1699" s="3" t="s">
        <v>847</v>
      </c>
    </row>
    <row r="1700" spans="1:6" x14ac:dyDescent="0.25">
      <c r="A1700" s="3">
        <v>64797748</v>
      </c>
      <c r="B1700" s="3">
        <v>3910</v>
      </c>
      <c r="C1700" s="24">
        <v>268</v>
      </c>
      <c r="D1700" s="4">
        <v>46080</v>
      </c>
      <c r="E1700" t="str">
        <f>VLOOKUP($A1700,Sheet4!$A:$B,2,0)</f>
        <v>BJ CA-IC-HalfBaked-8 473ML</v>
      </c>
      <c r="F1700" s="3" t="s">
        <v>847</v>
      </c>
    </row>
    <row r="1701" spans="1:6" x14ac:dyDescent="0.25">
      <c r="A1701" s="3">
        <v>64797748</v>
      </c>
      <c r="B1701" s="3">
        <v>3910</v>
      </c>
      <c r="C1701" s="24">
        <v>5040</v>
      </c>
      <c r="D1701" s="4">
        <v>46092</v>
      </c>
      <c r="E1701" t="str">
        <f>VLOOKUP($A1701,Sheet4!$A:$B,2,0)</f>
        <v>BJ CA-IC-HalfBaked-8 473ML</v>
      </c>
      <c r="F1701" s="3" t="s">
        <v>847</v>
      </c>
    </row>
    <row r="1702" spans="1:6" x14ac:dyDescent="0.25">
      <c r="A1702" s="3">
        <v>64797748</v>
      </c>
      <c r="B1702" s="3">
        <v>3910</v>
      </c>
      <c r="C1702" s="24">
        <v>2160</v>
      </c>
      <c r="D1702" s="4">
        <v>46093</v>
      </c>
      <c r="E1702" t="str">
        <f>VLOOKUP($A1702,Sheet4!$A:$B,2,0)</f>
        <v>BJ CA-IC-HalfBaked-8 473ML</v>
      </c>
      <c r="F1702" s="3" t="s">
        <v>847</v>
      </c>
    </row>
    <row r="1703" spans="1:6" x14ac:dyDescent="0.25">
      <c r="A1703" s="3">
        <v>64797748</v>
      </c>
      <c r="B1703" s="3">
        <v>3910</v>
      </c>
      <c r="C1703" s="24">
        <v>7718</v>
      </c>
      <c r="D1703" s="4">
        <v>46093</v>
      </c>
      <c r="E1703" t="str">
        <f>VLOOKUP($A1703,Sheet4!$A:$B,2,0)</f>
        <v>BJ CA-IC-HalfBaked-8 473ML</v>
      </c>
      <c r="F1703" s="3" t="s">
        <v>847</v>
      </c>
    </row>
    <row r="1704" spans="1:6" x14ac:dyDescent="0.25">
      <c r="A1704" s="3">
        <v>64797748</v>
      </c>
      <c r="B1704" s="3">
        <v>3910</v>
      </c>
      <c r="C1704" s="24">
        <v>1920</v>
      </c>
      <c r="D1704" s="4">
        <v>46094</v>
      </c>
      <c r="E1704" t="str">
        <f>VLOOKUP($A1704,Sheet4!$A:$B,2,0)</f>
        <v>BJ CA-IC-HalfBaked-8 473ML</v>
      </c>
      <c r="F1704" s="3" t="s">
        <v>847</v>
      </c>
    </row>
    <row r="1705" spans="1:6" x14ac:dyDescent="0.25">
      <c r="A1705" s="3">
        <v>64797748</v>
      </c>
      <c r="B1705" s="3">
        <v>3910</v>
      </c>
      <c r="C1705" s="24">
        <v>6000</v>
      </c>
      <c r="D1705" s="4">
        <v>46094</v>
      </c>
      <c r="E1705" t="str">
        <f>VLOOKUP($A1705,Sheet4!$A:$B,2,0)</f>
        <v>BJ CA-IC-HalfBaked-8 473ML</v>
      </c>
      <c r="F1705" s="3" t="s">
        <v>847</v>
      </c>
    </row>
    <row r="1706" spans="1:6" x14ac:dyDescent="0.25">
      <c r="A1706" s="3">
        <v>64797748</v>
      </c>
      <c r="B1706" s="3">
        <v>3910</v>
      </c>
      <c r="C1706" s="24">
        <v>11575</v>
      </c>
      <c r="D1706" s="4">
        <v>46099</v>
      </c>
      <c r="E1706" t="str">
        <f>VLOOKUP($A1706,Sheet4!$A:$B,2,0)</f>
        <v>BJ CA-IC-HalfBaked-8 473ML</v>
      </c>
      <c r="F1706" s="3" t="s">
        <v>847</v>
      </c>
    </row>
    <row r="1707" spans="1:6" x14ac:dyDescent="0.25">
      <c r="A1707" s="3">
        <v>64797748</v>
      </c>
      <c r="B1707" s="3">
        <v>3910</v>
      </c>
      <c r="C1707" s="24">
        <v>6720</v>
      </c>
      <c r="D1707" s="4">
        <v>46100</v>
      </c>
      <c r="E1707" t="str">
        <f>VLOOKUP($A1707,Sheet4!$A:$B,2,0)</f>
        <v>BJ CA-IC-HalfBaked-8 473ML</v>
      </c>
      <c r="F1707" s="3" t="s">
        <v>847</v>
      </c>
    </row>
    <row r="1708" spans="1:6" x14ac:dyDescent="0.25">
      <c r="A1708" s="3">
        <v>64797748</v>
      </c>
      <c r="B1708" s="3">
        <v>3910</v>
      </c>
      <c r="C1708" s="24">
        <v>470</v>
      </c>
      <c r="D1708" s="4">
        <v>46101</v>
      </c>
      <c r="E1708" t="str">
        <f>VLOOKUP($A1708,Sheet4!$A:$B,2,0)</f>
        <v>BJ CA-IC-HalfBaked-8 473ML</v>
      </c>
      <c r="F1708" s="3" t="s">
        <v>847</v>
      </c>
    </row>
    <row r="1709" spans="1:6" x14ac:dyDescent="0.25">
      <c r="A1709" s="3">
        <v>64797750</v>
      </c>
      <c r="B1709" s="3">
        <v>3910</v>
      </c>
      <c r="C1709" s="24">
        <v>3267</v>
      </c>
      <c r="D1709" s="4">
        <v>46081</v>
      </c>
      <c r="E1709" t="str">
        <f>VLOOKUP($A1709,Sheet4!$A:$B,2,0)</f>
        <v>BJ CA-IC-ChocFudgBrownie-8 473ML</v>
      </c>
      <c r="F1709" s="3" t="s">
        <v>847</v>
      </c>
    </row>
    <row r="1710" spans="1:6" x14ac:dyDescent="0.25">
      <c r="A1710" s="3">
        <v>64797750</v>
      </c>
      <c r="B1710" s="3">
        <v>3910</v>
      </c>
      <c r="C1710" s="24">
        <v>1680</v>
      </c>
      <c r="D1710" s="4">
        <v>46083</v>
      </c>
      <c r="E1710" t="str">
        <f>VLOOKUP($A1710,Sheet4!$A:$B,2,0)</f>
        <v>BJ CA-IC-ChocFudgBrownie-8 473ML</v>
      </c>
      <c r="F1710" s="3" t="s">
        <v>847</v>
      </c>
    </row>
    <row r="1711" spans="1:6" x14ac:dyDescent="0.25">
      <c r="A1711" s="3">
        <v>64797750</v>
      </c>
      <c r="B1711" s="3">
        <v>3910</v>
      </c>
      <c r="C1711" s="24">
        <v>2880</v>
      </c>
      <c r="D1711" s="4">
        <v>46084</v>
      </c>
      <c r="E1711" t="str">
        <f>VLOOKUP($A1711,Sheet4!$A:$B,2,0)</f>
        <v>BJ CA-IC-ChocFudgBrownie-8 473ML</v>
      </c>
      <c r="F1711" s="3" t="s">
        <v>847</v>
      </c>
    </row>
    <row r="1712" spans="1:6" x14ac:dyDescent="0.25">
      <c r="A1712" s="3">
        <v>64797750</v>
      </c>
      <c r="B1712" s="3">
        <v>3910</v>
      </c>
      <c r="C1712" s="24">
        <v>5602</v>
      </c>
      <c r="D1712" s="4">
        <v>46084</v>
      </c>
      <c r="E1712" t="str">
        <f>VLOOKUP($A1712,Sheet4!$A:$B,2,0)</f>
        <v>BJ CA-IC-ChocFudgBrownie-8 473ML</v>
      </c>
      <c r="F1712" s="3" t="s">
        <v>847</v>
      </c>
    </row>
    <row r="1713" spans="1:6" x14ac:dyDescent="0.25">
      <c r="A1713" s="3">
        <v>64797750</v>
      </c>
      <c r="B1713" s="3">
        <v>3910</v>
      </c>
      <c r="C1713" s="24">
        <v>2400</v>
      </c>
      <c r="D1713" s="4">
        <v>46085</v>
      </c>
      <c r="E1713" t="str">
        <f>VLOOKUP($A1713,Sheet4!$A:$B,2,0)</f>
        <v>BJ CA-IC-ChocFudgBrownie-8 473ML</v>
      </c>
      <c r="F1713" s="3" t="s">
        <v>847</v>
      </c>
    </row>
    <row r="1714" spans="1:6" x14ac:dyDescent="0.25">
      <c r="A1714" s="3">
        <v>64797750</v>
      </c>
      <c r="B1714" s="3">
        <v>3910</v>
      </c>
      <c r="C1714" s="24">
        <v>3931</v>
      </c>
      <c r="D1714" s="4">
        <v>46085</v>
      </c>
      <c r="E1714" t="str">
        <f>VLOOKUP($A1714,Sheet4!$A:$B,2,0)</f>
        <v>BJ CA-IC-ChocFudgBrownie-8 473ML</v>
      </c>
      <c r="F1714" s="3" t="s">
        <v>847</v>
      </c>
    </row>
    <row r="1715" spans="1:6" x14ac:dyDescent="0.25">
      <c r="A1715" s="3">
        <v>64797750</v>
      </c>
      <c r="B1715" s="3">
        <v>3910</v>
      </c>
      <c r="C1715" s="24">
        <v>-60</v>
      </c>
      <c r="D1715" s="4">
        <v>46091</v>
      </c>
      <c r="E1715" t="str">
        <f>VLOOKUP($A1715,Sheet4!$A:$B,2,0)</f>
        <v>BJ CA-IC-ChocFudgBrownie-8 473ML</v>
      </c>
      <c r="F1715" s="3" t="s">
        <v>847</v>
      </c>
    </row>
    <row r="1716" spans="1:6" x14ac:dyDescent="0.25">
      <c r="A1716" s="3">
        <v>64797750</v>
      </c>
      <c r="B1716" s="3">
        <v>3910</v>
      </c>
      <c r="C1716" s="24">
        <v>12720</v>
      </c>
      <c r="D1716" s="4">
        <v>46104</v>
      </c>
      <c r="E1716" t="str">
        <f>VLOOKUP($A1716,Sheet4!$A:$B,2,0)</f>
        <v>BJ CA-IC-ChocFudgBrownie-8 473ML</v>
      </c>
      <c r="F1716" s="3" t="s">
        <v>847</v>
      </c>
    </row>
    <row r="1717" spans="1:6" x14ac:dyDescent="0.25">
      <c r="A1717" s="3">
        <v>64797750</v>
      </c>
      <c r="B1717" s="3">
        <v>3910</v>
      </c>
      <c r="C1717" s="24">
        <v>1370</v>
      </c>
      <c r="D1717" s="4">
        <v>46105</v>
      </c>
      <c r="E1717" t="str">
        <f>VLOOKUP($A1717,Sheet4!$A:$B,2,0)</f>
        <v>BJ CA-IC-ChocFudgBrownie-8 473ML</v>
      </c>
      <c r="F1717" s="3" t="s">
        <v>847</v>
      </c>
    </row>
    <row r="1718" spans="1:6" x14ac:dyDescent="0.25">
      <c r="A1718" s="3">
        <v>64797751</v>
      </c>
      <c r="B1718" s="3">
        <v>3910</v>
      </c>
      <c r="C1718" s="24">
        <v>4674</v>
      </c>
      <c r="D1718" s="4">
        <v>46097</v>
      </c>
      <c r="E1718" t="str">
        <f>VLOOKUP($A1718,Sheet4!$A:$B,2,0)</f>
        <v>BJ CA-IC-ChocChpCookDgh-8 473ML</v>
      </c>
      <c r="F1718" s="3" t="s">
        <v>847</v>
      </c>
    </row>
    <row r="1719" spans="1:6" x14ac:dyDescent="0.25">
      <c r="A1719" s="3">
        <v>64797751</v>
      </c>
      <c r="B1719" s="3">
        <v>3910</v>
      </c>
      <c r="C1719" s="24">
        <v>13424</v>
      </c>
      <c r="D1719" s="4">
        <v>46098</v>
      </c>
      <c r="E1719" t="str">
        <f>VLOOKUP($A1719,Sheet4!$A:$B,2,0)</f>
        <v>BJ CA-IC-ChocChpCookDgh-8 473ML</v>
      </c>
      <c r="F1719" s="3" t="s">
        <v>847</v>
      </c>
    </row>
    <row r="1720" spans="1:6" x14ac:dyDescent="0.25">
      <c r="A1720" s="3">
        <v>64797751</v>
      </c>
      <c r="B1720" s="3">
        <v>3910</v>
      </c>
      <c r="C1720" s="24">
        <v>720</v>
      </c>
      <c r="D1720" s="4">
        <v>46099</v>
      </c>
      <c r="E1720" t="str">
        <f>VLOOKUP($A1720,Sheet4!$A:$B,2,0)</f>
        <v>BJ CA-IC-ChocChpCookDgh-8 473ML</v>
      </c>
      <c r="F1720" s="3" t="s">
        <v>847</v>
      </c>
    </row>
    <row r="1721" spans="1:6" x14ac:dyDescent="0.25">
      <c r="A1721" s="3">
        <v>64797760</v>
      </c>
      <c r="B1721" s="3">
        <v>3910</v>
      </c>
      <c r="C1721" s="24">
        <v>12480</v>
      </c>
      <c r="D1721" s="4">
        <v>46087</v>
      </c>
      <c r="E1721" t="str">
        <f>VLOOKUP($A1721,Sheet4!$A:$B,2,0)</f>
        <v>BJ CA-IC-TonightDough-8 473ML</v>
      </c>
      <c r="F1721" s="3" t="s">
        <v>847</v>
      </c>
    </row>
    <row r="1722" spans="1:6" x14ac:dyDescent="0.25">
      <c r="A1722" s="3">
        <v>64797760</v>
      </c>
      <c r="B1722" s="3">
        <v>3910</v>
      </c>
      <c r="C1722" s="24">
        <v>765</v>
      </c>
      <c r="D1722" s="4">
        <v>46090</v>
      </c>
      <c r="E1722" t="str">
        <f>VLOOKUP($A1722,Sheet4!$A:$B,2,0)</f>
        <v>BJ CA-IC-TonightDough-8 473ML</v>
      </c>
      <c r="F1722" s="3" t="s">
        <v>847</v>
      </c>
    </row>
    <row r="1723" spans="1:6" x14ac:dyDescent="0.25">
      <c r="A1723" s="3">
        <v>64797762</v>
      </c>
      <c r="B1723" s="3">
        <v>3910</v>
      </c>
      <c r="C1723" s="24">
        <v>3360</v>
      </c>
      <c r="D1723" s="4">
        <v>46095</v>
      </c>
      <c r="E1723" t="str">
        <f>VLOOKUP($A1723,Sheet4!$A:$B,2,0)</f>
        <v>BJ CA-IC-SaltedCaramelAlmond-8 473ML</v>
      </c>
      <c r="F1723" s="3" t="s">
        <v>847</v>
      </c>
    </row>
    <row r="1724" spans="1:6" x14ac:dyDescent="0.25">
      <c r="A1724" s="3">
        <v>64797762</v>
      </c>
      <c r="B1724" s="3">
        <v>3910</v>
      </c>
      <c r="C1724" s="24">
        <v>2822</v>
      </c>
      <c r="D1724" s="4">
        <v>46097</v>
      </c>
      <c r="E1724" t="str">
        <f>VLOOKUP($A1724,Sheet4!$A:$B,2,0)</f>
        <v>BJ CA-IC-SaltedCaramelAlmond-8 473ML</v>
      </c>
      <c r="F1724" s="3" t="s">
        <v>847</v>
      </c>
    </row>
    <row r="1725" spans="1:6" x14ac:dyDescent="0.25">
      <c r="A1725" s="3">
        <v>64797762</v>
      </c>
      <c r="B1725" s="3">
        <v>3910</v>
      </c>
      <c r="C1725" s="24">
        <v>1440</v>
      </c>
      <c r="D1725" s="4">
        <v>46094</v>
      </c>
      <c r="E1725" t="str">
        <f>VLOOKUP($A1725,Sheet4!$A:$B,2,0)</f>
        <v>BJ CA-IC-SaltedCaramelAlmond-8 473ML</v>
      </c>
      <c r="F1725" s="3" t="s">
        <v>847</v>
      </c>
    </row>
    <row r="1726" spans="1:6" x14ac:dyDescent="0.25">
      <c r="A1726" s="3">
        <v>64797762</v>
      </c>
      <c r="B1726" s="3">
        <v>3910</v>
      </c>
      <c r="C1726" s="24">
        <v>2400</v>
      </c>
      <c r="D1726" s="4">
        <v>46095</v>
      </c>
      <c r="E1726" t="str">
        <f>VLOOKUP($A1726,Sheet4!$A:$B,2,0)</f>
        <v>BJ CA-IC-SaltedCaramelAlmond-8 473ML</v>
      </c>
      <c r="F1726" s="3" t="s">
        <v>847</v>
      </c>
    </row>
    <row r="1727" spans="1:6" x14ac:dyDescent="0.25">
      <c r="A1727" s="3">
        <v>64798432</v>
      </c>
      <c r="B1727" s="3">
        <v>3910</v>
      </c>
      <c r="C1727" s="24">
        <v>3224</v>
      </c>
      <c r="D1727" s="4">
        <v>46083</v>
      </c>
      <c r="E1727" t="str">
        <f>VLOOKUP($A1727,Sheet4!$A:$B,2,0)</f>
        <v>PS Firecracker 6-18PK</v>
      </c>
      <c r="F1727" s="3" t="s">
        <v>106</v>
      </c>
    </row>
    <row r="1728" spans="1:6" x14ac:dyDescent="0.25">
      <c r="A1728" s="3">
        <v>64798432</v>
      </c>
      <c r="B1728" s="3">
        <v>3910</v>
      </c>
      <c r="C1728" s="24">
        <v>520</v>
      </c>
      <c r="D1728" s="4">
        <v>46084</v>
      </c>
      <c r="E1728" t="str">
        <f>VLOOKUP($A1728,Sheet4!$A:$B,2,0)</f>
        <v>PS Firecracker 6-18PK</v>
      </c>
      <c r="F1728" s="3" t="s">
        <v>106</v>
      </c>
    </row>
    <row r="1729" spans="1:6" x14ac:dyDescent="0.25">
      <c r="A1729" s="3">
        <v>64798432</v>
      </c>
      <c r="B1729" s="3">
        <v>3910</v>
      </c>
      <c r="C1729" s="24">
        <v>4056</v>
      </c>
      <c r="D1729" s="4">
        <v>46084</v>
      </c>
      <c r="E1729" t="str">
        <f>VLOOKUP($A1729,Sheet4!$A:$B,2,0)</f>
        <v>PS Firecracker 6-18PK</v>
      </c>
      <c r="F1729" s="3" t="s">
        <v>106</v>
      </c>
    </row>
    <row r="1730" spans="1:6" x14ac:dyDescent="0.25">
      <c r="A1730" s="3">
        <v>64798432</v>
      </c>
      <c r="B1730" s="3">
        <v>3910</v>
      </c>
      <c r="C1730" s="24">
        <v>416</v>
      </c>
      <c r="D1730" s="4">
        <v>46085</v>
      </c>
      <c r="E1730" t="str">
        <f>VLOOKUP($A1730,Sheet4!$A:$B,2,0)</f>
        <v>PS Firecracker 6-18PK</v>
      </c>
      <c r="F1730" s="3" t="s">
        <v>106</v>
      </c>
    </row>
    <row r="1731" spans="1:6" x14ac:dyDescent="0.25">
      <c r="A1731" s="3">
        <v>64798432</v>
      </c>
      <c r="B1731" s="3">
        <v>3910</v>
      </c>
      <c r="C1731" s="24">
        <v>1286</v>
      </c>
      <c r="D1731" s="4">
        <v>46085</v>
      </c>
      <c r="E1731" t="str">
        <f>VLOOKUP($A1731,Sheet4!$A:$B,2,0)</f>
        <v>PS Firecracker 6-18PK</v>
      </c>
      <c r="F1731" s="3" t="s">
        <v>106</v>
      </c>
    </row>
    <row r="1732" spans="1:6" x14ac:dyDescent="0.25">
      <c r="A1732" s="3">
        <v>64798432</v>
      </c>
      <c r="B1732" s="3">
        <v>3910</v>
      </c>
      <c r="C1732" s="24">
        <v>1976</v>
      </c>
      <c r="D1732" s="4">
        <v>46086</v>
      </c>
      <c r="E1732" t="str">
        <f>VLOOKUP($A1732,Sheet4!$A:$B,2,0)</f>
        <v>PS Firecracker 6-18PK</v>
      </c>
      <c r="F1732" s="3" t="s">
        <v>106</v>
      </c>
    </row>
    <row r="1733" spans="1:6" x14ac:dyDescent="0.25">
      <c r="A1733" s="3">
        <v>64798432</v>
      </c>
      <c r="B1733" s="3">
        <v>3910</v>
      </c>
      <c r="C1733" s="24">
        <v>312</v>
      </c>
      <c r="D1733" s="4">
        <v>46087</v>
      </c>
      <c r="E1733" t="str">
        <f>VLOOKUP($A1733,Sheet4!$A:$B,2,0)</f>
        <v>PS Firecracker 6-18PK</v>
      </c>
      <c r="F1733" s="3" t="s">
        <v>106</v>
      </c>
    </row>
    <row r="1734" spans="1:6" x14ac:dyDescent="0.25">
      <c r="A1734" s="3">
        <v>64798432</v>
      </c>
      <c r="B1734" s="3">
        <v>3910</v>
      </c>
      <c r="C1734" s="24">
        <v>-5</v>
      </c>
      <c r="D1734" s="4">
        <v>46091</v>
      </c>
      <c r="E1734" t="str">
        <f>VLOOKUP($A1734,Sheet4!$A:$B,2,0)</f>
        <v>PS Firecracker 6-18PK</v>
      </c>
      <c r="F1734" s="3" t="s">
        <v>106</v>
      </c>
    </row>
    <row r="1735" spans="1:6" x14ac:dyDescent="0.25">
      <c r="A1735" s="3">
        <v>64798432</v>
      </c>
      <c r="B1735" s="3">
        <v>3910</v>
      </c>
      <c r="C1735" s="24">
        <v>3487</v>
      </c>
      <c r="D1735" s="4">
        <v>46087</v>
      </c>
      <c r="E1735" t="str">
        <f>VLOOKUP($A1735,Sheet4!$A:$B,2,0)</f>
        <v>PS Firecracker 6-18PK</v>
      </c>
      <c r="F1735" s="3" t="s">
        <v>106</v>
      </c>
    </row>
    <row r="1736" spans="1:6" x14ac:dyDescent="0.25">
      <c r="A1736" s="3">
        <v>64798432</v>
      </c>
      <c r="B1736" s="3">
        <v>3910</v>
      </c>
      <c r="C1736" s="24">
        <v>1976</v>
      </c>
      <c r="D1736" s="4">
        <v>46090</v>
      </c>
      <c r="E1736" t="str">
        <f>VLOOKUP($A1736,Sheet4!$A:$B,2,0)</f>
        <v>PS Firecracker 6-18PK</v>
      </c>
      <c r="F1736" s="3" t="s">
        <v>106</v>
      </c>
    </row>
    <row r="1737" spans="1:6" x14ac:dyDescent="0.25">
      <c r="A1737" s="3">
        <v>64798432</v>
      </c>
      <c r="B1737" s="3">
        <v>3910</v>
      </c>
      <c r="C1737" s="24">
        <v>312</v>
      </c>
      <c r="D1737" s="4">
        <v>46091</v>
      </c>
      <c r="E1737" t="str">
        <f>VLOOKUP($A1737,Sheet4!$A:$B,2,0)</f>
        <v>PS Firecracker 6-18PK</v>
      </c>
      <c r="F1737" s="3" t="s">
        <v>106</v>
      </c>
    </row>
    <row r="1738" spans="1:6" x14ac:dyDescent="0.25">
      <c r="A1738" s="3">
        <v>64798432</v>
      </c>
      <c r="B1738" s="3">
        <v>3910</v>
      </c>
      <c r="C1738" s="24">
        <v>4576</v>
      </c>
      <c r="D1738" s="4">
        <v>46092</v>
      </c>
      <c r="E1738" t="str">
        <f>VLOOKUP($A1738,Sheet4!$A:$B,2,0)</f>
        <v>PS Firecracker 6-18PK</v>
      </c>
      <c r="F1738" s="3" t="s">
        <v>106</v>
      </c>
    </row>
    <row r="1739" spans="1:6" x14ac:dyDescent="0.25">
      <c r="A1739" s="3">
        <v>64798432</v>
      </c>
      <c r="B1739" s="3">
        <v>3910</v>
      </c>
      <c r="C1739" s="24">
        <v>312</v>
      </c>
      <c r="D1739" s="4">
        <v>46093</v>
      </c>
      <c r="E1739" t="str">
        <f>VLOOKUP($A1739,Sheet4!$A:$B,2,0)</f>
        <v>PS Firecracker 6-18PK</v>
      </c>
      <c r="F1739" s="3" t="s">
        <v>106</v>
      </c>
    </row>
    <row r="1740" spans="1:6" x14ac:dyDescent="0.25">
      <c r="A1740" s="3">
        <v>64798432</v>
      </c>
      <c r="B1740" s="3">
        <v>3910</v>
      </c>
      <c r="C1740" s="24">
        <v>2184</v>
      </c>
      <c r="D1740" s="4">
        <v>46091</v>
      </c>
      <c r="E1740" t="str">
        <f>VLOOKUP($A1740,Sheet4!$A:$B,2,0)</f>
        <v>PS Firecracker 6-18PK</v>
      </c>
      <c r="F1740" s="3" t="s">
        <v>106</v>
      </c>
    </row>
    <row r="1741" spans="1:6" x14ac:dyDescent="0.25">
      <c r="A1741" s="3">
        <v>64798432</v>
      </c>
      <c r="B1741" s="3">
        <v>3910</v>
      </c>
      <c r="C1741" s="24">
        <v>416</v>
      </c>
      <c r="D1741" s="4">
        <v>46092</v>
      </c>
      <c r="E1741" t="str">
        <f>VLOOKUP($A1741,Sheet4!$A:$B,2,0)</f>
        <v>PS Firecracker 6-18PK</v>
      </c>
      <c r="F1741" s="3" t="s">
        <v>106</v>
      </c>
    </row>
    <row r="1742" spans="1:6" x14ac:dyDescent="0.25">
      <c r="A1742" s="3">
        <v>64798432</v>
      </c>
      <c r="B1742" s="3">
        <v>3910</v>
      </c>
      <c r="C1742" s="24">
        <v>4888</v>
      </c>
      <c r="D1742" s="4">
        <v>46093</v>
      </c>
      <c r="E1742" t="str">
        <f>VLOOKUP($A1742,Sheet4!$A:$B,2,0)</f>
        <v>PS Firecracker 6-18PK</v>
      </c>
      <c r="F1742" s="3" t="s">
        <v>106</v>
      </c>
    </row>
    <row r="1743" spans="1:6" x14ac:dyDescent="0.25">
      <c r="A1743" s="3">
        <v>64798432</v>
      </c>
      <c r="B1743" s="3">
        <v>3910</v>
      </c>
      <c r="C1743" s="24">
        <v>312</v>
      </c>
      <c r="D1743" s="4">
        <v>46094</v>
      </c>
      <c r="E1743" t="str">
        <f>VLOOKUP($A1743,Sheet4!$A:$B,2,0)</f>
        <v>PS Firecracker 6-18PK</v>
      </c>
      <c r="F1743" s="3" t="s">
        <v>106</v>
      </c>
    </row>
    <row r="1744" spans="1:6" x14ac:dyDescent="0.25">
      <c r="A1744" s="3">
        <v>64798432</v>
      </c>
      <c r="B1744" s="3">
        <v>3910</v>
      </c>
      <c r="C1744" s="24">
        <v>810</v>
      </c>
      <c r="D1744" s="4">
        <v>46094</v>
      </c>
      <c r="E1744" t="str">
        <f>VLOOKUP($A1744,Sheet4!$A:$B,2,0)</f>
        <v>PS Firecracker 6-18PK</v>
      </c>
      <c r="F1744" s="3" t="s">
        <v>106</v>
      </c>
    </row>
    <row r="1745" spans="1:6" x14ac:dyDescent="0.25">
      <c r="A1745" s="3">
        <v>64798434</v>
      </c>
      <c r="B1745" s="3">
        <v>3910</v>
      </c>
      <c r="C1745" s="24">
        <v>652</v>
      </c>
      <c r="D1745" s="4">
        <v>46076</v>
      </c>
      <c r="E1745" t="str">
        <f>VLOOKUP($A1745,Sheet4!$A:$B,2,0)</f>
        <v>PS OCG 6-18PK</v>
      </c>
      <c r="F1745" s="3" t="s">
        <v>106</v>
      </c>
    </row>
    <row r="1746" spans="1:6" x14ac:dyDescent="0.25">
      <c r="A1746" s="3">
        <v>64798434</v>
      </c>
      <c r="B1746" s="3">
        <v>3910</v>
      </c>
      <c r="C1746" s="24">
        <v>2496</v>
      </c>
      <c r="D1746" s="4">
        <v>46076</v>
      </c>
      <c r="E1746" t="str">
        <f>VLOOKUP($A1746,Sheet4!$A:$B,2,0)</f>
        <v>PS OCG 6-18PK</v>
      </c>
      <c r="F1746" s="3" t="s">
        <v>106</v>
      </c>
    </row>
    <row r="1747" spans="1:6" x14ac:dyDescent="0.25">
      <c r="A1747" s="3">
        <v>64798434</v>
      </c>
      <c r="B1747" s="3">
        <v>3910</v>
      </c>
      <c r="C1747" s="24">
        <v>312</v>
      </c>
      <c r="D1747" s="4">
        <v>46077</v>
      </c>
      <c r="E1747" t="str">
        <f>VLOOKUP($A1747,Sheet4!$A:$B,2,0)</f>
        <v>PS OCG 6-18PK</v>
      </c>
      <c r="F1747" s="3" t="s">
        <v>106</v>
      </c>
    </row>
    <row r="1748" spans="1:6" x14ac:dyDescent="0.25">
      <c r="A1748" s="3">
        <v>64798434</v>
      </c>
      <c r="B1748" s="3">
        <v>3910</v>
      </c>
      <c r="C1748" s="24">
        <v>3016</v>
      </c>
      <c r="D1748" s="4">
        <v>46077</v>
      </c>
      <c r="E1748" t="str">
        <f>VLOOKUP($A1748,Sheet4!$A:$B,2,0)</f>
        <v>PS OCG 6-18PK</v>
      </c>
      <c r="F1748" s="3" t="s">
        <v>106</v>
      </c>
    </row>
    <row r="1749" spans="1:6" x14ac:dyDescent="0.25">
      <c r="A1749" s="3">
        <v>64798434</v>
      </c>
      <c r="B1749" s="3">
        <v>3910</v>
      </c>
      <c r="C1749" s="24">
        <v>65</v>
      </c>
      <c r="D1749" s="4">
        <v>46078</v>
      </c>
      <c r="E1749" t="str">
        <f>VLOOKUP($A1749,Sheet4!$A:$B,2,0)</f>
        <v>PS OCG 6-18PK</v>
      </c>
      <c r="F1749" s="3" t="s">
        <v>106</v>
      </c>
    </row>
    <row r="1750" spans="1:6" x14ac:dyDescent="0.25">
      <c r="A1750" s="3">
        <v>64798434</v>
      </c>
      <c r="B1750" s="3">
        <v>3910</v>
      </c>
      <c r="C1750" s="24">
        <v>4452</v>
      </c>
      <c r="D1750" s="4">
        <v>46078</v>
      </c>
      <c r="E1750" t="str">
        <f>VLOOKUP($A1750,Sheet4!$A:$B,2,0)</f>
        <v>PS OCG 6-18PK</v>
      </c>
      <c r="F1750" s="3" t="s">
        <v>106</v>
      </c>
    </row>
    <row r="1751" spans="1:6" x14ac:dyDescent="0.25">
      <c r="A1751" s="3">
        <v>64798434</v>
      </c>
      <c r="B1751" s="3">
        <v>3910</v>
      </c>
      <c r="C1751" s="24">
        <v>20</v>
      </c>
      <c r="D1751" s="4">
        <v>46079</v>
      </c>
      <c r="E1751" t="str">
        <f>VLOOKUP($A1751,Sheet4!$A:$B,2,0)</f>
        <v>PS OCG 6-18PK</v>
      </c>
      <c r="F1751" s="3" t="s">
        <v>106</v>
      </c>
    </row>
    <row r="1752" spans="1:6" x14ac:dyDescent="0.25">
      <c r="A1752" s="3">
        <v>64798434</v>
      </c>
      <c r="B1752" s="3">
        <v>3910</v>
      </c>
      <c r="C1752" s="24">
        <v>4888</v>
      </c>
      <c r="D1752" s="4">
        <v>46079</v>
      </c>
      <c r="E1752" t="str">
        <f>VLOOKUP($A1752,Sheet4!$A:$B,2,0)</f>
        <v>PS OCG 6-18PK</v>
      </c>
      <c r="F1752" s="3" t="s">
        <v>106</v>
      </c>
    </row>
    <row r="1753" spans="1:6" x14ac:dyDescent="0.25">
      <c r="A1753" s="3">
        <v>64798434</v>
      </c>
      <c r="B1753" s="3">
        <v>3910</v>
      </c>
      <c r="C1753" s="24">
        <v>312</v>
      </c>
      <c r="D1753" s="4">
        <v>46080</v>
      </c>
      <c r="E1753" t="str">
        <f>VLOOKUP($A1753,Sheet4!$A:$B,2,0)</f>
        <v>PS OCG 6-18PK</v>
      </c>
      <c r="F1753" s="3" t="s">
        <v>106</v>
      </c>
    </row>
    <row r="1754" spans="1:6" x14ac:dyDescent="0.25">
      <c r="A1754" s="3">
        <v>64798434</v>
      </c>
      <c r="B1754" s="3">
        <v>3910</v>
      </c>
      <c r="C1754" s="24">
        <v>979</v>
      </c>
      <c r="D1754" s="4">
        <v>46080</v>
      </c>
      <c r="E1754" t="str">
        <f>VLOOKUP($A1754,Sheet4!$A:$B,2,0)</f>
        <v>PS OCG 6-18PK</v>
      </c>
      <c r="F1754" s="3" t="s">
        <v>106</v>
      </c>
    </row>
    <row r="1755" spans="1:6" x14ac:dyDescent="0.25">
      <c r="A1755" s="3">
        <v>64798434</v>
      </c>
      <c r="B1755" s="3">
        <v>3910</v>
      </c>
      <c r="C1755" s="24">
        <v>208</v>
      </c>
      <c r="D1755" s="4">
        <v>46081</v>
      </c>
      <c r="E1755" t="str">
        <f>VLOOKUP($A1755,Sheet4!$A:$B,2,0)</f>
        <v>PS OCG 6-18PK</v>
      </c>
      <c r="F1755" s="3" t="s">
        <v>106</v>
      </c>
    </row>
    <row r="1756" spans="1:6" x14ac:dyDescent="0.25">
      <c r="A1756" s="3">
        <v>64803353</v>
      </c>
      <c r="B1756" s="3">
        <v>3910</v>
      </c>
      <c r="C1756" s="24">
        <v>9392</v>
      </c>
      <c r="D1756" s="4">
        <v>46105</v>
      </c>
      <c r="E1756" t="str">
        <f>VLOOKUP($A1756,Sheet4!$A:$B,2,0)</f>
        <v>BJ CA-IC-OhCone-ada-8 473ml</v>
      </c>
      <c r="F1756" s="3" t="s">
        <v>58</v>
      </c>
    </row>
    <row r="1757" spans="1:6" x14ac:dyDescent="0.25">
      <c r="A1757" s="3">
        <v>64803354</v>
      </c>
      <c r="B1757" s="3">
        <v>3910</v>
      </c>
      <c r="C1757" s="24">
        <v>5383</v>
      </c>
      <c r="D1757" s="4">
        <v>46080</v>
      </c>
      <c r="E1757" t="str">
        <f>VLOOKUP($A1757,Sheet4!$A:$B,2,0)</f>
        <v>BJ CA-IC Sammie-8 473ml</v>
      </c>
      <c r="F1757" s="3" t="s">
        <v>847</v>
      </c>
    </row>
    <row r="1758" spans="1:6" x14ac:dyDescent="0.25">
      <c r="A1758" s="3">
        <v>64803354</v>
      </c>
      <c r="B1758" s="3">
        <v>3910</v>
      </c>
      <c r="C1758" s="24">
        <v>1680</v>
      </c>
      <c r="D1758" s="4">
        <v>46101</v>
      </c>
      <c r="E1758" t="str">
        <f>VLOOKUP($A1758,Sheet4!$A:$B,2,0)</f>
        <v>BJ CA-IC Sammie-8 473ml</v>
      </c>
      <c r="F1758" s="3" t="s">
        <v>847</v>
      </c>
    </row>
    <row r="1759" spans="1:6" x14ac:dyDescent="0.25">
      <c r="A1759" s="3">
        <v>64803354</v>
      </c>
      <c r="B1759" s="3">
        <v>3910</v>
      </c>
      <c r="C1759" s="24">
        <v>8400</v>
      </c>
      <c r="D1759" s="4">
        <v>46101</v>
      </c>
      <c r="E1759" t="str">
        <f>VLOOKUP($A1759,Sheet4!$A:$B,2,0)</f>
        <v>BJ CA-IC Sammie-8 473ml</v>
      </c>
      <c r="F1759" s="3" t="s">
        <v>847</v>
      </c>
    </row>
    <row r="1760" spans="1:6" x14ac:dyDescent="0.25">
      <c r="A1760" s="3">
        <v>64803354</v>
      </c>
      <c r="B1760" s="3">
        <v>3910</v>
      </c>
      <c r="C1760" s="24">
        <v>2160</v>
      </c>
      <c r="D1760" s="4">
        <v>46102</v>
      </c>
      <c r="E1760" t="str">
        <f>VLOOKUP($A1760,Sheet4!$A:$B,2,0)</f>
        <v>BJ CA-IC Sammie-8 473ml</v>
      </c>
      <c r="F1760" s="3" t="s">
        <v>847</v>
      </c>
    </row>
    <row r="1761" spans="1:6" x14ac:dyDescent="0.25">
      <c r="A1761" s="3">
        <v>64803354</v>
      </c>
      <c r="B1761" s="3">
        <v>3910</v>
      </c>
      <c r="C1761" s="24">
        <v>158</v>
      </c>
      <c r="D1761" s="4">
        <v>46104</v>
      </c>
      <c r="E1761" t="str">
        <f>VLOOKUP($A1761,Sheet4!$A:$B,2,0)</f>
        <v>BJ CA-IC Sammie-8 473ml</v>
      </c>
      <c r="F1761" s="3" t="s">
        <v>847</v>
      </c>
    </row>
    <row r="1762" spans="1:6" x14ac:dyDescent="0.25">
      <c r="A1762" s="3">
        <v>64803354</v>
      </c>
      <c r="B1762" s="3">
        <v>3910</v>
      </c>
      <c r="C1762" s="24">
        <v>4766</v>
      </c>
      <c r="D1762" s="4">
        <v>46102</v>
      </c>
      <c r="E1762" t="str">
        <f>VLOOKUP($A1762,Sheet4!$A:$B,2,0)</f>
        <v>BJ CA-IC Sammie-8 473ml</v>
      </c>
      <c r="F1762" s="3" t="s">
        <v>847</v>
      </c>
    </row>
    <row r="1763" spans="1:6" x14ac:dyDescent="0.25">
      <c r="A1763" s="3">
        <v>64803354</v>
      </c>
      <c r="B1763" s="3">
        <v>3910</v>
      </c>
      <c r="C1763" s="24">
        <v>-6</v>
      </c>
      <c r="D1763" s="4">
        <v>46104</v>
      </c>
      <c r="E1763" t="str">
        <f>VLOOKUP($A1763,Sheet4!$A:$B,2,0)</f>
        <v>BJ CA-IC Sammie-8 473ml</v>
      </c>
      <c r="F1763" s="3" t="s">
        <v>847</v>
      </c>
    </row>
    <row r="1764" spans="1:6" x14ac:dyDescent="0.25">
      <c r="A1764" s="3">
        <v>64804343</v>
      </c>
      <c r="B1764" s="3">
        <v>3910</v>
      </c>
      <c r="C1764" s="24">
        <v>1666</v>
      </c>
      <c r="D1764" s="4">
        <v>46077</v>
      </c>
      <c r="E1764" t="str">
        <f>VLOOKUP($A1764,Sheet4!$A:$B,2,0)</f>
        <v>BR CS Cookies+Cream 4 1.41L</v>
      </c>
      <c r="F1764" s="3" t="s">
        <v>17</v>
      </c>
    </row>
    <row r="1765" spans="1:6" x14ac:dyDescent="0.25">
      <c r="A1765" s="3">
        <v>64804343</v>
      </c>
      <c r="B1765" s="3">
        <v>3910</v>
      </c>
      <c r="C1765" s="24">
        <v>1428</v>
      </c>
      <c r="D1765" s="4">
        <v>46078</v>
      </c>
      <c r="E1765" t="str">
        <f>VLOOKUP($A1765,Sheet4!$A:$B,2,0)</f>
        <v>BR CS Cookies+Cream 4 1.41L</v>
      </c>
      <c r="F1765" s="3" t="s">
        <v>17</v>
      </c>
    </row>
    <row r="1766" spans="1:6" x14ac:dyDescent="0.25">
      <c r="A1766" s="3">
        <v>64804343</v>
      </c>
      <c r="B1766" s="3">
        <v>3910</v>
      </c>
      <c r="C1766" s="24">
        <v>13328</v>
      </c>
      <c r="D1766" s="4">
        <v>46078</v>
      </c>
      <c r="E1766" t="str">
        <f>VLOOKUP($A1766,Sheet4!$A:$B,2,0)</f>
        <v>BR CS Cookies+Cream 4 1.41L</v>
      </c>
      <c r="F1766" s="3" t="s">
        <v>17</v>
      </c>
    </row>
    <row r="1767" spans="1:6" x14ac:dyDescent="0.25">
      <c r="A1767" s="3">
        <v>64804343</v>
      </c>
      <c r="B1767" s="3">
        <v>3910</v>
      </c>
      <c r="C1767" s="24">
        <v>952</v>
      </c>
      <c r="D1767" s="4">
        <v>46079</v>
      </c>
      <c r="E1767" t="str">
        <f>VLOOKUP($A1767,Sheet4!$A:$B,2,0)</f>
        <v>BR CS Cookies+Cream 4 1.41L</v>
      </c>
      <c r="F1767" s="3" t="s">
        <v>17</v>
      </c>
    </row>
    <row r="1768" spans="1:6" x14ac:dyDescent="0.25">
      <c r="A1768" s="3">
        <v>64804343</v>
      </c>
      <c r="B1768" s="3">
        <v>3910</v>
      </c>
      <c r="C1768" s="24">
        <v>1904</v>
      </c>
      <c r="D1768" s="4">
        <v>46079</v>
      </c>
      <c r="E1768" t="str">
        <f>VLOOKUP($A1768,Sheet4!$A:$B,2,0)</f>
        <v>BR CS Cookies+Cream 4 1.41L</v>
      </c>
      <c r="F1768" s="3" t="s">
        <v>17</v>
      </c>
    </row>
    <row r="1769" spans="1:6" x14ac:dyDescent="0.25">
      <c r="A1769" s="3">
        <v>64804343</v>
      </c>
      <c r="B1769" s="3">
        <v>3910</v>
      </c>
      <c r="C1769" s="24">
        <v>3121</v>
      </c>
      <c r="D1769" s="4">
        <v>46080</v>
      </c>
      <c r="E1769" t="str">
        <f>VLOOKUP($A1769,Sheet4!$A:$B,2,0)</f>
        <v>BR CS Cookies+Cream 4 1.41L</v>
      </c>
      <c r="F1769" s="3" t="s">
        <v>17</v>
      </c>
    </row>
    <row r="1770" spans="1:6" x14ac:dyDescent="0.25">
      <c r="A1770" s="3">
        <v>64804343</v>
      </c>
      <c r="B1770" s="3">
        <v>3910</v>
      </c>
      <c r="C1770" s="24">
        <v>6902</v>
      </c>
      <c r="D1770" s="4">
        <v>46100</v>
      </c>
      <c r="E1770" t="str">
        <f>VLOOKUP($A1770,Sheet4!$A:$B,2,0)</f>
        <v>BR CS Cookies+Cream 4 1.41L</v>
      </c>
      <c r="F1770" s="3" t="s">
        <v>17</v>
      </c>
    </row>
    <row r="1771" spans="1:6" x14ac:dyDescent="0.25">
      <c r="A1771" s="3">
        <v>64804343</v>
      </c>
      <c r="B1771" s="3">
        <v>3910</v>
      </c>
      <c r="C1771" s="24">
        <v>2142</v>
      </c>
      <c r="D1771" s="4">
        <v>46101</v>
      </c>
      <c r="E1771" t="str">
        <f>VLOOKUP($A1771,Sheet4!$A:$B,2,0)</f>
        <v>BR CS Cookies+Cream 4 1.41L</v>
      </c>
      <c r="F1771" s="3" t="s">
        <v>17</v>
      </c>
    </row>
    <row r="1772" spans="1:6" x14ac:dyDescent="0.25">
      <c r="A1772" s="3">
        <v>64804343</v>
      </c>
      <c r="B1772" s="3">
        <v>3910</v>
      </c>
      <c r="C1772" s="24">
        <v>13185</v>
      </c>
      <c r="D1772" s="4">
        <v>46101</v>
      </c>
      <c r="E1772" t="str">
        <f>VLOOKUP($A1772,Sheet4!$A:$B,2,0)</f>
        <v>BR CS Cookies+Cream 4 1.41L</v>
      </c>
      <c r="F1772" s="3" t="s">
        <v>17</v>
      </c>
    </row>
    <row r="1773" spans="1:6" x14ac:dyDescent="0.25">
      <c r="A1773" s="3">
        <v>64804344</v>
      </c>
      <c r="B1773" s="3">
        <v>3910</v>
      </c>
      <c r="C1773" s="24">
        <v>2142</v>
      </c>
      <c r="D1773" s="4">
        <v>46087</v>
      </c>
      <c r="E1773" t="str">
        <f>VLOOKUP($A1773,Sheet4!$A:$B,2,0)</f>
        <v>BR CS Mint Chocolatey Chip 4 1.41L</v>
      </c>
      <c r="F1773" s="3" t="s">
        <v>106</v>
      </c>
    </row>
    <row r="1774" spans="1:6" x14ac:dyDescent="0.25">
      <c r="A1774" s="3">
        <v>64804344</v>
      </c>
      <c r="B1774" s="3">
        <v>3910</v>
      </c>
      <c r="C1774" s="24">
        <v>12138</v>
      </c>
      <c r="D1774" s="4">
        <v>46087</v>
      </c>
      <c r="E1774" t="str">
        <f>VLOOKUP($A1774,Sheet4!$A:$B,2,0)</f>
        <v>BR CS Mint Chocolatey Chip 4 1.41L</v>
      </c>
      <c r="F1774" s="3" t="s">
        <v>106</v>
      </c>
    </row>
    <row r="1775" spans="1:6" x14ac:dyDescent="0.25">
      <c r="A1775" s="3">
        <v>64804344</v>
      </c>
      <c r="B1775" s="3">
        <v>3910</v>
      </c>
      <c r="C1775" s="24">
        <v>2142</v>
      </c>
      <c r="D1775" s="4">
        <v>46088</v>
      </c>
      <c r="E1775" t="str">
        <f>VLOOKUP($A1775,Sheet4!$A:$B,2,0)</f>
        <v>BR CS Mint Chocolatey Chip 4 1.41L</v>
      </c>
      <c r="F1775" s="3" t="s">
        <v>106</v>
      </c>
    </row>
    <row r="1776" spans="1:6" x14ac:dyDescent="0.25">
      <c r="A1776" s="3">
        <v>64804344</v>
      </c>
      <c r="B1776" s="3">
        <v>3910</v>
      </c>
      <c r="C1776" s="24">
        <v>17</v>
      </c>
      <c r="D1776" s="4">
        <v>46091</v>
      </c>
      <c r="E1776" t="str">
        <f>VLOOKUP($A1776,Sheet4!$A:$B,2,0)</f>
        <v>BR CS Mint Chocolatey Chip 4 1.41L</v>
      </c>
      <c r="F1776" s="3" t="s">
        <v>106</v>
      </c>
    </row>
    <row r="1777" spans="1:6" x14ac:dyDescent="0.25">
      <c r="A1777" s="3">
        <v>64804344</v>
      </c>
      <c r="B1777" s="3">
        <v>3910</v>
      </c>
      <c r="C1777" s="24">
        <v>1622</v>
      </c>
      <c r="D1777" s="4">
        <v>46088</v>
      </c>
      <c r="E1777" t="str">
        <f>VLOOKUP($A1777,Sheet4!$A:$B,2,0)</f>
        <v>BR CS Mint Chocolatey Chip 4 1.41L</v>
      </c>
      <c r="F1777" s="3" t="s">
        <v>106</v>
      </c>
    </row>
    <row r="1778" spans="1:6" x14ac:dyDescent="0.25">
      <c r="A1778" s="3">
        <v>64804345</v>
      </c>
      <c r="B1778" s="3">
        <v>3910</v>
      </c>
      <c r="C1778" s="24">
        <v>3570</v>
      </c>
      <c r="D1778" s="4">
        <v>46100</v>
      </c>
      <c r="E1778" t="str">
        <f>VLOOKUP($A1778,Sheet4!$A:$B,2,0)</f>
        <v>BR CS Rocky Road 4 1.41L</v>
      </c>
      <c r="F1778" s="3" t="s">
        <v>106</v>
      </c>
    </row>
    <row r="1779" spans="1:6" x14ac:dyDescent="0.25">
      <c r="A1779" s="3">
        <v>64804345</v>
      </c>
      <c r="B1779" s="3">
        <v>3910</v>
      </c>
      <c r="C1779" s="24">
        <v>1904</v>
      </c>
      <c r="D1779" s="4">
        <v>46101</v>
      </c>
      <c r="E1779" t="str">
        <f>VLOOKUP($A1779,Sheet4!$A:$B,2,0)</f>
        <v>BR CS Rocky Road 4 1.41L</v>
      </c>
      <c r="F1779" s="3" t="s">
        <v>106</v>
      </c>
    </row>
    <row r="1780" spans="1:6" x14ac:dyDescent="0.25">
      <c r="A1780" s="3">
        <v>64804345</v>
      </c>
      <c r="B1780" s="3">
        <v>3910</v>
      </c>
      <c r="C1780" s="24">
        <v>10710</v>
      </c>
      <c r="D1780" s="4">
        <v>46101</v>
      </c>
      <c r="E1780" t="str">
        <f>VLOOKUP($A1780,Sheet4!$A:$B,2,0)</f>
        <v>BR CS Rocky Road 4 1.41L</v>
      </c>
      <c r="F1780" s="3" t="s">
        <v>106</v>
      </c>
    </row>
    <row r="1781" spans="1:6" x14ac:dyDescent="0.25">
      <c r="A1781" s="3">
        <v>64804345</v>
      </c>
      <c r="B1781" s="3">
        <v>3910</v>
      </c>
      <c r="C1781" s="24">
        <v>2135</v>
      </c>
      <c r="D1781" s="4">
        <v>46104</v>
      </c>
      <c r="E1781" t="str">
        <f>VLOOKUP($A1781,Sheet4!$A:$B,2,0)</f>
        <v>BR CS Rocky Road 4 1.41L</v>
      </c>
      <c r="F1781" s="3" t="s">
        <v>106</v>
      </c>
    </row>
    <row r="1782" spans="1:6" x14ac:dyDescent="0.25">
      <c r="A1782" s="3">
        <v>64804346</v>
      </c>
      <c r="B1782" s="3">
        <v>3910</v>
      </c>
      <c r="C1782" s="24">
        <v>1904</v>
      </c>
      <c r="D1782" s="4">
        <v>46077</v>
      </c>
      <c r="E1782" t="str">
        <f>VLOOKUP($A1782,Sheet4!$A:$B,2,0)</f>
        <v>BR CS Chocolate Chip CookieDough 4 1.41L</v>
      </c>
      <c r="F1782" s="3" t="s">
        <v>106</v>
      </c>
    </row>
    <row r="1783" spans="1:6" x14ac:dyDescent="0.25">
      <c r="A1783" s="3">
        <v>64804346</v>
      </c>
      <c r="B1783" s="3">
        <v>3910</v>
      </c>
      <c r="C1783" s="24">
        <v>2380</v>
      </c>
      <c r="D1783" s="4">
        <v>46078</v>
      </c>
      <c r="E1783" t="str">
        <f>VLOOKUP($A1783,Sheet4!$A:$B,2,0)</f>
        <v>BR CS Chocolate Chip CookieDough 4 1.41L</v>
      </c>
      <c r="F1783" s="3" t="s">
        <v>106</v>
      </c>
    </row>
    <row r="1784" spans="1:6" x14ac:dyDescent="0.25">
      <c r="A1784" s="3">
        <v>64804346</v>
      </c>
      <c r="B1784" s="3">
        <v>3910</v>
      </c>
      <c r="C1784" s="24">
        <v>10948</v>
      </c>
      <c r="D1784" s="4">
        <v>46078</v>
      </c>
      <c r="E1784" t="str">
        <f>VLOOKUP($A1784,Sheet4!$A:$B,2,0)</f>
        <v>BR CS Chocolate Chip CookieDough 4 1.41L</v>
      </c>
      <c r="F1784" s="3" t="s">
        <v>106</v>
      </c>
    </row>
    <row r="1785" spans="1:6" x14ac:dyDescent="0.25">
      <c r="A1785" s="3">
        <v>64804346</v>
      </c>
      <c r="B1785" s="3">
        <v>3910</v>
      </c>
      <c r="C1785" s="24">
        <v>2856</v>
      </c>
      <c r="D1785" s="4">
        <v>46079</v>
      </c>
      <c r="E1785" t="str">
        <f>VLOOKUP($A1785,Sheet4!$A:$B,2,0)</f>
        <v>BR CS Chocolate Chip CookieDough 4 1.41L</v>
      </c>
      <c r="F1785" s="3" t="s">
        <v>106</v>
      </c>
    </row>
    <row r="1786" spans="1:6" x14ac:dyDescent="0.25">
      <c r="A1786" s="3">
        <v>64804346</v>
      </c>
      <c r="B1786" s="3">
        <v>3910</v>
      </c>
      <c r="C1786" s="24">
        <v>2430</v>
      </c>
      <c r="D1786" s="4">
        <v>46079</v>
      </c>
      <c r="E1786" t="str">
        <f>VLOOKUP($A1786,Sheet4!$A:$B,2,0)</f>
        <v>BR CS Chocolate Chip CookieDough 4 1.41L</v>
      </c>
      <c r="F1786" s="3" t="s">
        <v>106</v>
      </c>
    </row>
    <row r="1787" spans="1:6" x14ac:dyDescent="0.25">
      <c r="A1787" s="3">
        <v>64804367</v>
      </c>
      <c r="B1787" s="3">
        <v>3910</v>
      </c>
      <c r="C1787" s="24">
        <v>4760</v>
      </c>
      <c r="D1787" s="4">
        <v>46079</v>
      </c>
      <c r="E1787" t="str">
        <f>VLOOKUP($A1787,Sheet4!$A:$B,2,0)</f>
        <v>BR CS Chocolate 4 1.41L</v>
      </c>
      <c r="F1787" s="3" t="s">
        <v>17</v>
      </c>
    </row>
    <row r="1788" spans="1:6" x14ac:dyDescent="0.25">
      <c r="A1788" s="3">
        <v>64804367</v>
      </c>
      <c r="B1788" s="3">
        <v>3910</v>
      </c>
      <c r="C1788" s="24">
        <v>1190</v>
      </c>
      <c r="D1788" s="4">
        <v>46080</v>
      </c>
      <c r="E1788" t="str">
        <f>VLOOKUP($A1788,Sheet4!$A:$B,2,0)</f>
        <v>BR CS Chocolate 4 1.41L</v>
      </c>
      <c r="F1788" s="3" t="s">
        <v>17</v>
      </c>
    </row>
    <row r="1789" spans="1:6" x14ac:dyDescent="0.25">
      <c r="A1789" s="3">
        <v>64804367</v>
      </c>
      <c r="B1789" s="3">
        <v>3910</v>
      </c>
      <c r="C1789" s="24">
        <v>15708</v>
      </c>
      <c r="D1789" s="4">
        <v>46080</v>
      </c>
      <c r="E1789" t="str">
        <f>VLOOKUP($A1789,Sheet4!$A:$B,2,0)</f>
        <v>BR CS Chocolate 4 1.41L</v>
      </c>
      <c r="F1789" s="3" t="s">
        <v>17</v>
      </c>
    </row>
    <row r="1790" spans="1:6" x14ac:dyDescent="0.25">
      <c r="A1790" s="3">
        <v>64804367</v>
      </c>
      <c r="B1790" s="3">
        <v>3910</v>
      </c>
      <c r="C1790" s="24">
        <v>2817</v>
      </c>
      <c r="D1790" s="4">
        <v>46081</v>
      </c>
      <c r="E1790" t="str">
        <f>VLOOKUP($A1790,Sheet4!$A:$B,2,0)</f>
        <v>BR CS Chocolate 4 1.41L</v>
      </c>
      <c r="F1790" s="3" t="s">
        <v>17</v>
      </c>
    </row>
    <row r="1791" spans="1:6" x14ac:dyDescent="0.25">
      <c r="A1791" s="3">
        <v>64804367</v>
      </c>
      <c r="B1791" s="3">
        <v>3910</v>
      </c>
      <c r="C1791" s="24">
        <v>-1187</v>
      </c>
      <c r="D1791" s="4">
        <v>46083</v>
      </c>
      <c r="E1791" t="str">
        <f>VLOOKUP($A1791,Sheet4!$A:$B,2,0)</f>
        <v>BR CS Chocolate 4 1.41L</v>
      </c>
      <c r="F1791" s="3" t="s">
        <v>17</v>
      </c>
    </row>
    <row r="1792" spans="1:6" x14ac:dyDescent="0.25">
      <c r="A1792" s="3">
        <v>64804368</v>
      </c>
      <c r="B1792" s="3">
        <v>3910</v>
      </c>
      <c r="C1792" s="24">
        <v>7616</v>
      </c>
      <c r="D1792" s="4">
        <v>46083</v>
      </c>
      <c r="E1792" t="str">
        <f>VLOOKUP($A1792,Sheet4!$A:$B,2,0)</f>
        <v>BR CS Neapolitan 4 1.41L</v>
      </c>
      <c r="F1792" s="3" t="s">
        <v>17</v>
      </c>
    </row>
    <row r="1793" spans="1:6" x14ac:dyDescent="0.25">
      <c r="A1793" s="3">
        <v>64804368</v>
      </c>
      <c r="B1793" s="3">
        <v>3910</v>
      </c>
      <c r="C1793" s="24">
        <v>2856</v>
      </c>
      <c r="D1793" s="4">
        <v>46084</v>
      </c>
      <c r="E1793" t="str">
        <f>VLOOKUP($A1793,Sheet4!$A:$B,2,0)</f>
        <v>BR CS Neapolitan 4 1.41L</v>
      </c>
      <c r="F1793" s="3" t="s">
        <v>17</v>
      </c>
    </row>
    <row r="1794" spans="1:6" x14ac:dyDescent="0.25">
      <c r="A1794" s="3">
        <v>64804368</v>
      </c>
      <c r="B1794" s="3">
        <v>3910</v>
      </c>
      <c r="C1794" s="24">
        <v>16184</v>
      </c>
      <c r="D1794" s="4">
        <v>46084</v>
      </c>
      <c r="E1794" t="str">
        <f>VLOOKUP($A1794,Sheet4!$A:$B,2,0)</f>
        <v>BR CS Neapolitan 4 1.41L</v>
      </c>
      <c r="F1794" s="3" t="s">
        <v>17</v>
      </c>
    </row>
    <row r="1795" spans="1:6" x14ac:dyDescent="0.25">
      <c r="A1795" s="3">
        <v>64804368</v>
      </c>
      <c r="B1795" s="3">
        <v>3910</v>
      </c>
      <c r="C1795" s="24">
        <v>2142</v>
      </c>
      <c r="D1795" s="4">
        <v>46085</v>
      </c>
      <c r="E1795" t="str">
        <f>VLOOKUP($A1795,Sheet4!$A:$B,2,0)</f>
        <v>BR CS Neapolitan 4 1.41L</v>
      </c>
      <c r="F1795" s="3" t="s">
        <v>17</v>
      </c>
    </row>
    <row r="1796" spans="1:6" x14ac:dyDescent="0.25">
      <c r="A1796" s="3">
        <v>64804368</v>
      </c>
      <c r="B1796" s="3">
        <v>3910</v>
      </c>
      <c r="C1796" s="24">
        <v>-1</v>
      </c>
      <c r="D1796" s="4">
        <v>46086</v>
      </c>
      <c r="E1796" t="str">
        <f>VLOOKUP($A1796,Sheet4!$A:$B,2,0)</f>
        <v>BR CS Neapolitan 4 1.41L</v>
      </c>
      <c r="F1796" s="3" t="s">
        <v>17</v>
      </c>
    </row>
    <row r="1797" spans="1:6" x14ac:dyDescent="0.25">
      <c r="A1797" s="3">
        <v>64804368</v>
      </c>
      <c r="B1797" s="3">
        <v>3910</v>
      </c>
      <c r="C1797" s="24">
        <v>6188</v>
      </c>
      <c r="D1797" s="4">
        <v>46085</v>
      </c>
      <c r="E1797" t="str">
        <f>VLOOKUP($A1797,Sheet4!$A:$B,2,0)</f>
        <v>BR CS Neapolitan 4 1.41L</v>
      </c>
      <c r="F1797" s="3" t="s">
        <v>17</v>
      </c>
    </row>
    <row r="1798" spans="1:6" x14ac:dyDescent="0.25">
      <c r="A1798" s="3">
        <v>64804368</v>
      </c>
      <c r="B1798" s="3">
        <v>3910</v>
      </c>
      <c r="C1798" s="24">
        <v>559</v>
      </c>
      <c r="D1798" s="4">
        <v>46086</v>
      </c>
      <c r="E1798" t="str">
        <f>VLOOKUP($A1798,Sheet4!$A:$B,2,0)</f>
        <v>BR CS Neapolitan 4 1.41L</v>
      </c>
      <c r="F1798" s="3" t="s">
        <v>17</v>
      </c>
    </row>
    <row r="1799" spans="1:6" x14ac:dyDescent="0.25">
      <c r="A1799" s="3">
        <v>64804369</v>
      </c>
      <c r="B1799" s="3">
        <v>3910</v>
      </c>
      <c r="C1799" s="24">
        <v>11662</v>
      </c>
      <c r="D1799" s="4">
        <v>46090</v>
      </c>
      <c r="E1799" t="str">
        <f>VLOOKUP($A1799,Sheet4!$A:$B,2,0)</f>
        <v>BR CS French Vanilla 4 1.41L</v>
      </c>
      <c r="F1799" s="3" t="s">
        <v>106</v>
      </c>
    </row>
    <row r="1800" spans="1:6" x14ac:dyDescent="0.25">
      <c r="A1800" s="3">
        <v>64804369</v>
      </c>
      <c r="B1800" s="3">
        <v>3910</v>
      </c>
      <c r="C1800" s="24">
        <v>2618</v>
      </c>
      <c r="D1800" s="4">
        <v>46091</v>
      </c>
      <c r="E1800" t="str">
        <f>VLOOKUP($A1800,Sheet4!$A:$B,2,0)</f>
        <v>BR CS French Vanilla 4 1.41L</v>
      </c>
      <c r="F1800" s="3" t="s">
        <v>106</v>
      </c>
    </row>
    <row r="1801" spans="1:6" x14ac:dyDescent="0.25">
      <c r="A1801" s="3">
        <v>64804369</v>
      </c>
      <c r="B1801" s="3">
        <v>3910</v>
      </c>
      <c r="C1801" s="24">
        <v>11186</v>
      </c>
      <c r="D1801" s="4">
        <v>46091</v>
      </c>
      <c r="E1801" t="str">
        <f>VLOOKUP($A1801,Sheet4!$A:$B,2,0)</f>
        <v>BR CS French Vanilla 4 1.41L</v>
      </c>
      <c r="F1801" s="3" t="s">
        <v>106</v>
      </c>
    </row>
    <row r="1802" spans="1:6" x14ac:dyDescent="0.25">
      <c r="A1802" s="3">
        <v>64804369</v>
      </c>
      <c r="B1802" s="3">
        <v>3910</v>
      </c>
      <c r="C1802" s="24">
        <v>2243</v>
      </c>
      <c r="D1802" s="4">
        <v>46092</v>
      </c>
      <c r="E1802" t="str">
        <f>VLOOKUP($A1802,Sheet4!$A:$B,2,0)</f>
        <v>BR CS French Vanilla 4 1.41L</v>
      </c>
      <c r="F1802" s="3" t="s">
        <v>106</v>
      </c>
    </row>
    <row r="1803" spans="1:6" x14ac:dyDescent="0.25">
      <c r="A1803" s="3">
        <v>64804369</v>
      </c>
      <c r="B1803" s="3">
        <v>3910</v>
      </c>
      <c r="C1803" s="24">
        <v>9044</v>
      </c>
      <c r="D1803" s="4">
        <v>46092</v>
      </c>
      <c r="E1803" t="str">
        <f>VLOOKUP($A1803,Sheet4!$A:$B,2,0)</f>
        <v>BR CS French Vanilla 4 1.41L</v>
      </c>
      <c r="F1803" s="3" t="s">
        <v>106</v>
      </c>
    </row>
    <row r="1804" spans="1:6" x14ac:dyDescent="0.25">
      <c r="A1804" s="3">
        <v>64804369</v>
      </c>
      <c r="B1804" s="3">
        <v>3910</v>
      </c>
      <c r="C1804" s="24">
        <v>2856</v>
      </c>
      <c r="D1804" s="4">
        <v>46093</v>
      </c>
      <c r="E1804" t="str">
        <f>VLOOKUP($A1804,Sheet4!$A:$B,2,0)</f>
        <v>BR CS French Vanilla 4 1.41L</v>
      </c>
      <c r="F1804" s="3" t="s">
        <v>106</v>
      </c>
    </row>
    <row r="1805" spans="1:6" x14ac:dyDescent="0.25">
      <c r="A1805" s="3">
        <v>64804369</v>
      </c>
      <c r="B1805" s="3">
        <v>3910</v>
      </c>
      <c r="C1805" s="24">
        <v>14756</v>
      </c>
      <c r="D1805" s="4">
        <v>46093</v>
      </c>
      <c r="E1805" t="str">
        <f>VLOOKUP($A1805,Sheet4!$A:$B,2,0)</f>
        <v>BR CS French Vanilla 4 1.41L</v>
      </c>
      <c r="F1805" s="3" t="s">
        <v>106</v>
      </c>
    </row>
    <row r="1806" spans="1:6" x14ac:dyDescent="0.25">
      <c r="A1806" s="3">
        <v>64804369</v>
      </c>
      <c r="B1806" s="3">
        <v>3910</v>
      </c>
      <c r="C1806" s="24">
        <v>2142</v>
      </c>
      <c r="D1806" s="4">
        <v>46094</v>
      </c>
      <c r="E1806" t="str">
        <f>VLOOKUP($A1806,Sheet4!$A:$B,2,0)</f>
        <v>BR CS French Vanilla 4 1.41L</v>
      </c>
      <c r="F1806" s="3" t="s">
        <v>106</v>
      </c>
    </row>
    <row r="1807" spans="1:6" x14ac:dyDescent="0.25">
      <c r="A1807" s="3">
        <v>64804369</v>
      </c>
      <c r="B1807" s="3">
        <v>3910</v>
      </c>
      <c r="C1807" s="24">
        <v>11186</v>
      </c>
      <c r="D1807" s="4">
        <v>46094</v>
      </c>
      <c r="E1807" t="str">
        <f>VLOOKUP($A1807,Sheet4!$A:$B,2,0)</f>
        <v>BR CS French Vanilla 4 1.41L</v>
      </c>
      <c r="F1807" s="3" t="s">
        <v>106</v>
      </c>
    </row>
    <row r="1808" spans="1:6" x14ac:dyDescent="0.25">
      <c r="A1808" s="3">
        <v>64804369</v>
      </c>
      <c r="B1808" s="3">
        <v>3910</v>
      </c>
      <c r="C1808" s="24">
        <v>1216</v>
      </c>
      <c r="D1808" s="4">
        <v>46097</v>
      </c>
      <c r="E1808" t="str">
        <f>VLOOKUP($A1808,Sheet4!$A:$B,2,0)</f>
        <v>BR CS French Vanilla 4 1.41L</v>
      </c>
      <c r="F1808" s="3" t="s">
        <v>106</v>
      </c>
    </row>
    <row r="1809" spans="1:6" x14ac:dyDescent="0.25">
      <c r="A1809" s="3">
        <v>64804370</v>
      </c>
      <c r="B1809" s="3">
        <v>3910</v>
      </c>
      <c r="C1809" s="24">
        <v>8644</v>
      </c>
      <c r="D1809" s="4">
        <v>46097</v>
      </c>
      <c r="E1809" t="str">
        <f>VLOOKUP($A1809,Sheet4!$A:$B,2,0)</f>
        <v>BR CS Natural Vanilla 4 1.41L</v>
      </c>
      <c r="F1809" s="3" t="s">
        <v>17</v>
      </c>
    </row>
    <row r="1810" spans="1:6" x14ac:dyDescent="0.25">
      <c r="A1810" s="3">
        <v>64804370</v>
      </c>
      <c r="B1810" s="3">
        <v>3910</v>
      </c>
      <c r="C1810" s="24">
        <v>714</v>
      </c>
      <c r="D1810" s="4">
        <v>46098</v>
      </c>
      <c r="E1810" t="str">
        <f>VLOOKUP($A1810,Sheet4!$A:$B,2,0)</f>
        <v>BR CS Natural Vanilla 4 1.41L</v>
      </c>
      <c r="F1810" s="3" t="s">
        <v>17</v>
      </c>
    </row>
    <row r="1811" spans="1:6" x14ac:dyDescent="0.25">
      <c r="A1811" s="3">
        <v>64804370</v>
      </c>
      <c r="B1811" s="3">
        <v>3910</v>
      </c>
      <c r="C1811" s="24">
        <v>8981</v>
      </c>
      <c r="D1811" s="4">
        <v>46098</v>
      </c>
      <c r="E1811" t="str">
        <f>VLOOKUP($A1811,Sheet4!$A:$B,2,0)</f>
        <v>BR CS Natural Vanilla 4 1.41L</v>
      </c>
      <c r="F1811" s="3" t="s">
        <v>17</v>
      </c>
    </row>
    <row r="1812" spans="1:6" x14ac:dyDescent="0.25">
      <c r="A1812" s="3">
        <v>64804370</v>
      </c>
      <c r="B1812" s="3">
        <v>3910</v>
      </c>
      <c r="C1812" s="24">
        <v>1666</v>
      </c>
      <c r="D1812" s="4">
        <v>46099</v>
      </c>
      <c r="E1812" t="str">
        <f>VLOOKUP($A1812,Sheet4!$A:$B,2,0)</f>
        <v>BR CS Natural Vanilla 4 1.41L</v>
      </c>
      <c r="F1812" s="3" t="s">
        <v>17</v>
      </c>
    </row>
    <row r="1813" spans="1:6" x14ac:dyDescent="0.25">
      <c r="A1813" s="3">
        <v>64804370</v>
      </c>
      <c r="B1813" s="3">
        <v>3910</v>
      </c>
      <c r="C1813" s="24">
        <v>15708</v>
      </c>
      <c r="D1813" s="4">
        <v>46099</v>
      </c>
      <c r="E1813" t="str">
        <f>VLOOKUP($A1813,Sheet4!$A:$B,2,0)</f>
        <v>BR CS Natural Vanilla 4 1.41L</v>
      </c>
      <c r="F1813" s="3" t="s">
        <v>17</v>
      </c>
    </row>
    <row r="1814" spans="1:6" x14ac:dyDescent="0.25">
      <c r="A1814" s="3">
        <v>64804370</v>
      </c>
      <c r="B1814" s="3">
        <v>3910</v>
      </c>
      <c r="C1814" s="24">
        <v>2380</v>
      </c>
      <c r="D1814" s="4">
        <v>46100</v>
      </c>
      <c r="E1814" t="str">
        <f>VLOOKUP($A1814,Sheet4!$A:$B,2,0)</f>
        <v>BR CS Natural Vanilla 4 1.41L</v>
      </c>
      <c r="F1814" s="3" t="s">
        <v>17</v>
      </c>
    </row>
    <row r="1815" spans="1:6" x14ac:dyDescent="0.25">
      <c r="A1815" s="3">
        <v>64804370</v>
      </c>
      <c r="B1815" s="3">
        <v>3910</v>
      </c>
      <c r="C1815" s="24">
        <v>2142</v>
      </c>
      <c r="D1815" s="4">
        <v>46100</v>
      </c>
      <c r="E1815" t="str">
        <f>VLOOKUP($A1815,Sheet4!$A:$B,2,0)</f>
        <v>BR CS Natural Vanilla 4 1.41L</v>
      </c>
      <c r="F1815" s="3" t="s">
        <v>17</v>
      </c>
    </row>
    <row r="1816" spans="1:6" x14ac:dyDescent="0.25">
      <c r="A1816" s="3">
        <v>64804370</v>
      </c>
      <c r="B1816" s="3">
        <v>3910</v>
      </c>
      <c r="C1816" s="24">
        <v>889</v>
      </c>
      <c r="D1816" s="4">
        <v>46101</v>
      </c>
      <c r="E1816" t="str">
        <f>VLOOKUP($A1816,Sheet4!$A:$B,2,0)</f>
        <v>BR CS Natural Vanilla 4 1.41L</v>
      </c>
      <c r="F1816" s="3" t="s">
        <v>17</v>
      </c>
    </row>
    <row r="1817" spans="1:6" x14ac:dyDescent="0.25">
      <c r="A1817" s="3">
        <v>64804372</v>
      </c>
      <c r="B1817" s="3">
        <v>3910</v>
      </c>
      <c r="C1817" s="24">
        <v>1666</v>
      </c>
      <c r="D1817" s="4">
        <v>46079</v>
      </c>
      <c r="E1817" t="str">
        <f>VLOOKUP($A1817,Sheet4!$A:$B,2,0)</f>
        <v>BR CS Caramel Fudge Plus 4 1.41L</v>
      </c>
      <c r="F1817" s="3" t="s">
        <v>106</v>
      </c>
    </row>
    <row r="1818" spans="1:6" x14ac:dyDescent="0.25">
      <c r="A1818" s="3">
        <v>64804372</v>
      </c>
      <c r="B1818" s="3">
        <v>3910</v>
      </c>
      <c r="C1818" s="24">
        <v>1904</v>
      </c>
      <c r="D1818" s="4">
        <v>46080</v>
      </c>
      <c r="E1818" t="str">
        <f>VLOOKUP($A1818,Sheet4!$A:$B,2,0)</f>
        <v>BR CS Caramel Fudge Plus 4 1.41L</v>
      </c>
      <c r="F1818" s="3" t="s">
        <v>106</v>
      </c>
    </row>
    <row r="1819" spans="1:6" x14ac:dyDescent="0.25">
      <c r="A1819" s="3">
        <v>64804372</v>
      </c>
      <c r="B1819" s="3">
        <v>3910</v>
      </c>
      <c r="C1819" s="24">
        <v>11186</v>
      </c>
      <c r="D1819" s="4">
        <v>46080</v>
      </c>
      <c r="E1819" t="str">
        <f>VLOOKUP($A1819,Sheet4!$A:$B,2,0)</f>
        <v>BR CS Caramel Fudge Plus 4 1.41L</v>
      </c>
      <c r="F1819" s="3" t="s">
        <v>106</v>
      </c>
    </row>
    <row r="1820" spans="1:6" x14ac:dyDescent="0.25">
      <c r="A1820" s="3">
        <v>64804372</v>
      </c>
      <c r="B1820" s="3">
        <v>3910</v>
      </c>
      <c r="C1820" s="24">
        <v>5712</v>
      </c>
      <c r="D1820" s="4">
        <v>46081</v>
      </c>
      <c r="E1820" t="str">
        <f>VLOOKUP($A1820,Sheet4!$A:$B,2,0)</f>
        <v>BR CS Caramel Fudge Plus 4 1.41L</v>
      </c>
      <c r="F1820" s="3" t="s">
        <v>106</v>
      </c>
    </row>
    <row r="1821" spans="1:6" x14ac:dyDescent="0.25">
      <c r="A1821" s="3">
        <v>64804375</v>
      </c>
      <c r="B1821" s="3">
        <v>3910</v>
      </c>
      <c r="C1821" s="24">
        <v>1428</v>
      </c>
      <c r="D1821" s="4">
        <v>46085</v>
      </c>
      <c r="E1821" t="str">
        <f>VLOOKUP($A1821,Sheet4!$A:$B,2,0)</f>
        <v>BR CS Butterscotch Ripple Plus 4 1.41L</v>
      </c>
      <c r="F1821" s="3" t="s">
        <v>106</v>
      </c>
    </row>
    <row r="1822" spans="1:6" x14ac:dyDescent="0.25">
      <c r="A1822" s="3">
        <v>64804375</v>
      </c>
      <c r="B1822" s="3">
        <v>3910</v>
      </c>
      <c r="C1822" s="24">
        <v>11186</v>
      </c>
      <c r="D1822" s="4">
        <v>46085</v>
      </c>
      <c r="E1822" t="str">
        <f>VLOOKUP($A1822,Sheet4!$A:$B,2,0)</f>
        <v>BR CS Butterscotch Ripple Plus 4 1.41L</v>
      </c>
      <c r="F1822" s="3" t="s">
        <v>106</v>
      </c>
    </row>
    <row r="1823" spans="1:6" x14ac:dyDescent="0.25">
      <c r="A1823" s="3">
        <v>64804375</v>
      </c>
      <c r="B1823" s="3">
        <v>3910</v>
      </c>
      <c r="C1823" s="24">
        <v>2380</v>
      </c>
      <c r="D1823" s="4">
        <v>46086</v>
      </c>
      <c r="E1823" t="str">
        <f>VLOOKUP($A1823,Sheet4!$A:$B,2,0)</f>
        <v>BR CS Butterscotch Ripple Plus 4 1.41L</v>
      </c>
      <c r="F1823" s="3" t="s">
        <v>106</v>
      </c>
    </row>
    <row r="1824" spans="1:6" x14ac:dyDescent="0.25">
      <c r="A1824" s="3">
        <v>64804375</v>
      </c>
      <c r="B1824" s="3">
        <v>3910</v>
      </c>
      <c r="C1824" s="24">
        <v>7614</v>
      </c>
      <c r="D1824" s="4">
        <v>46086</v>
      </c>
      <c r="E1824" t="str">
        <f>VLOOKUP($A1824,Sheet4!$A:$B,2,0)</f>
        <v>BR CS Butterscotch Ripple Plus 4 1.41L</v>
      </c>
      <c r="F1824" s="3" t="s">
        <v>106</v>
      </c>
    </row>
    <row r="1825" spans="1:6" x14ac:dyDescent="0.25">
      <c r="A1825" s="3">
        <v>64804375</v>
      </c>
      <c r="B1825" s="3">
        <v>3910</v>
      </c>
      <c r="C1825" s="24">
        <v>1128</v>
      </c>
      <c r="D1825" s="4">
        <v>46087</v>
      </c>
      <c r="E1825" t="str">
        <f>VLOOKUP($A1825,Sheet4!$A:$B,2,0)</f>
        <v>BR CS Butterscotch Ripple Plus 4 1.41L</v>
      </c>
      <c r="F1825" s="3" t="s">
        <v>106</v>
      </c>
    </row>
    <row r="1826" spans="1:6" x14ac:dyDescent="0.25">
      <c r="A1826" s="3">
        <v>64804375</v>
      </c>
      <c r="B1826" s="3">
        <v>3910</v>
      </c>
      <c r="C1826" s="24">
        <v>-2</v>
      </c>
      <c r="D1826" s="4">
        <v>46092</v>
      </c>
      <c r="E1826" t="str">
        <f>VLOOKUP($A1826,Sheet4!$A:$B,2,0)</f>
        <v>BR CS Butterscotch Ripple Plus 4 1.41L</v>
      </c>
      <c r="F1826" s="3" t="s">
        <v>106</v>
      </c>
    </row>
    <row r="1827" spans="1:6" x14ac:dyDescent="0.25">
      <c r="A1827" s="3">
        <v>64804375</v>
      </c>
      <c r="B1827" s="3">
        <v>3910</v>
      </c>
      <c r="C1827" s="24">
        <v>1666</v>
      </c>
      <c r="D1827" s="4">
        <v>46093</v>
      </c>
      <c r="E1827" t="str">
        <f>VLOOKUP($A1827,Sheet4!$A:$B,2,0)</f>
        <v>BR CS Butterscotch Ripple Plus 4 1.41L</v>
      </c>
      <c r="F1827" s="3" t="s">
        <v>17</v>
      </c>
    </row>
    <row r="1828" spans="1:6" x14ac:dyDescent="0.25">
      <c r="A1828" s="3">
        <v>64804375</v>
      </c>
      <c r="B1828" s="3">
        <v>3910</v>
      </c>
      <c r="C1828" s="24">
        <v>1666</v>
      </c>
      <c r="D1828" s="4">
        <v>46094</v>
      </c>
      <c r="E1828" t="str">
        <f>VLOOKUP($A1828,Sheet4!$A:$B,2,0)</f>
        <v>BR CS Butterscotch Ripple Plus 4 1.41L</v>
      </c>
      <c r="F1828" s="3" t="s">
        <v>17</v>
      </c>
    </row>
    <row r="1829" spans="1:6" x14ac:dyDescent="0.25">
      <c r="A1829" s="3">
        <v>64804375</v>
      </c>
      <c r="B1829" s="3">
        <v>3910</v>
      </c>
      <c r="C1829" s="24">
        <v>3332</v>
      </c>
      <c r="D1829" s="4">
        <v>46094</v>
      </c>
      <c r="E1829" t="str">
        <f>VLOOKUP($A1829,Sheet4!$A:$B,2,0)</f>
        <v>BR CS Butterscotch Ripple Plus 4 1.41L</v>
      </c>
      <c r="F1829" s="3" t="s">
        <v>17</v>
      </c>
    </row>
    <row r="1830" spans="1:6" x14ac:dyDescent="0.25">
      <c r="A1830" s="3">
        <v>64804375</v>
      </c>
      <c r="B1830" s="3">
        <v>3910</v>
      </c>
      <c r="C1830" s="24">
        <v>943</v>
      </c>
      <c r="D1830" s="4">
        <v>46097</v>
      </c>
      <c r="E1830" t="str">
        <f>VLOOKUP($A1830,Sheet4!$A:$B,2,0)</f>
        <v>BR CS Butterscotch Ripple Plus 4 1.41L</v>
      </c>
      <c r="F1830" s="3" t="s">
        <v>17</v>
      </c>
    </row>
    <row r="1831" spans="1:6" x14ac:dyDescent="0.25">
      <c r="A1831" s="3">
        <v>64804376</v>
      </c>
      <c r="B1831" s="3">
        <v>3910</v>
      </c>
      <c r="C1831" s="24">
        <v>12614</v>
      </c>
      <c r="D1831" s="4">
        <v>46076</v>
      </c>
      <c r="E1831" t="str">
        <f>VLOOKUP($A1831,Sheet4!$A:$B,2,0)</f>
        <v>BR CS Dark Cherry Vanilla Plus 4 1.41L</v>
      </c>
      <c r="F1831" s="3" t="s">
        <v>106</v>
      </c>
    </row>
    <row r="1832" spans="1:6" x14ac:dyDescent="0.25">
      <c r="A1832" s="3">
        <v>64804376</v>
      </c>
      <c r="B1832" s="3">
        <v>3910</v>
      </c>
      <c r="C1832" s="24">
        <v>2856</v>
      </c>
      <c r="D1832" s="4">
        <v>46077</v>
      </c>
      <c r="E1832" t="str">
        <f>VLOOKUP($A1832,Sheet4!$A:$B,2,0)</f>
        <v>BR CS Dark Cherry Vanilla Plus 4 1.41L</v>
      </c>
      <c r="F1832" s="3" t="s">
        <v>106</v>
      </c>
    </row>
    <row r="1833" spans="1:6" x14ac:dyDescent="0.25">
      <c r="A1833" s="3">
        <v>64804376</v>
      </c>
      <c r="B1833" s="3">
        <v>3910</v>
      </c>
      <c r="C1833" s="24">
        <v>7059</v>
      </c>
      <c r="D1833" s="4">
        <v>46077</v>
      </c>
      <c r="E1833" t="str">
        <f>VLOOKUP($A1833,Sheet4!$A:$B,2,0)</f>
        <v>BR CS Dark Cherry Vanilla Plus 4 1.41L</v>
      </c>
      <c r="F1833" s="3" t="s">
        <v>106</v>
      </c>
    </row>
    <row r="1834" spans="1:6" x14ac:dyDescent="0.25">
      <c r="A1834" s="3">
        <v>64804395</v>
      </c>
      <c r="B1834" s="3">
        <v>3910</v>
      </c>
      <c r="C1834" s="24">
        <v>8330</v>
      </c>
      <c r="D1834" s="4">
        <v>46097</v>
      </c>
      <c r="E1834" t="str">
        <f>VLOOKUP($A1834,Sheet4!$A:$B,2,0)</f>
        <v>BR CL Vanilla 4 1.41L</v>
      </c>
      <c r="F1834" s="3" t="s">
        <v>106</v>
      </c>
    </row>
    <row r="1835" spans="1:6" x14ac:dyDescent="0.25">
      <c r="A1835" s="3">
        <v>64804395</v>
      </c>
      <c r="B1835" s="3">
        <v>3910</v>
      </c>
      <c r="C1835" s="24">
        <v>1666</v>
      </c>
      <c r="D1835" s="4">
        <v>46098</v>
      </c>
      <c r="E1835" t="str">
        <f>VLOOKUP($A1835,Sheet4!$A:$B,2,0)</f>
        <v>BR CL Vanilla 4 1.41L</v>
      </c>
      <c r="F1835" s="3" t="s">
        <v>106</v>
      </c>
    </row>
    <row r="1836" spans="1:6" x14ac:dyDescent="0.25">
      <c r="A1836" s="3">
        <v>64804395</v>
      </c>
      <c r="B1836" s="3">
        <v>3910</v>
      </c>
      <c r="C1836" s="24">
        <v>14280</v>
      </c>
      <c r="D1836" s="4">
        <v>46098</v>
      </c>
      <c r="E1836" t="str">
        <f>VLOOKUP($A1836,Sheet4!$A:$B,2,0)</f>
        <v>BR CL Vanilla 4 1.41L</v>
      </c>
      <c r="F1836" s="3" t="s">
        <v>106</v>
      </c>
    </row>
    <row r="1837" spans="1:6" x14ac:dyDescent="0.25">
      <c r="A1837" s="3">
        <v>64804395</v>
      </c>
      <c r="B1837" s="3">
        <v>3910</v>
      </c>
      <c r="C1837" s="24">
        <v>3094</v>
      </c>
      <c r="D1837" s="4">
        <v>46099</v>
      </c>
      <c r="E1837" t="str">
        <f>VLOOKUP($A1837,Sheet4!$A:$B,2,0)</f>
        <v>BR CL Vanilla 4 1.41L</v>
      </c>
      <c r="F1837" s="3" t="s">
        <v>106</v>
      </c>
    </row>
    <row r="1838" spans="1:6" x14ac:dyDescent="0.25">
      <c r="A1838" s="3">
        <v>64804395</v>
      </c>
      <c r="B1838" s="3">
        <v>3910</v>
      </c>
      <c r="C1838" s="24">
        <v>9795</v>
      </c>
      <c r="D1838" s="4">
        <v>46099</v>
      </c>
      <c r="E1838" t="str">
        <f>VLOOKUP($A1838,Sheet4!$A:$B,2,0)</f>
        <v>BR CL Vanilla 4 1.41L</v>
      </c>
      <c r="F1838" s="3" t="s">
        <v>106</v>
      </c>
    </row>
    <row r="1839" spans="1:6" x14ac:dyDescent="0.25">
      <c r="A1839" s="3">
        <v>64804395</v>
      </c>
      <c r="B1839" s="3">
        <v>3910</v>
      </c>
      <c r="C1839" s="24">
        <v>3088</v>
      </c>
      <c r="D1839" s="4">
        <v>46100</v>
      </c>
      <c r="E1839" t="str">
        <f>VLOOKUP($A1839,Sheet4!$A:$B,2,0)</f>
        <v>BR CL Vanilla 4 1.41L</v>
      </c>
      <c r="F1839" s="3" t="s">
        <v>106</v>
      </c>
    </row>
    <row r="1840" spans="1:6" x14ac:dyDescent="0.25">
      <c r="A1840" s="3">
        <v>64804395</v>
      </c>
      <c r="B1840" s="3">
        <v>3910</v>
      </c>
      <c r="C1840" s="24">
        <v>2142</v>
      </c>
      <c r="D1840" s="4">
        <v>46100</v>
      </c>
      <c r="E1840" t="str">
        <f>VLOOKUP($A1840,Sheet4!$A:$B,2,0)</f>
        <v>BR CL Vanilla 4 1.41L</v>
      </c>
      <c r="F1840" s="3" t="s">
        <v>106</v>
      </c>
    </row>
    <row r="1841" spans="1:6" x14ac:dyDescent="0.25">
      <c r="A1841" s="3">
        <v>64804395</v>
      </c>
      <c r="B1841" s="3">
        <v>3910</v>
      </c>
      <c r="C1841" s="24">
        <v>3132</v>
      </c>
      <c r="D1841" s="4">
        <v>46101</v>
      </c>
      <c r="E1841" t="str">
        <f>VLOOKUP($A1841,Sheet4!$A:$B,2,0)</f>
        <v>BR CL Vanilla 4 1.41L</v>
      </c>
      <c r="F1841" s="3" t="s">
        <v>106</v>
      </c>
    </row>
    <row r="1842" spans="1:6" x14ac:dyDescent="0.25">
      <c r="A1842" s="3">
        <v>64804397</v>
      </c>
      <c r="B1842" s="3">
        <v>3910</v>
      </c>
      <c r="C1842" s="24">
        <v>1428</v>
      </c>
      <c r="D1842" s="4">
        <v>46085</v>
      </c>
      <c r="E1842" t="str">
        <f>VLOOKUP($A1842,Sheet4!$A:$B,2,0)</f>
        <v>BR CL Neapolitan 4 1.41L</v>
      </c>
      <c r="F1842" s="3" t="s">
        <v>17</v>
      </c>
    </row>
    <row r="1843" spans="1:6" x14ac:dyDescent="0.25">
      <c r="A1843" s="3">
        <v>64804397</v>
      </c>
      <c r="B1843" s="3">
        <v>3910</v>
      </c>
      <c r="C1843" s="24">
        <v>2380</v>
      </c>
      <c r="D1843" s="4">
        <v>46086</v>
      </c>
      <c r="E1843" t="str">
        <f>VLOOKUP($A1843,Sheet4!$A:$B,2,0)</f>
        <v>BR CL Neapolitan 4 1.41L</v>
      </c>
      <c r="F1843" s="3" t="s">
        <v>17</v>
      </c>
    </row>
    <row r="1844" spans="1:6" x14ac:dyDescent="0.25">
      <c r="A1844" s="3">
        <v>64804397</v>
      </c>
      <c r="B1844" s="3">
        <v>3910</v>
      </c>
      <c r="C1844" s="24">
        <v>15708</v>
      </c>
      <c r="D1844" s="4">
        <v>46086</v>
      </c>
      <c r="E1844" t="str">
        <f>VLOOKUP($A1844,Sheet4!$A:$B,2,0)</f>
        <v>BR CL Neapolitan 4 1.41L</v>
      </c>
      <c r="F1844" s="3" t="s">
        <v>17</v>
      </c>
    </row>
    <row r="1845" spans="1:6" x14ac:dyDescent="0.25">
      <c r="A1845" s="3">
        <v>64804397</v>
      </c>
      <c r="B1845" s="3">
        <v>3910</v>
      </c>
      <c r="C1845" s="24">
        <v>2142</v>
      </c>
      <c r="D1845" s="4">
        <v>46087</v>
      </c>
      <c r="E1845" t="str">
        <f>VLOOKUP($A1845,Sheet4!$A:$B,2,0)</f>
        <v>BR CL Neapolitan 4 1.41L</v>
      </c>
      <c r="F1845" s="3" t="s">
        <v>17</v>
      </c>
    </row>
    <row r="1846" spans="1:6" x14ac:dyDescent="0.25">
      <c r="A1846" s="3">
        <v>64804397</v>
      </c>
      <c r="B1846" s="3">
        <v>3910</v>
      </c>
      <c r="C1846" s="24">
        <v>-17</v>
      </c>
      <c r="D1846" s="4">
        <v>46091</v>
      </c>
      <c r="E1846" t="str">
        <f>VLOOKUP($A1846,Sheet4!$A:$B,2,0)</f>
        <v>BR CL Neapolitan 4 1.41L</v>
      </c>
      <c r="F1846" s="3" t="s">
        <v>17</v>
      </c>
    </row>
    <row r="1847" spans="1:6" x14ac:dyDescent="0.25">
      <c r="A1847" s="3">
        <v>64804397</v>
      </c>
      <c r="B1847" s="3">
        <v>3910</v>
      </c>
      <c r="C1847" s="24">
        <v>10102</v>
      </c>
      <c r="D1847" s="4">
        <v>46087</v>
      </c>
      <c r="E1847" t="str">
        <f>VLOOKUP($A1847,Sheet4!$A:$B,2,0)</f>
        <v>BR CL Neapolitan 4 1.41L</v>
      </c>
      <c r="F1847" s="3" t="s">
        <v>17</v>
      </c>
    </row>
    <row r="1848" spans="1:6" x14ac:dyDescent="0.25">
      <c r="A1848" s="3">
        <v>64804397</v>
      </c>
      <c r="B1848" s="3">
        <v>3910</v>
      </c>
      <c r="C1848" s="24">
        <v>-238</v>
      </c>
      <c r="D1848" s="4">
        <v>46090</v>
      </c>
      <c r="E1848" t="str">
        <f>VLOOKUP($A1848,Sheet4!$A:$B,2,0)</f>
        <v>BR CL Neapolitan 4 1.41L</v>
      </c>
      <c r="F1848" s="3" t="s">
        <v>17</v>
      </c>
    </row>
    <row r="1849" spans="1:6" x14ac:dyDescent="0.25">
      <c r="A1849" s="3">
        <v>64804398</v>
      </c>
      <c r="B1849" s="3">
        <v>3910</v>
      </c>
      <c r="C1849" s="24">
        <v>9044</v>
      </c>
      <c r="D1849" s="4">
        <v>46090</v>
      </c>
      <c r="E1849" t="str">
        <f>VLOOKUP($A1849,Sheet4!$A:$B,2,0)</f>
        <v>BR CL Chocolate 4 1.41L</v>
      </c>
      <c r="F1849" s="3" t="s">
        <v>17</v>
      </c>
    </row>
    <row r="1850" spans="1:6" x14ac:dyDescent="0.25">
      <c r="A1850" s="3">
        <v>64804398</v>
      </c>
      <c r="B1850" s="3">
        <v>3910</v>
      </c>
      <c r="C1850" s="24">
        <v>2618</v>
      </c>
      <c r="D1850" s="4">
        <v>46091</v>
      </c>
      <c r="E1850" t="str">
        <f>VLOOKUP($A1850,Sheet4!$A:$B,2,0)</f>
        <v>BR CL Chocolate 4 1.41L</v>
      </c>
      <c r="F1850" s="3" t="s">
        <v>17</v>
      </c>
    </row>
    <row r="1851" spans="1:6" x14ac:dyDescent="0.25">
      <c r="A1851" s="3">
        <v>64804398</v>
      </c>
      <c r="B1851" s="3">
        <v>3910</v>
      </c>
      <c r="C1851" s="24">
        <v>7487</v>
      </c>
      <c r="D1851" s="4">
        <v>46092</v>
      </c>
      <c r="E1851" t="str">
        <f>VLOOKUP($A1851,Sheet4!$A:$B,2,0)</f>
        <v>BR CL Chocolate 4 1.41L</v>
      </c>
      <c r="F1851" s="3" t="s">
        <v>17</v>
      </c>
    </row>
    <row r="1852" spans="1:6" x14ac:dyDescent="0.25">
      <c r="A1852" s="3">
        <v>64804398</v>
      </c>
      <c r="B1852" s="3">
        <v>3910</v>
      </c>
      <c r="C1852" s="24">
        <v>1666</v>
      </c>
      <c r="D1852" s="4">
        <v>46093</v>
      </c>
      <c r="E1852" t="str">
        <f>VLOOKUP($A1852,Sheet4!$A:$B,2,0)</f>
        <v>BR CL Chocolate 4 1.41L</v>
      </c>
      <c r="F1852" s="3" t="s">
        <v>17</v>
      </c>
    </row>
    <row r="1853" spans="1:6" x14ac:dyDescent="0.25">
      <c r="A1853" s="3">
        <v>64804398</v>
      </c>
      <c r="B1853" s="3">
        <v>3910</v>
      </c>
      <c r="C1853" s="24">
        <v>-2</v>
      </c>
      <c r="D1853" s="4">
        <v>46097</v>
      </c>
      <c r="E1853" t="str">
        <f>VLOOKUP($A1853,Sheet4!$A:$B,2,0)</f>
        <v>BR CL Chocolate 4 1.41L</v>
      </c>
      <c r="F1853" s="3" t="s">
        <v>17</v>
      </c>
    </row>
    <row r="1854" spans="1:6" x14ac:dyDescent="0.25">
      <c r="A1854" s="3">
        <v>64804398</v>
      </c>
      <c r="B1854" s="3">
        <v>3910</v>
      </c>
      <c r="C1854" s="24">
        <v>14042</v>
      </c>
      <c r="D1854" s="4">
        <v>46091</v>
      </c>
      <c r="E1854" t="str">
        <f>VLOOKUP($A1854,Sheet4!$A:$B,2,0)</f>
        <v>BR CL Chocolate 4 1.41L</v>
      </c>
      <c r="F1854" s="3" t="s">
        <v>17</v>
      </c>
    </row>
    <row r="1855" spans="1:6" x14ac:dyDescent="0.25">
      <c r="A1855" s="3">
        <v>64804398</v>
      </c>
      <c r="B1855" s="3">
        <v>3910</v>
      </c>
      <c r="C1855" s="24">
        <v>2618</v>
      </c>
      <c r="D1855" s="4">
        <v>46092</v>
      </c>
      <c r="E1855" t="str">
        <f>VLOOKUP($A1855,Sheet4!$A:$B,2,0)</f>
        <v>BR CL Chocolate 4 1.41L</v>
      </c>
      <c r="F1855" s="3" t="s">
        <v>17</v>
      </c>
    </row>
    <row r="1856" spans="1:6" x14ac:dyDescent="0.25">
      <c r="A1856" s="3">
        <v>64804398</v>
      </c>
      <c r="B1856" s="3">
        <v>3910</v>
      </c>
      <c r="C1856" s="24">
        <v>7546</v>
      </c>
      <c r="D1856" s="4">
        <v>46093</v>
      </c>
      <c r="E1856" t="str">
        <f>VLOOKUP($A1856,Sheet4!$A:$B,2,0)</f>
        <v>BR CL Chocolate 4 1.41L</v>
      </c>
      <c r="F1856" s="3" t="s">
        <v>17</v>
      </c>
    </row>
    <row r="1857" spans="1:6" x14ac:dyDescent="0.25">
      <c r="A1857" s="3">
        <v>64804398</v>
      </c>
      <c r="B1857" s="3">
        <v>3910</v>
      </c>
      <c r="C1857" s="24">
        <v>-5</v>
      </c>
      <c r="D1857" s="4">
        <v>46094</v>
      </c>
      <c r="E1857" t="str">
        <f>VLOOKUP($A1857,Sheet4!$A:$B,2,0)</f>
        <v>BR CL Chocolate 4 1.41L</v>
      </c>
      <c r="F1857" s="3" t="s">
        <v>17</v>
      </c>
    </row>
    <row r="1858" spans="1:6" x14ac:dyDescent="0.25">
      <c r="A1858" s="3">
        <v>64804399</v>
      </c>
      <c r="B1858" s="3">
        <v>3910</v>
      </c>
      <c r="C1858" s="24">
        <v>8568</v>
      </c>
      <c r="D1858" s="4">
        <v>46104</v>
      </c>
      <c r="E1858" t="str">
        <f>VLOOKUP($A1858,Sheet4!$A:$B,2,0)</f>
        <v>BR CL French Vanilla 4 1.41L</v>
      </c>
      <c r="F1858" s="3" t="s">
        <v>106</v>
      </c>
    </row>
    <row r="1859" spans="1:6" x14ac:dyDescent="0.25">
      <c r="A1859" s="3">
        <v>64804399</v>
      </c>
      <c r="B1859" s="3">
        <v>3910</v>
      </c>
      <c r="C1859" s="24">
        <v>2380</v>
      </c>
      <c r="D1859" s="4">
        <v>46105</v>
      </c>
      <c r="E1859" t="str">
        <f>VLOOKUP($A1859,Sheet4!$A:$B,2,0)</f>
        <v>BR CL French Vanilla 4 1.41L</v>
      </c>
      <c r="F1859" s="3" t="s">
        <v>106</v>
      </c>
    </row>
    <row r="1860" spans="1:6" x14ac:dyDescent="0.25">
      <c r="A1860" s="3">
        <v>64804399</v>
      </c>
      <c r="B1860" s="3">
        <v>3910</v>
      </c>
      <c r="C1860" s="24">
        <v>11662</v>
      </c>
      <c r="D1860" s="4">
        <v>46105</v>
      </c>
      <c r="E1860" t="str">
        <f>VLOOKUP($A1860,Sheet4!$A:$B,2,0)</f>
        <v>BR CL French Vanilla 4 1.41L</v>
      </c>
      <c r="F1860" s="3" t="s">
        <v>106</v>
      </c>
    </row>
    <row r="1861" spans="1:6" x14ac:dyDescent="0.25">
      <c r="A1861" s="3">
        <v>64967949</v>
      </c>
      <c r="B1861" s="3">
        <v>3910</v>
      </c>
      <c r="C1861" s="24">
        <v>7140</v>
      </c>
      <c r="D1861" s="4">
        <v>46083</v>
      </c>
      <c r="E1861" t="str">
        <f>VLOOKUP($A1861,Sheet4!$A:$B,2,0)</f>
        <v>BR NSA Vanilla 4p 1.41L</v>
      </c>
      <c r="F1861" s="3" t="s">
        <v>848</v>
      </c>
    </row>
    <row r="1862" spans="1:6" x14ac:dyDescent="0.25">
      <c r="A1862" s="3">
        <v>64967949</v>
      </c>
      <c r="B1862" s="3">
        <v>3910</v>
      </c>
      <c r="C1862" s="24">
        <v>1428</v>
      </c>
      <c r="D1862" s="4">
        <v>46084</v>
      </c>
      <c r="E1862" t="str">
        <f>VLOOKUP($A1862,Sheet4!$A:$B,2,0)</f>
        <v>BR NSA Vanilla 4p 1.41L</v>
      </c>
      <c r="F1862" s="3" t="s">
        <v>848</v>
      </c>
    </row>
    <row r="1863" spans="1:6" x14ac:dyDescent="0.25">
      <c r="A1863" s="3">
        <v>64967949</v>
      </c>
      <c r="B1863" s="3">
        <v>3910</v>
      </c>
      <c r="C1863" s="24">
        <v>8806</v>
      </c>
      <c r="D1863" s="4">
        <v>46084</v>
      </c>
      <c r="E1863" t="str">
        <f>VLOOKUP($A1863,Sheet4!$A:$B,2,0)</f>
        <v>BR NSA Vanilla 4p 1.41L</v>
      </c>
      <c r="F1863" s="3" t="s">
        <v>848</v>
      </c>
    </row>
    <row r="1864" spans="1:6" x14ac:dyDescent="0.25">
      <c r="A1864" s="3">
        <v>64967949</v>
      </c>
      <c r="B1864" s="3">
        <v>3910</v>
      </c>
      <c r="C1864" s="24">
        <v>1277</v>
      </c>
      <c r="D1864" s="4">
        <v>46085</v>
      </c>
      <c r="E1864" t="str">
        <f>VLOOKUP($A1864,Sheet4!$A:$B,2,0)</f>
        <v>BR NSA Vanilla 4p 1.41L</v>
      </c>
      <c r="F1864" s="3" t="s">
        <v>848</v>
      </c>
    </row>
    <row r="1865" spans="1:6" x14ac:dyDescent="0.25">
      <c r="A1865" s="3">
        <v>64967951</v>
      </c>
      <c r="B1865" s="3">
        <v>3910</v>
      </c>
      <c r="C1865" s="24">
        <v>11424</v>
      </c>
      <c r="D1865" s="4">
        <v>46076</v>
      </c>
      <c r="E1865" t="str">
        <f>VLOOKUP($A1865,Sheet4!$A:$B,2,0)</f>
        <v>BR CS Strawberry 4p 1.4L</v>
      </c>
      <c r="F1865" s="3" t="s">
        <v>17</v>
      </c>
    </row>
    <row r="1866" spans="1:6" x14ac:dyDescent="0.25">
      <c r="A1866" s="3">
        <v>64967951</v>
      </c>
      <c r="B1866" s="3">
        <v>3910</v>
      </c>
      <c r="C1866" s="24">
        <v>2380</v>
      </c>
      <c r="D1866" s="4">
        <v>46077</v>
      </c>
      <c r="E1866" t="str">
        <f>VLOOKUP($A1866,Sheet4!$A:$B,2,0)</f>
        <v>BR CS Strawberry 4p 1.4L</v>
      </c>
      <c r="F1866" s="3" t="s">
        <v>17</v>
      </c>
    </row>
    <row r="1867" spans="1:6" x14ac:dyDescent="0.25">
      <c r="A1867" s="3">
        <v>64967951</v>
      </c>
      <c r="B1867" s="3">
        <v>3910</v>
      </c>
      <c r="C1867" s="24">
        <v>8762</v>
      </c>
      <c r="D1867" s="4">
        <v>46077</v>
      </c>
      <c r="E1867" t="str">
        <f>VLOOKUP($A1867,Sheet4!$A:$B,2,0)</f>
        <v>BR CS Strawberry 4p 1.4L</v>
      </c>
      <c r="F1867" s="3" t="s">
        <v>17</v>
      </c>
    </row>
    <row r="1868" spans="1:6" x14ac:dyDescent="0.25">
      <c r="A1868" s="3">
        <v>64967952</v>
      </c>
      <c r="B1868" s="3">
        <v>3910</v>
      </c>
      <c r="C1868" s="24">
        <v>8330</v>
      </c>
      <c r="D1868" s="4">
        <v>46104</v>
      </c>
      <c r="E1868" t="str">
        <f>VLOOKUP($A1868,Sheet4!$A:$B,2,0)</f>
        <v>BR CS Salted Caramel 4p 1.4L</v>
      </c>
      <c r="F1868" s="3" t="s">
        <v>17</v>
      </c>
    </row>
    <row r="1869" spans="1:6" x14ac:dyDescent="0.25">
      <c r="A1869" s="3">
        <v>64967952</v>
      </c>
      <c r="B1869" s="3">
        <v>3910</v>
      </c>
      <c r="C1869" s="24">
        <v>1854</v>
      </c>
      <c r="D1869" s="4">
        <v>46105</v>
      </c>
      <c r="E1869" t="str">
        <f>VLOOKUP($A1869,Sheet4!$A:$B,2,0)</f>
        <v>BR CS Salted Caramel 4p 1.4L</v>
      </c>
      <c r="F1869" s="3" t="s">
        <v>17</v>
      </c>
    </row>
    <row r="1870" spans="1:6" x14ac:dyDescent="0.25">
      <c r="A1870" s="3">
        <v>64967952</v>
      </c>
      <c r="B1870" s="3">
        <v>3910</v>
      </c>
      <c r="C1870" s="24">
        <v>11181</v>
      </c>
      <c r="D1870" s="4">
        <v>46105</v>
      </c>
      <c r="E1870" t="str">
        <f>VLOOKUP($A1870,Sheet4!$A:$B,2,0)</f>
        <v>BR CS Salted Caramel 4p 1.4L</v>
      </c>
      <c r="F1870" s="3" t="s">
        <v>17</v>
      </c>
    </row>
    <row r="1871" spans="1:6" x14ac:dyDescent="0.25">
      <c r="A1871" s="3">
        <v>64971623</v>
      </c>
      <c r="B1871" s="3">
        <v>3910</v>
      </c>
      <c r="C1871" s="24">
        <v>6300</v>
      </c>
      <c r="D1871" s="4">
        <v>46097</v>
      </c>
      <c r="E1871" t="str">
        <f>VLOOKUP($A1871,Sheet4!$A:$B,2,0)</f>
        <v>MG Mini Classic 6-4PK</v>
      </c>
      <c r="F1871" s="3" t="s">
        <v>58</v>
      </c>
    </row>
    <row r="1872" spans="1:6" x14ac:dyDescent="0.25">
      <c r="A1872" s="3">
        <v>64971623</v>
      </c>
      <c r="B1872" s="3">
        <v>3910</v>
      </c>
      <c r="C1872" s="24">
        <v>360</v>
      </c>
      <c r="D1872" s="4">
        <v>46098</v>
      </c>
      <c r="E1872" t="str">
        <f>VLOOKUP($A1872,Sheet4!$A:$B,2,0)</f>
        <v>MG Mini Classic 6-4PK</v>
      </c>
      <c r="F1872" s="3" t="s">
        <v>58</v>
      </c>
    </row>
    <row r="1873" spans="1:6" x14ac:dyDescent="0.25">
      <c r="A1873" s="3">
        <v>64971623</v>
      </c>
      <c r="B1873" s="3">
        <v>3910</v>
      </c>
      <c r="C1873" s="24">
        <v>5861</v>
      </c>
      <c r="D1873" s="4">
        <v>46098</v>
      </c>
      <c r="E1873" t="str">
        <f>VLOOKUP($A1873,Sheet4!$A:$B,2,0)</f>
        <v>MG Mini Classic 6-4PK</v>
      </c>
      <c r="F1873" s="3" t="s">
        <v>58</v>
      </c>
    </row>
    <row r="1874" spans="1:6" x14ac:dyDescent="0.25">
      <c r="A1874" s="3">
        <v>65222183</v>
      </c>
      <c r="B1874" s="3">
        <v>3910</v>
      </c>
      <c r="C1874" s="24">
        <v>1338</v>
      </c>
      <c r="D1874" s="4">
        <v>46102</v>
      </c>
      <c r="E1874" t="str">
        <f>VLOOKUP($A1874,Sheet4!$A:$B,2,0)</f>
        <v>BJ-CA-IC-PeanutButterCup-8 473ml</v>
      </c>
      <c r="F1874" s="3" t="s">
        <v>847</v>
      </c>
    </row>
    <row r="1875" spans="1:6" x14ac:dyDescent="0.25">
      <c r="A1875" s="3">
        <v>68743521</v>
      </c>
      <c r="B1875" s="3">
        <v>3910</v>
      </c>
      <c r="C1875" s="24">
        <v>1531</v>
      </c>
      <c r="D1875" s="4">
        <v>46083</v>
      </c>
      <c r="E1875" t="str">
        <f>VLOOKUP($A1875,Sheet4!$A:$B,2,0)</f>
        <v>PS Revello Ice Cream Bars 12-12PK</v>
      </c>
      <c r="F1875" s="3" t="s">
        <v>849</v>
      </c>
    </row>
    <row r="1876" spans="1:6" x14ac:dyDescent="0.25">
      <c r="A1876" s="3">
        <v>68743521</v>
      </c>
      <c r="B1876" s="3">
        <v>3910</v>
      </c>
      <c r="C1876" s="24">
        <v>144</v>
      </c>
      <c r="D1876" s="4">
        <v>46084</v>
      </c>
      <c r="E1876" t="str">
        <f>VLOOKUP($A1876,Sheet4!$A:$B,2,0)</f>
        <v>PS Revello Ice Cream Bars 12-12PK</v>
      </c>
      <c r="F1876" s="3" t="s">
        <v>849</v>
      </c>
    </row>
    <row r="1877" spans="1:6" x14ac:dyDescent="0.25">
      <c r="A1877" s="3">
        <v>68743521</v>
      </c>
      <c r="B1877" s="3">
        <v>3910</v>
      </c>
      <c r="C1877" s="24">
        <v>2448</v>
      </c>
      <c r="D1877" s="4">
        <v>46084</v>
      </c>
      <c r="E1877" t="str">
        <f>VLOOKUP($A1877,Sheet4!$A:$B,2,0)</f>
        <v>PS Revello Ice Cream Bars 12-12PK</v>
      </c>
      <c r="F1877" s="3" t="s">
        <v>849</v>
      </c>
    </row>
    <row r="1878" spans="1:6" x14ac:dyDescent="0.25">
      <c r="A1878" s="3">
        <v>68743521</v>
      </c>
      <c r="B1878" s="3">
        <v>3910</v>
      </c>
      <c r="C1878" s="24">
        <v>216</v>
      </c>
      <c r="D1878" s="4">
        <v>46085</v>
      </c>
      <c r="E1878" t="str">
        <f>VLOOKUP($A1878,Sheet4!$A:$B,2,0)</f>
        <v>PS Revello Ice Cream Bars 12-12PK</v>
      </c>
      <c r="F1878" s="3" t="s">
        <v>849</v>
      </c>
    </row>
    <row r="1879" spans="1:6" x14ac:dyDescent="0.25">
      <c r="A1879" s="3">
        <v>68743521</v>
      </c>
      <c r="B1879" s="3">
        <v>3910</v>
      </c>
      <c r="C1879" s="24">
        <v>2592</v>
      </c>
      <c r="D1879" s="4">
        <v>46085</v>
      </c>
      <c r="E1879" t="str">
        <f>VLOOKUP($A1879,Sheet4!$A:$B,2,0)</f>
        <v>PS Revello Ice Cream Bars 12-12PK</v>
      </c>
      <c r="F1879" s="3" t="s">
        <v>849</v>
      </c>
    </row>
    <row r="1880" spans="1:6" x14ac:dyDescent="0.25">
      <c r="A1880" s="3">
        <v>68743521</v>
      </c>
      <c r="B1880" s="3">
        <v>3910</v>
      </c>
      <c r="C1880" s="24">
        <v>216</v>
      </c>
      <c r="D1880" s="4">
        <v>46086</v>
      </c>
      <c r="E1880" t="str">
        <f>VLOOKUP($A1880,Sheet4!$A:$B,2,0)</f>
        <v>PS Revello Ice Cream Bars 12-12PK</v>
      </c>
      <c r="F1880" s="3" t="s">
        <v>849</v>
      </c>
    </row>
    <row r="1881" spans="1:6" x14ac:dyDescent="0.25">
      <c r="A1881" s="3">
        <v>68743521</v>
      </c>
      <c r="B1881" s="3">
        <v>3910</v>
      </c>
      <c r="C1881" s="24">
        <v>2520</v>
      </c>
      <c r="D1881" s="4">
        <v>46086</v>
      </c>
      <c r="E1881" t="str">
        <f>VLOOKUP($A1881,Sheet4!$A:$B,2,0)</f>
        <v>PS Revello Ice Cream Bars 12-12PK</v>
      </c>
      <c r="F1881" s="3" t="s">
        <v>849</v>
      </c>
    </row>
    <row r="1882" spans="1:6" x14ac:dyDescent="0.25">
      <c r="A1882" s="3">
        <v>68743521</v>
      </c>
      <c r="B1882" s="3">
        <v>3910</v>
      </c>
      <c r="C1882" s="24">
        <v>216</v>
      </c>
      <c r="D1882" s="4">
        <v>46087</v>
      </c>
      <c r="E1882" t="str">
        <f>VLOOKUP($A1882,Sheet4!$A:$B,2,0)</f>
        <v>PS Revello Ice Cream Bars 12-12PK</v>
      </c>
      <c r="F1882" s="3" t="s">
        <v>849</v>
      </c>
    </row>
    <row r="1883" spans="1:6" x14ac:dyDescent="0.25">
      <c r="A1883" s="3">
        <v>68743521</v>
      </c>
      <c r="B1883" s="3">
        <v>3910</v>
      </c>
      <c r="C1883" s="24">
        <v>1062</v>
      </c>
      <c r="D1883" s="4">
        <v>46087</v>
      </c>
      <c r="E1883" t="str">
        <f>VLOOKUP($A1883,Sheet4!$A:$B,2,0)</f>
        <v>PS Revello Ice Cream Bars 12-12PK</v>
      </c>
      <c r="F1883" s="3" t="s">
        <v>849</v>
      </c>
    </row>
    <row r="1884" spans="1:6" x14ac:dyDescent="0.25">
      <c r="A1884" s="3">
        <v>68775642</v>
      </c>
      <c r="B1884" s="3">
        <v>3910</v>
      </c>
      <c r="C1884" s="24">
        <v>1800</v>
      </c>
      <c r="D1884" s="4">
        <v>46090</v>
      </c>
      <c r="E1884" t="str">
        <f>VLOOKUP($A1884,Sheet4!$A:$B,2,0)</f>
        <v>FS Fudge Bars 12-12PK</v>
      </c>
      <c r="F1884" s="3" t="s">
        <v>849</v>
      </c>
    </row>
    <row r="1885" spans="1:6" x14ac:dyDescent="0.25">
      <c r="A1885" s="3">
        <v>68775642</v>
      </c>
      <c r="B1885" s="3">
        <v>3910</v>
      </c>
      <c r="C1885" s="24">
        <v>216</v>
      </c>
      <c r="D1885" s="4">
        <v>46091</v>
      </c>
      <c r="E1885" t="str">
        <f>VLOOKUP($A1885,Sheet4!$A:$B,2,0)</f>
        <v>FS Fudge Bars 12-12PK</v>
      </c>
      <c r="F1885" s="3" t="s">
        <v>849</v>
      </c>
    </row>
    <row r="1886" spans="1:6" x14ac:dyDescent="0.25">
      <c r="A1886" s="3">
        <v>68775642</v>
      </c>
      <c r="B1886" s="3">
        <v>3910</v>
      </c>
      <c r="C1886" s="24">
        <v>2376</v>
      </c>
      <c r="D1886" s="4">
        <v>46091</v>
      </c>
      <c r="E1886" t="str">
        <f>VLOOKUP($A1886,Sheet4!$A:$B,2,0)</f>
        <v>FS Fudge Bars 12-12PK</v>
      </c>
      <c r="F1886" s="3" t="s">
        <v>849</v>
      </c>
    </row>
    <row r="1887" spans="1:6" x14ac:dyDescent="0.25">
      <c r="A1887" s="3">
        <v>68775642</v>
      </c>
      <c r="B1887" s="3">
        <v>3910</v>
      </c>
      <c r="C1887" s="24">
        <v>216</v>
      </c>
      <c r="D1887" s="4">
        <v>46092</v>
      </c>
      <c r="E1887" t="str">
        <f>VLOOKUP($A1887,Sheet4!$A:$B,2,0)</f>
        <v>FS Fudge Bars 12-12PK</v>
      </c>
      <c r="F1887" s="3" t="s">
        <v>849</v>
      </c>
    </row>
    <row r="1888" spans="1:6" x14ac:dyDescent="0.25">
      <c r="A1888" s="3">
        <v>68775642</v>
      </c>
      <c r="B1888" s="3">
        <v>3910</v>
      </c>
      <c r="C1888" s="24">
        <v>2592</v>
      </c>
      <c r="D1888" s="4">
        <v>46092</v>
      </c>
      <c r="E1888" t="str">
        <f>VLOOKUP($A1888,Sheet4!$A:$B,2,0)</f>
        <v>FS Fudge Bars 12-12PK</v>
      </c>
      <c r="F1888" s="3" t="s">
        <v>849</v>
      </c>
    </row>
    <row r="1889" spans="1:6" x14ac:dyDescent="0.25">
      <c r="A1889" s="3">
        <v>68775642</v>
      </c>
      <c r="B1889" s="3">
        <v>3910</v>
      </c>
      <c r="C1889" s="24">
        <v>144</v>
      </c>
      <c r="D1889" s="4">
        <v>46093</v>
      </c>
      <c r="E1889" t="str">
        <f>VLOOKUP($A1889,Sheet4!$A:$B,2,0)</f>
        <v>FS Fudge Bars 12-12PK</v>
      </c>
      <c r="F1889" s="3" t="s">
        <v>849</v>
      </c>
    </row>
    <row r="1890" spans="1:6" x14ac:dyDescent="0.25">
      <c r="A1890" s="3">
        <v>68775642</v>
      </c>
      <c r="B1890" s="3">
        <v>3910</v>
      </c>
      <c r="C1890" s="24">
        <v>2736</v>
      </c>
      <c r="D1890" s="4">
        <v>46093</v>
      </c>
      <c r="E1890" t="str">
        <f>VLOOKUP($A1890,Sheet4!$A:$B,2,0)</f>
        <v>FS Fudge Bars 12-12PK</v>
      </c>
      <c r="F1890" s="3" t="s">
        <v>849</v>
      </c>
    </row>
    <row r="1891" spans="1:6" x14ac:dyDescent="0.25">
      <c r="A1891" s="3">
        <v>68775642</v>
      </c>
      <c r="B1891" s="3">
        <v>3910</v>
      </c>
      <c r="C1891" s="24">
        <v>144</v>
      </c>
      <c r="D1891" s="4">
        <v>46094</v>
      </c>
      <c r="E1891" t="str">
        <f>VLOOKUP($A1891,Sheet4!$A:$B,2,0)</f>
        <v>FS Fudge Bars 12-12PK</v>
      </c>
      <c r="F1891" s="3" t="s">
        <v>849</v>
      </c>
    </row>
    <row r="1892" spans="1:6" x14ac:dyDescent="0.25">
      <c r="A1892" s="3">
        <v>68775642</v>
      </c>
      <c r="B1892" s="3">
        <v>3910</v>
      </c>
      <c r="C1892" s="24">
        <v>808</v>
      </c>
      <c r="D1892" s="4">
        <v>46094</v>
      </c>
      <c r="E1892" t="str">
        <f>VLOOKUP($A1892,Sheet4!$A:$B,2,0)</f>
        <v>FS Fudge Bars 12-12PK</v>
      </c>
      <c r="F1892" s="3" t="s">
        <v>849</v>
      </c>
    </row>
    <row r="1893" spans="1:6" x14ac:dyDescent="0.25">
      <c r="A1893" s="3">
        <v>68775642</v>
      </c>
      <c r="B1893" s="3">
        <v>3910</v>
      </c>
      <c r="C1893" s="24">
        <v>-16</v>
      </c>
      <c r="D1893" s="4">
        <v>46097</v>
      </c>
      <c r="E1893" t="str">
        <f>VLOOKUP($A1893,Sheet4!$A:$B,2,0)</f>
        <v>FS Fudge Bars 12-12PK</v>
      </c>
      <c r="F1893" s="3" t="s">
        <v>849</v>
      </c>
    </row>
    <row r="1894" spans="1:6" x14ac:dyDescent="0.25">
      <c r="A1894" s="3">
        <v>68775642</v>
      </c>
      <c r="B1894" s="3">
        <v>3910</v>
      </c>
      <c r="C1894" s="24">
        <v>1512</v>
      </c>
      <c r="D1894" s="4">
        <v>46097</v>
      </c>
      <c r="E1894" t="str">
        <f>VLOOKUP($A1894,Sheet4!$A:$B,2,0)</f>
        <v>FS Fudge Bars 12-12PK</v>
      </c>
      <c r="F1894" s="3" t="s">
        <v>849</v>
      </c>
    </row>
    <row r="1895" spans="1:6" x14ac:dyDescent="0.25">
      <c r="A1895" s="3">
        <v>68775642</v>
      </c>
      <c r="B1895" s="3">
        <v>3910</v>
      </c>
      <c r="C1895" s="24">
        <v>72</v>
      </c>
      <c r="D1895" s="4">
        <v>46098</v>
      </c>
      <c r="E1895" t="str">
        <f>VLOOKUP($A1895,Sheet4!$A:$B,2,0)</f>
        <v>FS Fudge Bars 12-12PK</v>
      </c>
      <c r="F1895" s="3" t="s">
        <v>849</v>
      </c>
    </row>
    <row r="1896" spans="1:6" x14ac:dyDescent="0.25">
      <c r="A1896" s="3">
        <v>68775642</v>
      </c>
      <c r="B1896" s="3">
        <v>3910</v>
      </c>
      <c r="C1896" s="24">
        <v>2736</v>
      </c>
      <c r="D1896" s="4">
        <v>46098</v>
      </c>
      <c r="E1896" t="str">
        <f>VLOOKUP($A1896,Sheet4!$A:$B,2,0)</f>
        <v>FS Fudge Bars 12-12PK</v>
      </c>
      <c r="F1896" s="3" t="s">
        <v>849</v>
      </c>
    </row>
    <row r="1897" spans="1:6" x14ac:dyDescent="0.25">
      <c r="A1897" s="3">
        <v>68775642</v>
      </c>
      <c r="B1897" s="3">
        <v>3910</v>
      </c>
      <c r="C1897" s="24">
        <v>144</v>
      </c>
      <c r="D1897" s="4">
        <v>46099</v>
      </c>
      <c r="E1897" t="str">
        <f>VLOOKUP($A1897,Sheet4!$A:$B,2,0)</f>
        <v>FS Fudge Bars 12-12PK</v>
      </c>
      <c r="F1897" s="3" t="s">
        <v>849</v>
      </c>
    </row>
    <row r="1898" spans="1:6" x14ac:dyDescent="0.25">
      <c r="A1898" s="3">
        <v>68775642</v>
      </c>
      <c r="B1898" s="3">
        <v>3910</v>
      </c>
      <c r="C1898" s="24">
        <v>2520</v>
      </c>
      <c r="D1898" s="4">
        <v>46099</v>
      </c>
      <c r="E1898" t="str">
        <f>VLOOKUP($A1898,Sheet4!$A:$B,2,0)</f>
        <v>FS Fudge Bars 12-12PK</v>
      </c>
      <c r="F1898" s="3" t="s">
        <v>849</v>
      </c>
    </row>
    <row r="1899" spans="1:6" x14ac:dyDescent="0.25">
      <c r="A1899" s="3">
        <v>68775642</v>
      </c>
      <c r="B1899" s="3">
        <v>3910</v>
      </c>
      <c r="C1899" s="24">
        <v>216</v>
      </c>
      <c r="D1899" s="4">
        <v>46100</v>
      </c>
      <c r="E1899" t="str">
        <f>VLOOKUP($A1899,Sheet4!$A:$B,2,0)</f>
        <v>FS Fudge Bars 12-12PK</v>
      </c>
      <c r="F1899" s="3" t="s">
        <v>849</v>
      </c>
    </row>
    <row r="1900" spans="1:6" x14ac:dyDescent="0.25">
      <c r="A1900" s="3">
        <v>68775642</v>
      </c>
      <c r="B1900" s="3">
        <v>3910</v>
      </c>
      <c r="C1900" s="24">
        <v>2376</v>
      </c>
      <c r="D1900" s="4">
        <v>46100</v>
      </c>
      <c r="E1900" t="str">
        <f>VLOOKUP($A1900,Sheet4!$A:$B,2,0)</f>
        <v>FS Fudge Bars 12-12PK</v>
      </c>
      <c r="F1900" s="3" t="s">
        <v>849</v>
      </c>
    </row>
    <row r="1901" spans="1:6" x14ac:dyDescent="0.25">
      <c r="A1901" s="3">
        <v>68775642</v>
      </c>
      <c r="B1901" s="3">
        <v>3910</v>
      </c>
      <c r="C1901" s="24">
        <v>288</v>
      </c>
      <c r="D1901" s="4">
        <v>46101</v>
      </c>
      <c r="E1901" t="str">
        <f>VLOOKUP($A1901,Sheet4!$A:$B,2,0)</f>
        <v>FS Fudge Bars 12-12PK</v>
      </c>
      <c r="F1901" s="3" t="s">
        <v>849</v>
      </c>
    </row>
    <row r="1902" spans="1:6" x14ac:dyDescent="0.25">
      <c r="A1902" s="3">
        <v>68775642</v>
      </c>
      <c r="B1902" s="3">
        <v>3910</v>
      </c>
      <c r="C1902" s="24">
        <v>1051</v>
      </c>
      <c r="D1902" s="4">
        <v>46101</v>
      </c>
      <c r="E1902" t="str">
        <f>VLOOKUP($A1902,Sheet4!$A:$B,2,0)</f>
        <v>FS Fudge Bars 12-12PK</v>
      </c>
      <c r="F1902" s="3" t="s">
        <v>849</v>
      </c>
    </row>
    <row r="1903" spans="1:6" x14ac:dyDescent="0.25">
      <c r="A1903" s="3">
        <v>69713153</v>
      </c>
      <c r="B1903" s="3">
        <v>3910</v>
      </c>
      <c r="C1903" s="24">
        <v>752</v>
      </c>
      <c r="D1903" s="4">
        <v>46101</v>
      </c>
      <c r="E1903" t="str">
        <f>VLOOKUP($A1903,Sheet4!$A:$B,2,0)</f>
        <v>KL Vanilla Sandwich 1-24BK</v>
      </c>
      <c r="F1903" s="3" t="s">
        <v>106</v>
      </c>
    </row>
    <row r="1904" spans="1:6" x14ac:dyDescent="0.25">
      <c r="A1904" s="3">
        <v>69713153</v>
      </c>
      <c r="B1904" s="3">
        <v>3910</v>
      </c>
      <c r="C1904" s="24">
        <v>240</v>
      </c>
      <c r="D1904" s="4">
        <v>46104</v>
      </c>
      <c r="E1904" t="str">
        <f>VLOOKUP($A1904,Sheet4!$A:$B,2,0)</f>
        <v>KL Vanilla Sandwich 1-24BK</v>
      </c>
      <c r="F1904" s="3" t="s">
        <v>106</v>
      </c>
    </row>
    <row r="1905" spans="1:6" x14ac:dyDescent="0.25">
      <c r="A1905" s="3">
        <v>69713153</v>
      </c>
      <c r="B1905" s="3">
        <v>3910</v>
      </c>
      <c r="C1905" s="24">
        <v>1326</v>
      </c>
      <c r="D1905" s="4">
        <v>46105</v>
      </c>
      <c r="E1905" t="str">
        <f>VLOOKUP($A1905,Sheet4!$A:$B,2,0)</f>
        <v>KL Vanilla Sandwich 1-24BK</v>
      </c>
      <c r="F1905" s="3" t="s">
        <v>106</v>
      </c>
    </row>
    <row r="1906" spans="1:6" x14ac:dyDescent="0.25">
      <c r="A1906" s="3">
        <v>69991961</v>
      </c>
      <c r="B1906" s="3">
        <v>3910</v>
      </c>
      <c r="C1906" s="24">
        <v>6368</v>
      </c>
      <c r="D1906" s="4">
        <v>46078</v>
      </c>
      <c r="E1906" t="str">
        <f>VLOOKUP($A1906,Sheet4!$A:$B,2,0)</f>
        <v>BJ CA IC Churreh For Churros-8 473ml</v>
      </c>
      <c r="F1906" s="3" t="s">
        <v>106</v>
      </c>
    </row>
    <row r="1907" spans="1:6" x14ac:dyDescent="0.25">
      <c r="A1907" s="3">
        <v>67794169</v>
      </c>
      <c r="B1907" s="3">
        <v>5911</v>
      </c>
      <c r="C1907" s="24">
        <v>8160</v>
      </c>
      <c r="D1907" s="4">
        <v>46084</v>
      </c>
      <c r="E1907" t="str">
        <f>VLOOKUP($A1907,Sheet4!$A:$B,2,0)</f>
        <v>BJ US-IC-TonightDough-8 1PT</v>
      </c>
      <c r="F1907" s="3" t="s">
        <v>58</v>
      </c>
    </row>
    <row r="1908" spans="1:6" x14ac:dyDescent="0.25">
      <c r="A1908" s="3">
        <v>67794169</v>
      </c>
      <c r="B1908" s="3">
        <v>5911</v>
      </c>
      <c r="C1908" s="24">
        <v>9360</v>
      </c>
      <c r="D1908" s="4">
        <v>46084</v>
      </c>
      <c r="E1908" t="str">
        <f>VLOOKUP($A1908,Sheet4!$A:$B,2,0)</f>
        <v>BJ US-IC-TonightDough-8 1PT</v>
      </c>
      <c r="F1908" s="3" t="s">
        <v>58</v>
      </c>
    </row>
    <row r="1909" spans="1:6" x14ac:dyDescent="0.25">
      <c r="A1909" s="3">
        <v>67794169</v>
      </c>
      <c r="B1909" s="3">
        <v>5911</v>
      </c>
      <c r="C1909" s="24">
        <v>22080</v>
      </c>
      <c r="D1909" s="4">
        <v>46085</v>
      </c>
      <c r="E1909" t="str">
        <f>VLOOKUP($A1909,Sheet4!$A:$B,2,0)</f>
        <v>BJ US-IC-TonightDough-8 1PT</v>
      </c>
      <c r="F1909" s="3" t="s">
        <v>58</v>
      </c>
    </row>
    <row r="1910" spans="1:6" x14ac:dyDescent="0.25">
      <c r="A1910" s="3">
        <v>67794169</v>
      </c>
      <c r="B1910" s="3">
        <v>5911</v>
      </c>
      <c r="C1910" s="24">
        <v>6104</v>
      </c>
      <c r="D1910" s="4">
        <v>46086</v>
      </c>
      <c r="E1910" t="str">
        <f>VLOOKUP($A1910,Sheet4!$A:$B,2,0)</f>
        <v>BJ US-IC-TonightDough-8 1PT</v>
      </c>
      <c r="F1910" s="3" t="s">
        <v>58</v>
      </c>
    </row>
    <row r="1911" spans="1:6" x14ac:dyDescent="0.25">
      <c r="A1911" s="3">
        <v>67794169</v>
      </c>
      <c r="B1911" s="3">
        <v>5911</v>
      </c>
      <c r="C1911" s="24">
        <v>1200</v>
      </c>
      <c r="D1911" s="4">
        <v>46104</v>
      </c>
      <c r="E1911" t="str">
        <f>VLOOKUP($A1911,Sheet4!$A:$B,2,0)</f>
        <v>BJ US-IC-TonightDough-8 1PT</v>
      </c>
      <c r="F1911" s="3" t="s">
        <v>58</v>
      </c>
    </row>
    <row r="1912" spans="1:6" x14ac:dyDescent="0.25">
      <c r="A1912" s="3">
        <v>67794169</v>
      </c>
      <c r="B1912" s="3">
        <v>5911</v>
      </c>
      <c r="C1912" s="24">
        <v>34320</v>
      </c>
      <c r="D1912" s="4">
        <v>46105</v>
      </c>
      <c r="E1912" t="str">
        <f>VLOOKUP($A1912,Sheet4!$A:$B,2,0)</f>
        <v>BJ US-IC-TonightDough-8 1PT</v>
      </c>
      <c r="F1912" s="3" t="s">
        <v>58</v>
      </c>
    </row>
    <row r="1913" spans="1:6" x14ac:dyDescent="0.25">
      <c r="A1913" s="3">
        <v>67803006</v>
      </c>
      <c r="B1913" s="3">
        <v>5911</v>
      </c>
      <c r="C1913" s="24">
        <v>7920</v>
      </c>
      <c r="D1913" s="4">
        <v>46083</v>
      </c>
      <c r="E1913" t="str">
        <f>VLOOKUP($A1913,Sheet4!$A:$B,2,0)</f>
        <v>BJ R01-IC-TonightDough-8 458ML</v>
      </c>
      <c r="F1913" s="3" t="s">
        <v>58</v>
      </c>
    </row>
    <row r="1914" spans="1:6" x14ac:dyDescent="0.25">
      <c r="A1914" s="3">
        <v>67803006</v>
      </c>
      <c r="B1914" s="3">
        <v>5911</v>
      </c>
      <c r="C1914" s="24">
        <v>5625</v>
      </c>
      <c r="D1914" s="4">
        <v>46084</v>
      </c>
      <c r="E1914" t="str">
        <f>VLOOKUP($A1914,Sheet4!$A:$B,2,0)</f>
        <v>BJ R01-IC-TonightDough-8 458ML</v>
      </c>
      <c r="F1914" s="3" t="s">
        <v>58</v>
      </c>
    </row>
    <row r="1915" spans="1:6" x14ac:dyDescent="0.25">
      <c r="A1915" s="3">
        <v>68638142</v>
      </c>
      <c r="B1915" s="3">
        <v>5911</v>
      </c>
      <c r="C1915" s="24">
        <v>7613</v>
      </c>
      <c r="D1915" s="4">
        <v>46101</v>
      </c>
      <c r="E1915" t="str">
        <f>VLOOKUP($A1915,Sheet4!$A:$B,2,0)</f>
        <v>BJ MX-IC-CherryGarcia-8 1PT</v>
      </c>
      <c r="F1915" s="3" t="s">
        <v>58</v>
      </c>
    </row>
    <row r="1916" spans="1:6" x14ac:dyDescent="0.25">
      <c r="A1916" s="3">
        <v>84135718</v>
      </c>
      <c r="B1916" s="3">
        <v>5911</v>
      </c>
      <c r="C1916" s="24">
        <v>17520</v>
      </c>
      <c r="D1916" s="4">
        <v>46077</v>
      </c>
      <c r="E1916" t="str">
        <f>VLOOKUP($A1916,Sheet4!$A:$B,2,0)</f>
        <v>BJ US-IC-ChocChpCookDgh-FTNG-8 1PT</v>
      </c>
      <c r="F1916" s="3" t="s">
        <v>79</v>
      </c>
    </row>
    <row r="1917" spans="1:6" x14ac:dyDescent="0.25">
      <c r="A1917" s="3">
        <v>84135718</v>
      </c>
      <c r="B1917" s="3">
        <v>5911</v>
      </c>
      <c r="C1917" s="24">
        <v>39360</v>
      </c>
      <c r="D1917" s="4">
        <v>46078</v>
      </c>
      <c r="E1917" t="str">
        <f>VLOOKUP($A1917,Sheet4!$A:$B,2,0)</f>
        <v>BJ US-IC-ChocChpCookDgh-FTNG-8 1PT</v>
      </c>
      <c r="F1917" s="3" t="s">
        <v>79</v>
      </c>
    </row>
    <row r="1918" spans="1:6" x14ac:dyDescent="0.25">
      <c r="A1918" s="3">
        <v>84135718</v>
      </c>
      <c r="B1918" s="3">
        <v>5911</v>
      </c>
      <c r="C1918" s="24">
        <v>4783</v>
      </c>
      <c r="D1918" s="4">
        <v>46079</v>
      </c>
      <c r="E1918" t="str">
        <f>VLOOKUP($A1918,Sheet4!$A:$B,2,0)</f>
        <v>BJ US-IC-ChocChpCookDgh-FTNG-8 1PT</v>
      </c>
      <c r="F1918" s="3" t="s">
        <v>79</v>
      </c>
    </row>
    <row r="1919" spans="1:6" x14ac:dyDescent="0.25">
      <c r="A1919" s="3">
        <v>84135718</v>
      </c>
      <c r="B1919" s="3">
        <v>5911</v>
      </c>
      <c r="C1919" s="24">
        <v>13440</v>
      </c>
      <c r="D1919" s="4">
        <v>46076</v>
      </c>
      <c r="E1919" t="str">
        <f>VLOOKUP($A1919,Sheet4!$A:$B,2,0)</f>
        <v>BJ US-IC-ChocChpCookDgh-FTNG-8 1PT</v>
      </c>
      <c r="F1919" s="3" t="s">
        <v>79</v>
      </c>
    </row>
    <row r="1920" spans="1:6" x14ac:dyDescent="0.25">
      <c r="A1920" s="3">
        <v>84135718</v>
      </c>
      <c r="B1920" s="3">
        <v>5911</v>
      </c>
      <c r="C1920" s="24">
        <v>27120</v>
      </c>
      <c r="D1920" s="4">
        <v>46077</v>
      </c>
      <c r="E1920" t="str">
        <f>VLOOKUP($A1920,Sheet4!$A:$B,2,0)</f>
        <v>BJ US-IC-ChocChpCookDgh-FTNG-8 1PT</v>
      </c>
      <c r="F1920" s="3" t="s">
        <v>79</v>
      </c>
    </row>
    <row r="1921" spans="1:6" x14ac:dyDescent="0.25">
      <c r="A1921" s="3">
        <v>84137725</v>
      </c>
      <c r="B1921" s="3">
        <v>5911</v>
      </c>
      <c r="C1921" s="24">
        <v>22378</v>
      </c>
      <c r="D1921" s="4">
        <v>46087</v>
      </c>
      <c r="E1921" t="str">
        <f>VLOOKUP($A1921,Sheet4!$A:$B,2,0)</f>
        <v>BJ US-IC-CherryGarcia-FTNG-8 1PT</v>
      </c>
      <c r="F1921" s="3" t="s">
        <v>31</v>
      </c>
    </row>
    <row r="1922" spans="1:6" x14ac:dyDescent="0.25">
      <c r="A1922" s="3">
        <v>84137725</v>
      </c>
      <c r="B1922" s="3">
        <v>5911</v>
      </c>
      <c r="C1922" s="24">
        <v>26880</v>
      </c>
      <c r="D1922" s="4">
        <v>46088</v>
      </c>
      <c r="E1922" t="str">
        <f>VLOOKUP($A1922,Sheet4!$A:$B,2,0)</f>
        <v>BJ US-IC-CherryGarcia-FTNG-8 1PT</v>
      </c>
      <c r="F1922" s="3" t="s">
        <v>31</v>
      </c>
    </row>
    <row r="1923" spans="1:6" x14ac:dyDescent="0.25">
      <c r="A1923" s="3">
        <v>84137725</v>
      </c>
      <c r="B1923" s="3">
        <v>5911</v>
      </c>
      <c r="C1923" s="24">
        <v>6960</v>
      </c>
      <c r="D1923" s="4">
        <v>46088</v>
      </c>
      <c r="E1923" t="str">
        <f>VLOOKUP($A1923,Sheet4!$A:$B,2,0)</f>
        <v>BJ US-IC-CherryGarcia-FTNG-8 1PT</v>
      </c>
      <c r="F1923" s="3" t="s">
        <v>31</v>
      </c>
    </row>
    <row r="1924" spans="1:6" x14ac:dyDescent="0.25">
      <c r="A1924" s="3">
        <v>84137725</v>
      </c>
      <c r="B1924" s="3">
        <v>5911</v>
      </c>
      <c r="C1924" s="24">
        <v>32160</v>
      </c>
      <c r="D1924" s="4">
        <v>46089</v>
      </c>
      <c r="E1924" t="str">
        <f>VLOOKUP($A1924,Sheet4!$A:$B,2,0)</f>
        <v>BJ US-IC-CherryGarcia-FTNG-8 1PT</v>
      </c>
      <c r="F1924" s="3" t="s">
        <v>31</v>
      </c>
    </row>
    <row r="1925" spans="1:6" x14ac:dyDescent="0.25">
      <c r="A1925" s="3">
        <v>84137725</v>
      </c>
      <c r="B1925" s="3">
        <v>5911</v>
      </c>
      <c r="C1925" s="24">
        <v>5720</v>
      </c>
      <c r="D1925" s="4">
        <v>46090</v>
      </c>
      <c r="E1925" t="str">
        <f>VLOOKUP($A1925,Sheet4!$A:$B,2,0)</f>
        <v>BJ US-IC-CherryGarcia-FTNG-8 1PT</v>
      </c>
      <c r="F1925" s="3" t="s">
        <v>31</v>
      </c>
    </row>
    <row r="1926" spans="1:6" x14ac:dyDescent="0.25">
      <c r="A1926" s="3">
        <v>84137725</v>
      </c>
      <c r="B1926" s="3">
        <v>5911</v>
      </c>
      <c r="C1926" s="24">
        <v>14640</v>
      </c>
      <c r="D1926" s="4">
        <v>46101</v>
      </c>
      <c r="E1926" t="str">
        <f>VLOOKUP($A1926,Sheet4!$A:$B,2,0)</f>
        <v>BJ US-IC-CherryGarcia-FTNG-8 1PT</v>
      </c>
      <c r="F1926" s="3" t="s">
        <v>31</v>
      </c>
    </row>
    <row r="1927" spans="1:6" x14ac:dyDescent="0.25">
      <c r="A1927" s="3">
        <v>84137725</v>
      </c>
      <c r="B1927" s="3">
        <v>5911</v>
      </c>
      <c r="C1927" s="24">
        <v>32640</v>
      </c>
      <c r="D1927" s="4">
        <v>46102</v>
      </c>
      <c r="E1927" t="str">
        <f>VLOOKUP($A1927,Sheet4!$A:$B,2,0)</f>
        <v>BJ US-IC-CherryGarcia-FTNG-8 1PT</v>
      </c>
      <c r="F1927" s="3" t="s">
        <v>31</v>
      </c>
    </row>
    <row r="1928" spans="1:6" x14ac:dyDescent="0.25">
      <c r="A1928" s="3">
        <v>84137725</v>
      </c>
      <c r="B1928" s="3">
        <v>5911</v>
      </c>
      <c r="C1928" s="24">
        <v>6240</v>
      </c>
      <c r="D1928" s="4">
        <v>46102</v>
      </c>
      <c r="E1928" t="str">
        <f>VLOOKUP($A1928,Sheet4!$A:$B,2,0)</f>
        <v>BJ US-IC-CherryGarcia-FTNG-8 1PT</v>
      </c>
      <c r="F1928" s="3" t="s">
        <v>31</v>
      </c>
    </row>
    <row r="1929" spans="1:6" x14ac:dyDescent="0.25">
      <c r="A1929" s="3">
        <v>84137725</v>
      </c>
      <c r="B1929" s="3">
        <v>5911</v>
      </c>
      <c r="C1929" s="24">
        <v>34560</v>
      </c>
      <c r="D1929" s="4">
        <v>46103</v>
      </c>
      <c r="E1929" t="str">
        <f>VLOOKUP($A1929,Sheet4!$A:$B,2,0)</f>
        <v>BJ US-IC-CherryGarcia-FTNG-8 1PT</v>
      </c>
      <c r="F1929" s="3" t="s">
        <v>31</v>
      </c>
    </row>
    <row r="1930" spans="1:6" x14ac:dyDescent="0.25">
      <c r="A1930" s="3">
        <v>84137725</v>
      </c>
      <c r="B1930" s="3">
        <v>5911</v>
      </c>
      <c r="C1930" s="24">
        <v>3741</v>
      </c>
      <c r="D1930" s="4">
        <v>46104</v>
      </c>
      <c r="E1930" t="str">
        <f>VLOOKUP($A1930,Sheet4!$A:$B,2,0)</f>
        <v>BJ US-IC-CherryGarcia-FTNG-8 1PT</v>
      </c>
      <c r="F1930" s="3" t="s">
        <v>31</v>
      </c>
    </row>
    <row r="1931" spans="1:6" x14ac:dyDescent="0.25">
      <c r="A1931" s="3">
        <v>84141102</v>
      </c>
      <c r="B1931" s="3">
        <v>5911</v>
      </c>
      <c r="C1931" s="24">
        <v>7680</v>
      </c>
      <c r="D1931" s="4">
        <v>46090</v>
      </c>
      <c r="E1931" t="str">
        <f>VLOOKUP($A1931,Sheet4!$A:$B,2,0)</f>
        <v>BJ US-IC-ChocFudgBrownie-FTNG-8 1PT</v>
      </c>
      <c r="F1931" s="3" t="s">
        <v>79</v>
      </c>
    </row>
    <row r="1932" spans="1:6" x14ac:dyDescent="0.25">
      <c r="A1932" s="3">
        <v>84141102</v>
      </c>
      <c r="B1932" s="3">
        <v>5911</v>
      </c>
      <c r="C1932" s="24">
        <v>42480</v>
      </c>
      <c r="D1932" s="4">
        <v>46091</v>
      </c>
      <c r="E1932" t="str">
        <f>VLOOKUP($A1932,Sheet4!$A:$B,2,0)</f>
        <v>BJ US-IC-ChocFudgBrownie-FTNG-8 1PT</v>
      </c>
      <c r="F1932" s="3" t="s">
        <v>79</v>
      </c>
    </row>
    <row r="1933" spans="1:6" x14ac:dyDescent="0.25">
      <c r="A1933" s="3">
        <v>84141102</v>
      </c>
      <c r="B1933" s="3">
        <v>5911</v>
      </c>
      <c r="C1933" s="24">
        <v>4320</v>
      </c>
      <c r="D1933" s="4">
        <v>46092</v>
      </c>
      <c r="E1933" t="str">
        <f>VLOOKUP($A1933,Sheet4!$A:$B,2,0)</f>
        <v>BJ US-IC-ChocFudgBrownie-FTNG-8 1PT</v>
      </c>
      <c r="F1933" s="3" t="s">
        <v>79</v>
      </c>
    </row>
    <row r="1934" spans="1:6" x14ac:dyDescent="0.25">
      <c r="A1934" s="3">
        <v>84141102</v>
      </c>
      <c r="B1934" s="3">
        <v>5911</v>
      </c>
      <c r="C1934" s="24">
        <v>39600</v>
      </c>
      <c r="D1934" s="4">
        <v>46092</v>
      </c>
      <c r="E1934" t="str">
        <f>VLOOKUP($A1934,Sheet4!$A:$B,2,0)</f>
        <v>BJ US-IC-ChocFudgBrownie-FTNG-8 1PT</v>
      </c>
      <c r="F1934" s="3" t="s">
        <v>79</v>
      </c>
    </row>
    <row r="1935" spans="1:6" x14ac:dyDescent="0.25">
      <c r="A1935" s="3">
        <v>84141102</v>
      </c>
      <c r="B1935" s="3">
        <v>5911</v>
      </c>
      <c r="C1935" s="24">
        <v>19002</v>
      </c>
      <c r="D1935" s="4">
        <v>46093</v>
      </c>
      <c r="E1935" t="str">
        <f>VLOOKUP($A1935,Sheet4!$A:$B,2,0)</f>
        <v>BJ US-IC-ChocFudgBrownie-FTNG-8 1PT</v>
      </c>
      <c r="F1935" s="3" t="s">
        <v>79</v>
      </c>
    </row>
    <row r="1936" spans="1:6" x14ac:dyDescent="0.25">
      <c r="A1936" s="3">
        <v>84141102</v>
      </c>
      <c r="B1936" s="3">
        <v>5911</v>
      </c>
      <c r="C1936" s="24">
        <v>5894</v>
      </c>
      <c r="D1936" s="4">
        <v>46076</v>
      </c>
      <c r="E1936" t="str">
        <f>VLOOKUP($A1936,Sheet4!$A:$B,2,0)</f>
        <v>BJ US-IC-ChocFudgBrownie-FTNG-8 1PT</v>
      </c>
      <c r="F1936" s="3" t="s">
        <v>79</v>
      </c>
    </row>
    <row r="1937" spans="1:6" x14ac:dyDescent="0.25">
      <c r="A1937" s="3">
        <v>84141103</v>
      </c>
      <c r="B1937" s="3">
        <v>5911</v>
      </c>
      <c r="C1937" s="24">
        <v>480</v>
      </c>
      <c r="D1937" s="4">
        <v>46079</v>
      </c>
      <c r="E1937" t="str">
        <f>VLOOKUP($A1937,Sheet4!$A:$B,2,0)</f>
        <v>BJ US-IC-HalfBaked-FTNG-8 1PT</v>
      </c>
      <c r="F1937" s="3" t="s">
        <v>79</v>
      </c>
    </row>
    <row r="1938" spans="1:6" x14ac:dyDescent="0.25">
      <c r="A1938" s="3">
        <v>84141103</v>
      </c>
      <c r="B1938" s="3">
        <v>5911</v>
      </c>
      <c r="C1938" s="24">
        <v>34320</v>
      </c>
      <c r="D1938" s="4">
        <v>46080</v>
      </c>
      <c r="E1938" t="str">
        <f>VLOOKUP($A1938,Sheet4!$A:$B,2,0)</f>
        <v>BJ US-IC-HalfBaked-FTNG-8 1PT</v>
      </c>
      <c r="F1938" s="3" t="s">
        <v>79</v>
      </c>
    </row>
    <row r="1939" spans="1:6" x14ac:dyDescent="0.25">
      <c r="A1939" s="3">
        <v>84141103</v>
      </c>
      <c r="B1939" s="3">
        <v>5911</v>
      </c>
      <c r="C1939" s="24">
        <v>3600</v>
      </c>
      <c r="D1939" s="4">
        <v>46080</v>
      </c>
      <c r="E1939" t="str">
        <f>VLOOKUP($A1939,Sheet4!$A:$B,2,0)</f>
        <v>BJ US-IC-HalfBaked-FTNG-8 1PT</v>
      </c>
      <c r="F1939" s="3" t="s">
        <v>79</v>
      </c>
    </row>
    <row r="1940" spans="1:6" x14ac:dyDescent="0.25">
      <c r="A1940" s="3">
        <v>84141103</v>
      </c>
      <c r="B1940" s="3">
        <v>5911</v>
      </c>
      <c r="C1940" s="24">
        <v>45120</v>
      </c>
      <c r="D1940" s="4">
        <v>46081</v>
      </c>
      <c r="E1940" t="str">
        <f>VLOOKUP($A1940,Sheet4!$A:$B,2,0)</f>
        <v>BJ US-IC-HalfBaked-FTNG-8 1PT</v>
      </c>
      <c r="F1940" s="3" t="s">
        <v>79</v>
      </c>
    </row>
    <row r="1941" spans="1:6" x14ac:dyDescent="0.25">
      <c r="A1941" s="3">
        <v>84141103</v>
      </c>
      <c r="B1941" s="3">
        <v>5911</v>
      </c>
      <c r="C1941" s="24">
        <v>24201</v>
      </c>
      <c r="D1941" s="4">
        <v>46082</v>
      </c>
      <c r="E1941" t="str">
        <f>VLOOKUP($A1941,Sheet4!$A:$B,2,0)</f>
        <v>BJ US-IC-HalfBaked-FTNG-8 1PT</v>
      </c>
      <c r="F1941" s="3" t="s">
        <v>79</v>
      </c>
    </row>
    <row r="1942" spans="1:6" x14ac:dyDescent="0.25">
      <c r="A1942" s="3">
        <v>84141103</v>
      </c>
      <c r="B1942" s="3">
        <v>5911</v>
      </c>
      <c r="C1942" s="24">
        <v>30000</v>
      </c>
      <c r="D1942" s="4">
        <v>46094</v>
      </c>
      <c r="E1942" t="str">
        <f>VLOOKUP($A1942,Sheet4!$A:$B,2,0)</f>
        <v>BJ US-IC-HalfBaked-FTNG-8 1PT</v>
      </c>
      <c r="F1942" s="3" t="s">
        <v>79</v>
      </c>
    </row>
    <row r="1943" spans="1:6" x14ac:dyDescent="0.25">
      <c r="A1943" s="3">
        <v>84141103</v>
      </c>
      <c r="B1943" s="3">
        <v>5911</v>
      </c>
      <c r="C1943" s="24">
        <v>12000</v>
      </c>
      <c r="D1943" s="4">
        <v>46095</v>
      </c>
      <c r="E1943" t="str">
        <f>VLOOKUP($A1943,Sheet4!$A:$B,2,0)</f>
        <v>BJ US-IC-HalfBaked-FTNG-8 1PT</v>
      </c>
      <c r="F1943" s="3" t="s">
        <v>79</v>
      </c>
    </row>
    <row r="1944" spans="1:6" x14ac:dyDescent="0.25">
      <c r="A1944" s="3">
        <v>84141103</v>
      </c>
      <c r="B1944" s="3">
        <v>5911</v>
      </c>
      <c r="C1944" s="24">
        <v>26160</v>
      </c>
      <c r="D1944" s="4">
        <v>46095</v>
      </c>
      <c r="E1944" t="str">
        <f>VLOOKUP($A1944,Sheet4!$A:$B,2,0)</f>
        <v>BJ US-IC-HalfBaked-FTNG-8 1PT</v>
      </c>
      <c r="F1944" s="3" t="s">
        <v>79</v>
      </c>
    </row>
    <row r="1945" spans="1:6" x14ac:dyDescent="0.25">
      <c r="A1945" s="3">
        <v>84141103</v>
      </c>
      <c r="B1945" s="3">
        <v>5911</v>
      </c>
      <c r="C1945" s="24">
        <v>34290</v>
      </c>
      <c r="D1945" s="4">
        <v>46096</v>
      </c>
      <c r="E1945" t="str">
        <f>VLOOKUP($A1945,Sheet4!$A:$B,2,0)</f>
        <v>BJ US-IC-HalfBaked-FTNG-8 1PT</v>
      </c>
      <c r="F1945" s="3" t="s">
        <v>79</v>
      </c>
    </row>
    <row r="1946" spans="1:6" x14ac:dyDescent="0.25">
      <c r="A1946" s="3">
        <v>84164936</v>
      </c>
      <c r="B1946" s="3">
        <v>5911</v>
      </c>
      <c r="C1946" s="24">
        <v>15120</v>
      </c>
      <c r="D1946" s="4">
        <v>46097</v>
      </c>
      <c r="E1946" t="str">
        <f>VLOOKUP($A1946,Sheet4!$A:$B,2,0)</f>
        <v>BJ US-IC-MintChocCookie-8 1PT</v>
      </c>
      <c r="F1946" s="3" t="s">
        <v>31</v>
      </c>
    </row>
    <row r="1947" spans="1:6" x14ac:dyDescent="0.25">
      <c r="A1947" s="3">
        <v>84164936</v>
      </c>
      <c r="B1947" s="3">
        <v>5911</v>
      </c>
      <c r="C1947" s="24">
        <v>14400</v>
      </c>
      <c r="D1947" s="4">
        <v>46098</v>
      </c>
      <c r="E1947" t="str">
        <f>VLOOKUP($A1947,Sheet4!$A:$B,2,0)</f>
        <v>BJ US-IC-MintChocCookie-8 1PT</v>
      </c>
      <c r="F1947" s="3" t="s">
        <v>31</v>
      </c>
    </row>
    <row r="1948" spans="1:6" x14ac:dyDescent="0.25">
      <c r="A1948" s="3">
        <v>84164936</v>
      </c>
      <c r="B1948" s="3">
        <v>5911</v>
      </c>
      <c r="C1948" s="24">
        <v>7440</v>
      </c>
      <c r="D1948" s="4">
        <v>46098</v>
      </c>
      <c r="E1948" t="str">
        <f>VLOOKUP($A1948,Sheet4!$A:$B,2,0)</f>
        <v>BJ US-IC-MintChocCookie-8 1PT</v>
      </c>
      <c r="F1948" s="3" t="s">
        <v>31</v>
      </c>
    </row>
    <row r="1949" spans="1:6" x14ac:dyDescent="0.25">
      <c r="A1949" s="3">
        <v>84164936</v>
      </c>
      <c r="B1949" s="3">
        <v>5911</v>
      </c>
      <c r="C1949" s="24">
        <v>41760</v>
      </c>
      <c r="D1949" s="4">
        <v>46099</v>
      </c>
      <c r="E1949" t="str">
        <f>VLOOKUP($A1949,Sheet4!$A:$B,2,0)</f>
        <v>BJ US-IC-MintChocCookie-8 1PT</v>
      </c>
      <c r="F1949" s="3" t="s">
        <v>31</v>
      </c>
    </row>
    <row r="1950" spans="1:6" x14ac:dyDescent="0.25">
      <c r="A1950" s="3">
        <v>84164936</v>
      </c>
      <c r="B1950" s="3">
        <v>5911</v>
      </c>
      <c r="C1950" s="24">
        <v>15924</v>
      </c>
      <c r="D1950" s="4">
        <v>46100</v>
      </c>
      <c r="E1950" t="str">
        <f>VLOOKUP($A1950,Sheet4!$A:$B,2,0)</f>
        <v>BJ US-IC-MintChocCookie-8 1PT</v>
      </c>
      <c r="F1950" s="3" t="s">
        <v>31</v>
      </c>
    </row>
    <row r="1951" spans="1:6" x14ac:dyDescent="0.25">
      <c r="A1951" s="3">
        <v>65434831</v>
      </c>
      <c r="B1951" s="3">
        <v>5914</v>
      </c>
      <c r="C1951" s="24">
        <v>14880</v>
      </c>
      <c r="D1951" s="4">
        <v>46084</v>
      </c>
      <c r="E1951" t="str">
        <f>VLOOKUP($A1951,Sheet4!$A:$B,2,0)</f>
        <v>BJ US-IC-Honey Graham Latte-8 1PT LTD</v>
      </c>
      <c r="F1951" s="3" t="s">
        <v>58</v>
      </c>
    </row>
    <row r="1952" spans="1:6" x14ac:dyDescent="0.25">
      <c r="A1952" s="3">
        <v>65434831</v>
      </c>
      <c r="B1952" s="3">
        <v>5914</v>
      </c>
      <c r="C1952" s="24">
        <v>20147</v>
      </c>
      <c r="D1952" s="4">
        <v>46085</v>
      </c>
      <c r="E1952" t="str">
        <f>VLOOKUP($A1952,Sheet4!$A:$B,2,0)</f>
        <v>BJ US-IC-Honey Graham Latte-8 1PT LTD</v>
      </c>
      <c r="F1952" s="3" t="s">
        <v>58</v>
      </c>
    </row>
    <row r="1953" spans="1:6" x14ac:dyDescent="0.25">
      <c r="A1953" s="3">
        <v>67430513</v>
      </c>
      <c r="B1953" s="3">
        <v>5914</v>
      </c>
      <c r="C1953" s="24">
        <v>8880</v>
      </c>
      <c r="D1953" s="4">
        <v>46079</v>
      </c>
      <c r="E1953" t="str">
        <f>VLOOKUP($A1953,Sheet4!$A:$B,2,0)</f>
        <v>BJ US-IC-PeanutButterCup-8 1PT</v>
      </c>
      <c r="F1953" s="3" t="s">
        <v>58</v>
      </c>
    </row>
    <row r="1954" spans="1:6" x14ac:dyDescent="0.25">
      <c r="A1954" s="3">
        <v>67430513</v>
      </c>
      <c r="B1954" s="3">
        <v>5914</v>
      </c>
      <c r="C1954" s="24">
        <v>30000</v>
      </c>
      <c r="D1954" s="4">
        <v>46080</v>
      </c>
      <c r="E1954" t="str">
        <f>VLOOKUP($A1954,Sheet4!$A:$B,2,0)</f>
        <v>BJ US-IC-PeanutButterCup-8 1PT</v>
      </c>
      <c r="F1954" s="3" t="s">
        <v>58</v>
      </c>
    </row>
    <row r="1955" spans="1:6" x14ac:dyDescent="0.25">
      <c r="A1955" s="3">
        <v>67430513</v>
      </c>
      <c r="B1955" s="3">
        <v>5914</v>
      </c>
      <c r="C1955" s="24">
        <v>25920</v>
      </c>
      <c r="D1955" s="4">
        <v>46081</v>
      </c>
      <c r="E1955" t="str">
        <f>VLOOKUP($A1955,Sheet4!$A:$B,2,0)</f>
        <v>BJ US-IC-PeanutButterCup-8 1PT</v>
      </c>
      <c r="F1955" s="3" t="s">
        <v>58</v>
      </c>
    </row>
    <row r="1956" spans="1:6" x14ac:dyDescent="0.25">
      <c r="A1956" s="3">
        <v>67546042</v>
      </c>
      <c r="B1956" s="3">
        <v>5914</v>
      </c>
      <c r="C1956" s="24">
        <v>2160</v>
      </c>
      <c r="D1956" s="4">
        <v>46077</v>
      </c>
      <c r="E1956" t="str">
        <f>VLOOKUP($A1956,Sheet4!$A:$B,2,0)</f>
        <v>BJ US-COR-ChocolateChip-8 1 PT</v>
      </c>
      <c r="F1956" s="3" t="s">
        <v>58</v>
      </c>
    </row>
    <row r="1957" spans="1:6" x14ac:dyDescent="0.25">
      <c r="A1957" s="3">
        <v>67546042</v>
      </c>
      <c r="B1957" s="3">
        <v>5914</v>
      </c>
      <c r="C1957" s="24">
        <v>25125</v>
      </c>
      <c r="D1957" s="4">
        <v>46078</v>
      </c>
      <c r="E1957" t="str">
        <f>VLOOKUP($A1957,Sheet4!$A:$B,2,0)</f>
        <v>BJ US-COR-ChocolateChip-8 1 PT</v>
      </c>
      <c r="F1957" s="3" t="s">
        <v>58</v>
      </c>
    </row>
    <row r="1958" spans="1:6" x14ac:dyDescent="0.25">
      <c r="A1958" s="3">
        <v>67546042</v>
      </c>
      <c r="B1958" s="3">
        <v>5914</v>
      </c>
      <c r="C1958" s="24">
        <v>5393</v>
      </c>
      <c r="D1958" s="4">
        <v>46079</v>
      </c>
      <c r="E1958" t="str">
        <f>VLOOKUP($A1958,Sheet4!$A:$B,2,0)</f>
        <v>BJ US-COR-ChocolateChip-8 1 PT</v>
      </c>
      <c r="F1958" s="3" t="s">
        <v>58</v>
      </c>
    </row>
    <row r="1959" spans="1:6" x14ac:dyDescent="0.25">
      <c r="A1959" s="3">
        <v>67546042</v>
      </c>
      <c r="B1959" s="3">
        <v>5914</v>
      </c>
      <c r="C1959" s="24">
        <v>5760</v>
      </c>
      <c r="D1959" s="4">
        <v>46105</v>
      </c>
      <c r="E1959" t="str">
        <f>VLOOKUP($A1959,Sheet4!$A:$B,2,0)</f>
        <v>BJ US-COR-ChocolateChip-8 1 PT</v>
      </c>
      <c r="F1959" s="3" t="s">
        <v>58</v>
      </c>
    </row>
    <row r="1960" spans="1:6" x14ac:dyDescent="0.25">
      <c r="A1960" s="3">
        <v>67596354</v>
      </c>
      <c r="B1960" s="3">
        <v>5914</v>
      </c>
      <c r="C1960" s="24">
        <v>12153</v>
      </c>
      <c r="D1960" s="4">
        <v>46097</v>
      </c>
      <c r="E1960" t="str">
        <f>VLOOKUP($A1960,Sheet4!$A:$B,2,0)</f>
        <v>BJ R01-IC-TripleCaramlChnk-8 458ML</v>
      </c>
      <c r="F1960" s="3" t="s">
        <v>58</v>
      </c>
    </row>
    <row r="1961" spans="1:6" x14ac:dyDescent="0.25">
      <c r="A1961" s="3">
        <v>67789314</v>
      </c>
      <c r="B1961" s="3">
        <v>5914</v>
      </c>
      <c r="C1961" s="24">
        <v>-63</v>
      </c>
      <c r="D1961" s="4">
        <v>46076</v>
      </c>
      <c r="E1961" t="str">
        <f>VLOOKUP($A1961,Sheet4!$A:$B,2,0)</f>
        <v>BJ US-IC-PBHalfBaked-8 1 PT</v>
      </c>
      <c r="F1961" s="3" t="s">
        <v>58</v>
      </c>
    </row>
    <row r="1962" spans="1:6" x14ac:dyDescent="0.25">
      <c r="A1962" s="3">
        <v>67789314</v>
      </c>
      <c r="B1962" s="3">
        <v>5914</v>
      </c>
      <c r="C1962" s="24">
        <v>15600</v>
      </c>
      <c r="D1962" s="4">
        <v>46098</v>
      </c>
      <c r="E1962" t="str">
        <f>VLOOKUP($A1962,Sheet4!$A:$B,2,0)</f>
        <v>BJ US-IC-PBHalfBaked-8 1 PT</v>
      </c>
      <c r="F1962" s="3" t="s">
        <v>58</v>
      </c>
    </row>
    <row r="1963" spans="1:6" x14ac:dyDescent="0.25">
      <c r="A1963" s="3">
        <v>67789314</v>
      </c>
      <c r="B1963" s="3">
        <v>5914</v>
      </c>
      <c r="C1963" s="24">
        <v>14481</v>
      </c>
      <c r="D1963" s="4">
        <v>46099</v>
      </c>
      <c r="E1963" t="str">
        <f>VLOOKUP($A1963,Sheet4!$A:$B,2,0)</f>
        <v>BJ US-IC-PBHalfBaked-8 1 PT</v>
      </c>
      <c r="F1963" s="3" t="s">
        <v>58</v>
      </c>
    </row>
    <row r="1964" spans="1:6" x14ac:dyDescent="0.25">
      <c r="A1964" s="3">
        <v>67794167</v>
      </c>
      <c r="B1964" s="3">
        <v>5914</v>
      </c>
      <c r="C1964" s="24">
        <v>28800</v>
      </c>
      <c r="D1964" s="4">
        <v>46079</v>
      </c>
      <c r="E1964" t="str">
        <f>VLOOKUP($A1964,Sheet4!$A:$B,2,0)</f>
        <v>BJ US-IC-Milk+Cookies-8 1PT</v>
      </c>
      <c r="F1964" s="3" t="s">
        <v>79</v>
      </c>
    </row>
    <row r="1965" spans="1:6" x14ac:dyDescent="0.25">
      <c r="A1965" s="3">
        <v>67794167</v>
      </c>
      <c r="B1965" s="3">
        <v>5914</v>
      </c>
      <c r="C1965" s="24">
        <v>33441</v>
      </c>
      <c r="D1965" s="4">
        <v>46080</v>
      </c>
      <c r="E1965" t="str">
        <f>VLOOKUP($A1965,Sheet4!$A:$B,2,0)</f>
        <v>BJ US-IC-Milk+Cookies-8 1PT</v>
      </c>
      <c r="F1965" s="3" t="s">
        <v>79</v>
      </c>
    </row>
    <row r="1966" spans="1:6" x14ac:dyDescent="0.25">
      <c r="A1966" s="3">
        <v>67794167</v>
      </c>
      <c r="B1966" s="3">
        <v>5914</v>
      </c>
      <c r="C1966" s="24">
        <v>-74</v>
      </c>
      <c r="D1966" s="4">
        <v>46081</v>
      </c>
      <c r="E1966" t="str">
        <f>VLOOKUP($A1966,Sheet4!$A:$B,2,0)</f>
        <v>BJ US-IC-Milk+Cookies-8 1PT</v>
      </c>
      <c r="F1966" s="3" t="s">
        <v>79</v>
      </c>
    </row>
    <row r="1967" spans="1:6" x14ac:dyDescent="0.25">
      <c r="A1967" s="3">
        <v>67794167</v>
      </c>
      <c r="B1967" s="3">
        <v>5914</v>
      </c>
      <c r="C1967" s="24">
        <v>26784</v>
      </c>
      <c r="D1967" s="4">
        <v>46097</v>
      </c>
      <c r="E1967" t="str">
        <f>VLOOKUP($A1967,Sheet4!$A:$B,2,0)</f>
        <v>BJ US-IC-Milk+Cookies-8 1PT</v>
      </c>
      <c r="F1967" s="3" t="s">
        <v>79</v>
      </c>
    </row>
    <row r="1968" spans="1:6" x14ac:dyDescent="0.25">
      <c r="A1968" s="3">
        <v>67794167</v>
      </c>
      <c r="B1968" s="3">
        <v>5914</v>
      </c>
      <c r="C1968" s="24">
        <v>5280</v>
      </c>
      <c r="D1968" s="4">
        <v>46098</v>
      </c>
      <c r="E1968" t="str">
        <f>VLOOKUP($A1968,Sheet4!$A:$B,2,0)</f>
        <v>BJ US-IC-Milk+Cookies-8 1PT</v>
      </c>
      <c r="F1968" s="3" t="s">
        <v>79</v>
      </c>
    </row>
    <row r="1969" spans="1:6" x14ac:dyDescent="0.25">
      <c r="A1969" s="3">
        <v>67794167</v>
      </c>
      <c r="B1969" s="3">
        <v>5914</v>
      </c>
      <c r="C1969" s="24">
        <v>-384</v>
      </c>
      <c r="D1969" s="4">
        <v>46100</v>
      </c>
      <c r="E1969" t="str">
        <f>VLOOKUP($A1969,Sheet4!$A:$B,2,0)</f>
        <v>BJ US-IC-Milk+Cookies-8 1PT</v>
      </c>
      <c r="F1969" s="3" t="s">
        <v>79</v>
      </c>
    </row>
    <row r="1970" spans="1:6" x14ac:dyDescent="0.25">
      <c r="A1970" s="3">
        <v>67794167</v>
      </c>
      <c r="B1970" s="3">
        <v>5914</v>
      </c>
      <c r="C1970" s="24">
        <v>30934</v>
      </c>
      <c r="D1970" s="4">
        <v>46098</v>
      </c>
      <c r="E1970" t="str">
        <f>VLOOKUP($A1970,Sheet4!$A:$B,2,0)</f>
        <v>BJ US-IC-Milk+Cookies-8 1PT</v>
      </c>
      <c r="F1970" s="3" t="s">
        <v>79</v>
      </c>
    </row>
    <row r="1971" spans="1:6" x14ac:dyDescent="0.25">
      <c r="A1971" s="3">
        <v>67794167</v>
      </c>
      <c r="B1971" s="3">
        <v>5914</v>
      </c>
      <c r="C1971" s="24">
        <v>19323</v>
      </c>
      <c r="D1971" s="4">
        <v>46099</v>
      </c>
      <c r="E1971" t="str">
        <f>VLOOKUP($A1971,Sheet4!$A:$B,2,0)</f>
        <v>BJ US-IC-Milk+Cookies-8 1PT</v>
      </c>
      <c r="F1971" s="3" t="s">
        <v>79</v>
      </c>
    </row>
    <row r="1972" spans="1:6" x14ac:dyDescent="0.25">
      <c r="A1972" s="3">
        <v>67794167</v>
      </c>
      <c r="B1972" s="3">
        <v>5914</v>
      </c>
      <c r="C1972" s="24">
        <v>5280</v>
      </c>
      <c r="D1972" s="4">
        <v>46098</v>
      </c>
      <c r="E1972" t="str">
        <f>VLOOKUP($A1972,Sheet4!$A:$B,2,0)</f>
        <v>BJ US-IC-Milk+Cookies-8 1PT</v>
      </c>
      <c r="F1972" s="3" t="s">
        <v>58</v>
      </c>
    </row>
    <row r="1973" spans="1:6" x14ac:dyDescent="0.25">
      <c r="A1973" s="3">
        <v>67794167</v>
      </c>
      <c r="B1973" s="3">
        <v>5914</v>
      </c>
      <c r="C1973" s="24">
        <v>29760</v>
      </c>
      <c r="D1973" s="4">
        <v>46099</v>
      </c>
      <c r="E1973" t="str">
        <f>VLOOKUP($A1973,Sheet4!$A:$B,2,0)</f>
        <v>BJ US-IC-Milk+Cookies-8 1PT</v>
      </c>
      <c r="F1973" s="3" t="s">
        <v>58</v>
      </c>
    </row>
    <row r="1974" spans="1:6" x14ac:dyDescent="0.25">
      <c r="A1974" s="3">
        <v>67794167</v>
      </c>
      <c r="B1974" s="3">
        <v>5914</v>
      </c>
      <c r="C1974" s="24">
        <v>537</v>
      </c>
      <c r="D1974" s="4">
        <v>46100</v>
      </c>
      <c r="E1974" t="str">
        <f>VLOOKUP($A1974,Sheet4!$A:$B,2,0)</f>
        <v>BJ US-IC-Milk+Cookies-8 1PT</v>
      </c>
      <c r="F1974" s="3" t="s">
        <v>58</v>
      </c>
    </row>
    <row r="1975" spans="1:6" x14ac:dyDescent="0.25">
      <c r="A1975" s="3">
        <v>67794169</v>
      </c>
      <c r="B1975" s="3">
        <v>5914</v>
      </c>
      <c r="C1975" s="24">
        <v>-357</v>
      </c>
      <c r="D1975" s="4">
        <v>46076</v>
      </c>
      <c r="E1975" t="str">
        <f>VLOOKUP($A1975,Sheet4!$A:$B,2,0)</f>
        <v>BJ US-IC-TonightDough-8 1PT</v>
      </c>
      <c r="F1975" s="3" t="s">
        <v>58</v>
      </c>
    </row>
    <row r="1976" spans="1:6" x14ac:dyDescent="0.25">
      <c r="A1976" s="3">
        <v>67794169</v>
      </c>
      <c r="B1976" s="3">
        <v>5914</v>
      </c>
      <c r="C1976" s="24">
        <v>20400</v>
      </c>
      <c r="D1976" s="4">
        <v>46090</v>
      </c>
      <c r="E1976" t="str">
        <f>VLOOKUP($A1976,Sheet4!$A:$B,2,0)</f>
        <v>BJ US-IC-TonightDough-8 1PT</v>
      </c>
      <c r="F1976" s="3" t="s">
        <v>58</v>
      </c>
    </row>
    <row r="1977" spans="1:6" x14ac:dyDescent="0.25">
      <c r="A1977" s="3">
        <v>67794169</v>
      </c>
      <c r="B1977" s="3">
        <v>5914</v>
      </c>
      <c r="C1977" s="24">
        <v>28320</v>
      </c>
      <c r="D1977" s="4">
        <v>46091</v>
      </c>
      <c r="E1977" t="str">
        <f>VLOOKUP($A1977,Sheet4!$A:$B,2,0)</f>
        <v>BJ US-IC-TonightDough-8 1PT</v>
      </c>
      <c r="F1977" s="3" t="s">
        <v>58</v>
      </c>
    </row>
    <row r="1978" spans="1:6" x14ac:dyDescent="0.25">
      <c r="A1978" s="3">
        <v>67794169</v>
      </c>
      <c r="B1978" s="3">
        <v>5914</v>
      </c>
      <c r="C1978" s="24">
        <v>3638</v>
      </c>
      <c r="D1978" s="4">
        <v>46092</v>
      </c>
      <c r="E1978" t="str">
        <f>VLOOKUP($A1978,Sheet4!$A:$B,2,0)</f>
        <v>BJ US-IC-TonightDough-8 1PT</v>
      </c>
      <c r="F1978" s="3" t="s">
        <v>58</v>
      </c>
    </row>
    <row r="1979" spans="1:6" x14ac:dyDescent="0.25">
      <c r="A1979" s="3">
        <v>67794169</v>
      </c>
      <c r="B1979" s="3">
        <v>5914</v>
      </c>
      <c r="C1979" s="24">
        <v>20400</v>
      </c>
      <c r="D1979" s="4">
        <v>46100</v>
      </c>
      <c r="E1979" t="str">
        <f>VLOOKUP($A1979,Sheet4!$A:$B,2,0)</f>
        <v>BJ US-IC-TonightDough-8 1PT</v>
      </c>
      <c r="F1979" s="3" t="s">
        <v>31</v>
      </c>
    </row>
    <row r="1980" spans="1:6" x14ac:dyDescent="0.25">
      <c r="A1980" s="3">
        <v>67794169</v>
      </c>
      <c r="B1980" s="3">
        <v>5914</v>
      </c>
      <c r="C1980" s="24">
        <v>28094</v>
      </c>
      <c r="D1980" s="4">
        <v>46101</v>
      </c>
      <c r="E1980" t="str">
        <f>VLOOKUP($A1980,Sheet4!$A:$B,2,0)</f>
        <v>BJ US-IC-TonightDough-8 1PT</v>
      </c>
      <c r="F1980" s="3" t="s">
        <v>31</v>
      </c>
    </row>
    <row r="1981" spans="1:6" x14ac:dyDescent="0.25">
      <c r="A1981" s="3">
        <v>67794169</v>
      </c>
      <c r="B1981" s="3">
        <v>5914</v>
      </c>
      <c r="C1981" s="24">
        <v>-480</v>
      </c>
      <c r="D1981" s="4">
        <v>46102</v>
      </c>
      <c r="E1981" t="str">
        <f>VLOOKUP($A1981,Sheet4!$A:$B,2,0)</f>
        <v>BJ US-IC-TonightDough-8 1PT</v>
      </c>
      <c r="F1981" s="3" t="s">
        <v>31</v>
      </c>
    </row>
    <row r="1982" spans="1:6" x14ac:dyDescent="0.25">
      <c r="A1982" s="3">
        <v>67794169</v>
      </c>
      <c r="B1982" s="3">
        <v>5914</v>
      </c>
      <c r="C1982" s="24">
        <v>-31</v>
      </c>
      <c r="D1982" s="4">
        <v>46105</v>
      </c>
      <c r="E1982" t="str">
        <f>VLOOKUP($A1982,Sheet4!$A:$B,2,0)</f>
        <v>BJ US-IC-TonightDough-8 1PT</v>
      </c>
      <c r="F1982" s="3" t="s">
        <v>31</v>
      </c>
    </row>
    <row r="1983" spans="1:6" x14ac:dyDescent="0.25">
      <c r="A1983" s="3">
        <v>67794170</v>
      </c>
      <c r="B1983" s="3">
        <v>5914</v>
      </c>
      <c r="C1983" s="24">
        <v>2880</v>
      </c>
      <c r="D1983" s="4">
        <v>46086</v>
      </c>
      <c r="E1983" t="str">
        <f>VLOOKUP($A1983,Sheet4!$A:$B,2,0)</f>
        <v>BJ US-IC-PeanutButterWorld-8 1PT</v>
      </c>
      <c r="F1983" s="3" t="s">
        <v>79</v>
      </c>
    </row>
    <row r="1984" spans="1:6" x14ac:dyDescent="0.25">
      <c r="A1984" s="3">
        <v>67794170</v>
      </c>
      <c r="B1984" s="3">
        <v>5914</v>
      </c>
      <c r="C1984" s="24">
        <v>11145</v>
      </c>
      <c r="D1984" s="4">
        <v>46087</v>
      </c>
      <c r="E1984" t="str">
        <f>VLOOKUP($A1984,Sheet4!$A:$B,2,0)</f>
        <v>BJ US-IC-PeanutButterWorld-8 1PT</v>
      </c>
      <c r="F1984" s="3" t="s">
        <v>79</v>
      </c>
    </row>
    <row r="1985" spans="1:6" x14ac:dyDescent="0.25">
      <c r="A1985" s="3">
        <v>67803006</v>
      </c>
      <c r="B1985" s="3">
        <v>5914</v>
      </c>
      <c r="C1985" s="24">
        <v>11334</v>
      </c>
      <c r="D1985" s="4">
        <v>46100</v>
      </c>
      <c r="E1985" t="str">
        <f>VLOOKUP($A1985,Sheet4!$A:$B,2,0)</f>
        <v>BJ R01-IC-TonightDough-8 458ML</v>
      </c>
      <c r="F1985" s="3" t="s">
        <v>31</v>
      </c>
    </row>
    <row r="1986" spans="1:6" x14ac:dyDescent="0.25">
      <c r="A1986" s="3">
        <v>67826412</v>
      </c>
      <c r="B1986" s="3">
        <v>5914</v>
      </c>
      <c r="C1986" s="24">
        <v>5040</v>
      </c>
      <c r="D1986" s="4">
        <v>46092</v>
      </c>
      <c r="E1986" t="str">
        <f>VLOOKUP($A1986,Sheet4!$A:$B,2,0)</f>
        <v>BJ US-IC-ChunkyMonkey-FTNG-8 1PT</v>
      </c>
      <c r="F1986" s="3" t="s">
        <v>31</v>
      </c>
    </row>
    <row r="1987" spans="1:6" x14ac:dyDescent="0.25">
      <c r="A1987" s="3">
        <v>67826412</v>
      </c>
      <c r="B1987" s="3">
        <v>5914</v>
      </c>
      <c r="C1987" s="24">
        <v>27535</v>
      </c>
      <c r="D1987" s="4">
        <v>46093</v>
      </c>
      <c r="E1987" t="str">
        <f>VLOOKUP($A1987,Sheet4!$A:$B,2,0)</f>
        <v>BJ US-IC-ChunkyMonkey-FTNG-8 1PT</v>
      </c>
      <c r="F1987" s="3" t="s">
        <v>31</v>
      </c>
    </row>
    <row r="1988" spans="1:6" x14ac:dyDescent="0.25">
      <c r="A1988" s="3">
        <v>67826412</v>
      </c>
      <c r="B1988" s="3">
        <v>5914</v>
      </c>
      <c r="C1988" s="24">
        <v>30480</v>
      </c>
      <c r="D1988" s="4">
        <v>46094</v>
      </c>
      <c r="E1988" t="str">
        <f>VLOOKUP($A1988,Sheet4!$A:$B,2,0)</f>
        <v>BJ US-IC-ChunkyMonkey-FTNG-8 1PT</v>
      </c>
      <c r="F1988" s="3" t="s">
        <v>31</v>
      </c>
    </row>
    <row r="1989" spans="1:6" x14ac:dyDescent="0.25">
      <c r="A1989" s="3">
        <v>67826412</v>
      </c>
      <c r="B1989" s="3">
        <v>5914</v>
      </c>
      <c r="C1989" s="24">
        <v>9309</v>
      </c>
      <c r="D1989" s="4">
        <v>46095</v>
      </c>
      <c r="E1989" t="str">
        <f>VLOOKUP($A1989,Sheet4!$A:$B,2,0)</f>
        <v>BJ US-IC-ChunkyMonkey-FTNG-8 1PT</v>
      </c>
      <c r="F1989" s="3" t="s">
        <v>31</v>
      </c>
    </row>
    <row r="1990" spans="1:6" x14ac:dyDescent="0.25">
      <c r="A1990" s="3">
        <v>67881628</v>
      </c>
      <c r="B1990" s="3">
        <v>5914</v>
      </c>
      <c r="C1990" s="24">
        <v>18000</v>
      </c>
      <c r="D1990" s="4">
        <v>46076</v>
      </c>
      <c r="E1990" t="str">
        <f>VLOOKUP($A1990,Sheet4!$A:$B,2,0)</f>
        <v>BJ US-IC- CrmlChcChsck- 8 1PT</v>
      </c>
      <c r="F1990" s="3" t="s">
        <v>58</v>
      </c>
    </row>
    <row r="1991" spans="1:6" x14ac:dyDescent="0.25">
      <c r="A1991" s="3">
        <v>67881628</v>
      </c>
      <c r="B1991" s="3">
        <v>5914</v>
      </c>
      <c r="C1991" s="24">
        <v>14944</v>
      </c>
      <c r="D1991" s="4">
        <v>46077</v>
      </c>
      <c r="E1991" t="str">
        <f>VLOOKUP($A1991,Sheet4!$A:$B,2,0)</f>
        <v>BJ US-IC- CrmlChcChsck- 8 1PT</v>
      </c>
      <c r="F1991" s="3" t="s">
        <v>58</v>
      </c>
    </row>
    <row r="1992" spans="1:6" x14ac:dyDescent="0.25">
      <c r="A1992" s="3">
        <v>67881629</v>
      </c>
      <c r="B1992" s="3">
        <v>5914</v>
      </c>
      <c r="C1992" s="24">
        <v>14640</v>
      </c>
      <c r="D1992" s="4">
        <v>46084</v>
      </c>
      <c r="E1992" t="str">
        <f>VLOOKUP($A1992,Sheet4!$A:$B,2,0)</f>
        <v>BJ US-COR-BrownieBatter-8 1PT</v>
      </c>
      <c r="F1992" s="3" t="s">
        <v>31</v>
      </c>
    </row>
    <row r="1993" spans="1:6" x14ac:dyDescent="0.25">
      <c r="A1993" s="3">
        <v>67881629</v>
      </c>
      <c r="B1993" s="3">
        <v>5914</v>
      </c>
      <c r="C1993" s="24">
        <v>23690</v>
      </c>
      <c r="D1993" s="4">
        <v>46085</v>
      </c>
      <c r="E1993" t="str">
        <f>VLOOKUP($A1993,Sheet4!$A:$B,2,0)</f>
        <v>BJ US-COR-BrownieBatter-8 1PT</v>
      </c>
      <c r="F1993" s="3" t="s">
        <v>31</v>
      </c>
    </row>
    <row r="1994" spans="1:6" x14ac:dyDescent="0.25">
      <c r="A1994" s="3">
        <v>67881629</v>
      </c>
      <c r="B1994" s="3">
        <v>5914</v>
      </c>
      <c r="C1994" s="24">
        <v>13200</v>
      </c>
      <c r="D1994" s="4">
        <v>46104</v>
      </c>
      <c r="E1994" t="str">
        <f>VLOOKUP($A1994,Sheet4!$A:$B,2,0)</f>
        <v>BJ US-COR-BrownieBatter-8 1PT</v>
      </c>
      <c r="F1994" s="3" t="s">
        <v>31</v>
      </c>
    </row>
    <row r="1995" spans="1:6" x14ac:dyDescent="0.25">
      <c r="A1995" s="3">
        <v>67881629</v>
      </c>
      <c r="B1995" s="3">
        <v>5914</v>
      </c>
      <c r="C1995" s="24">
        <v>19394</v>
      </c>
      <c r="D1995" s="4">
        <v>46105</v>
      </c>
      <c r="E1995" t="str">
        <f>VLOOKUP($A1995,Sheet4!$A:$B,2,0)</f>
        <v>BJ US-COR-BrownieBatter-8 1PT</v>
      </c>
      <c r="F1995" s="3" t="s">
        <v>31</v>
      </c>
    </row>
    <row r="1996" spans="1:6" x14ac:dyDescent="0.25">
      <c r="A1996" s="3">
        <v>68638140</v>
      </c>
      <c r="B1996" s="3">
        <v>5914</v>
      </c>
      <c r="C1996" s="24">
        <v>7061</v>
      </c>
      <c r="D1996" s="4">
        <v>46090</v>
      </c>
      <c r="E1996" t="str">
        <f>VLOOKUP($A1996,Sheet4!$A:$B,2,0)</f>
        <v>BJ MX-IC-CHOCCHPCOOKDGH-8 1PT</v>
      </c>
      <c r="F1996" s="3" t="s">
        <v>58</v>
      </c>
    </row>
    <row r="1997" spans="1:6" x14ac:dyDescent="0.25">
      <c r="A1997" s="3">
        <v>68940226</v>
      </c>
      <c r="B1997" s="3">
        <v>5914</v>
      </c>
      <c r="C1997" s="24">
        <v>1440</v>
      </c>
      <c r="D1997" s="4">
        <v>46085</v>
      </c>
      <c r="E1997" t="str">
        <f>VLOOKUP($A1997,Sheet4!$A:$B,2,0)</f>
        <v>BJ US-IC-MoussePie-8 1PT</v>
      </c>
      <c r="F1997" s="3" t="s">
        <v>58</v>
      </c>
    </row>
    <row r="1998" spans="1:6" x14ac:dyDescent="0.25">
      <c r="A1998" s="3">
        <v>68940226</v>
      </c>
      <c r="B1998" s="3">
        <v>5914</v>
      </c>
      <c r="C1998" s="24">
        <v>14933</v>
      </c>
      <c r="D1998" s="4">
        <v>46086</v>
      </c>
      <c r="E1998" t="str">
        <f>VLOOKUP($A1998,Sheet4!$A:$B,2,0)</f>
        <v>BJ US-IC-MoussePie-8 1PT</v>
      </c>
      <c r="F1998" s="3" t="s">
        <v>58</v>
      </c>
    </row>
    <row r="1999" spans="1:6" x14ac:dyDescent="0.25">
      <c r="A1999" s="3">
        <v>69797289</v>
      </c>
      <c r="B1999" s="3">
        <v>5914</v>
      </c>
      <c r="C1999" s="24">
        <v>9600</v>
      </c>
      <c r="D1999" s="4">
        <v>46097</v>
      </c>
      <c r="E1999" t="str">
        <f>VLOOKUP($A1999,Sheet4!$A:$B,2,0)</f>
        <v>BJ US-IC-Impretzively Fudged-8 1PT</v>
      </c>
      <c r="F1999" s="3" t="s">
        <v>58</v>
      </c>
    </row>
    <row r="2000" spans="1:6" x14ac:dyDescent="0.25">
      <c r="A2000" s="3">
        <v>69797289</v>
      </c>
      <c r="B2000" s="3">
        <v>5914</v>
      </c>
      <c r="C2000" s="24">
        <v>6645</v>
      </c>
      <c r="D2000" s="4">
        <v>46098</v>
      </c>
      <c r="E2000" t="str">
        <f>VLOOKUP($A2000,Sheet4!$A:$B,2,0)</f>
        <v>BJ US-IC-Impretzively Fudged-8 1PT</v>
      </c>
      <c r="F2000" s="3" t="s">
        <v>58</v>
      </c>
    </row>
    <row r="2001" spans="1:6" x14ac:dyDescent="0.25">
      <c r="A2001" s="3">
        <v>69797289</v>
      </c>
      <c r="B2001" s="3">
        <v>5914</v>
      </c>
      <c r="C2001" s="24">
        <v>-240</v>
      </c>
      <c r="D2001" s="4">
        <v>46099</v>
      </c>
      <c r="E2001" t="str">
        <f>VLOOKUP($A2001,Sheet4!$A:$B,2,0)</f>
        <v>BJ US-IC-Impretzively Fudged-8 1PT</v>
      </c>
      <c r="F2001" s="3" t="s">
        <v>58</v>
      </c>
    </row>
    <row r="2002" spans="1:6" x14ac:dyDescent="0.25">
      <c r="A2002" s="3">
        <v>69797296</v>
      </c>
      <c r="B2002" s="3">
        <v>5914</v>
      </c>
      <c r="C2002" s="24">
        <v>7440</v>
      </c>
      <c r="D2002" s="4">
        <v>46087</v>
      </c>
      <c r="E2002" t="str">
        <f>VLOOKUP($A2002,Sheet4!$A:$B,2,0)</f>
        <v>BJ US-IC-PB Smore-8 1PT</v>
      </c>
      <c r="F2002" s="3" t="s">
        <v>58</v>
      </c>
    </row>
    <row r="2003" spans="1:6" x14ac:dyDescent="0.25">
      <c r="A2003" s="3">
        <v>69797296</v>
      </c>
      <c r="B2003" s="3">
        <v>5914</v>
      </c>
      <c r="C2003" s="24">
        <v>29040</v>
      </c>
      <c r="D2003" s="4">
        <v>46088</v>
      </c>
      <c r="E2003" t="str">
        <f>VLOOKUP($A2003,Sheet4!$A:$B,2,0)</f>
        <v>BJ US-IC-PB Smore-8 1PT</v>
      </c>
      <c r="F2003" s="3" t="s">
        <v>58</v>
      </c>
    </row>
    <row r="2004" spans="1:6" x14ac:dyDescent="0.25">
      <c r="A2004" s="3">
        <v>69797296</v>
      </c>
      <c r="B2004" s="3">
        <v>5914</v>
      </c>
      <c r="C2004" s="24">
        <v>74</v>
      </c>
      <c r="D2004" s="4">
        <v>46089</v>
      </c>
      <c r="E2004" t="str">
        <f>VLOOKUP($A2004,Sheet4!$A:$B,2,0)</f>
        <v>BJ US-IC-PB Smore-8 1PT</v>
      </c>
      <c r="F2004" s="3" t="s">
        <v>58</v>
      </c>
    </row>
    <row r="2005" spans="1:6" x14ac:dyDescent="0.25">
      <c r="A2005" s="3">
        <v>69997338</v>
      </c>
      <c r="B2005" s="3">
        <v>5914</v>
      </c>
      <c r="C2005" s="24">
        <v>3625</v>
      </c>
      <c r="D2005" s="4">
        <v>46100</v>
      </c>
      <c r="E2005" t="str">
        <f>VLOOKUP($A2005,Sheet4!$A:$B,2,0)</f>
        <v>BJ US-IC-StrawberryChscke-FTNG-1 2.4G</v>
      </c>
      <c r="F2005" s="3" t="s">
        <v>58</v>
      </c>
    </row>
    <row r="2006" spans="1:6" x14ac:dyDescent="0.25">
      <c r="A2006" s="3">
        <v>69997338</v>
      </c>
      <c r="B2006" s="3">
        <v>5914</v>
      </c>
      <c r="C2006" s="24">
        <v>2666</v>
      </c>
      <c r="D2006" s="4">
        <v>46101</v>
      </c>
      <c r="E2006" t="str">
        <f>VLOOKUP($A2006,Sheet4!$A:$B,2,0)</f>
        <v>BJ US-IC-StrawberryChscke-FTNG-1 2.4G</v>
      </c>
      <c r="F2006" s="3" t="s">
        <v>58</v>
      </c>
    </row>
    <row r="2007" spans="1:6" x14ac:dyDescent="0.25">
      <c r="A2007" s="3">
        <v>69999266</v>
      </c>
      <c r="B2007" s="3">
        <v>5914</v>
      </c>
      <c r="C2007" s="24">
        <v>4560</v>
      </c>
      <c r="D2007" s="4">
        <v>46097</v>
      </c>
      <c r="E2007" t="str">
        <f>VLOOKUP($A2007,Sheet4!$A:$B,2,0)</f>
        <v>BJ US -IC-LightsCaramelAction-8 1PT</v>
      </c>
      <c r="F2007" s="3" t="s">
        <v>58</v>
      </c>
    </row>
    <row r="2008" spans="1:6" x14ac:dyDescent="0.25">
      <c r="A2008" s="3">
        <v>69999266</v>
      </c>
      <c r="B2008" s="3">
        <v>5914</v>
      </c>
      <c r="C2008" s="24">
        <v>18978</v>
      </c>
      <c r="D2008" s="4">
        <v>46098</v>
      </c>
      <c r="E2008" t="str">
        <f>VLOOKUP($A2008,Sheet4!$A:$B,2,0)</f>
        <v>BJ US -IC-LightsCaramelAction-8 1PT</v>
      </c>
      <c r="F2008" s="3" t="s">
        <v>58</v>
      </c>
    </row>
    <row r="2009" spans="1:6" x14ac:dyDescent="0.25">
      <c r="A2009" s="3">
        <v>69999267</v>
      </c>
      <c r="B2009" s="3">
        <v>5914</v>
      </c>
      <c r="C2009" s="24">
        <v>7920</v>
      </c>
      <c r="D2009" s="4">
        <v>46077</v>
      </c>
      <c r="E2009" t="str">
        <f>VLOOKUP($A2009,Sheet4!$A:$B,2,0)</f>
        <v>BJ US-IC-GimmeSmore-8 1PT</v>
      </c>
      <c r="F2009" s="3" t="s">
        <v>58</v>
      </c>
    </row>
    <row r="2010" spans="1:6" x14ac:dyDescent="0.25">
      <c r="A2010" s="3">
        <v>69999267</v>
      </c>
      <c r="B2010" s="3">
        <v>5914</v>
      </c>
      <c r="C2010" s="24">
        <v>26729</v>
      </c>
      <c r="D2010" s="4">
        <v>46078</v>
      </c>
      <c r="E2010" t="str">
        <f>VLOOKUP($A2010,Sheet4!$A:$B,2,0)</f>
        <v>BJ US-IC-GimmeSmore-8 1PT</v>
      </c>
      <c r="F2010" s="3" t="s">
        <v>58</v>
      </c>
    </row>
    <row r="2011" spans="1:6" x14ac:dyDescent="0.25">
      <c r="A2011" s="3">
        <v>69999268</v>
      </c>
      <c r="B2011" s="3">
        <v>5914</v>
      </c>
      <c r="C2011" s="24">
        <v>18000</v>
      </c>
      <c r="D2011" s="4">
        <v>46104</v>
      </c>
      <c r="E2011" t="str">
        <f>VLOOKUP($A2011,Sheet4!$A:$B,2,0)</f>
        <v>BJ US-IC-ChurrayForChurros-8 1PT</v>
      </c>
      <c r="F2011" s="3" t="s">
        <v>58</v>
      </c>
    </row>
    <row r="2012" spans="1:6" x14ac:dyDescent="0.25">
      <c r="A2012" s="3">
        <v>69999268</v>
      </c>
      <c r="B2012" s="3">
        <v>5914</v>
      </c>
      <c r="C2012" s="24">
        <v>1708</v>
      </c>
      <c r="D2012" s="4">
        <v>46105</v>
      </c>
      <c r="E2012" t="str">
        <f>VLOOKUP($A2012,Sheet4!$A:$B,2,0)</f>
        <v>BJ US-IC-ChurrayForChurros-8 1PT</v>
      </c>
      <c r="F2012" s="3" t="s">
        <v>58</v>
      </c>
    </row>
    <row r="2013" spans="1:6" x14ac:dyDescent="0.25">
      <c r="A2013" s="3">
        <v>69999269</v>
      </c>
      <c r="B2013" s="3">
        <v>5914</v>
      </c>
      <c r="C2013" s="24">
        <v>-240</v>
      </c>
      <c r="D2013" s="4">
        <v>46076</v>
      </c>
      <c r="E2013" t="str">
        <f>VLOOKUP($A2013,Sheet4!$A:$B,2,0)</f>
        <v>BJ US-IC-StrawberryChscke-FTNG-8 1PT</v>
      </c>
      <c r="F2013" s="3" t="s">
        <v>79</v>
      </c>
    </row>
    <row r="2014" spans="1:6" x14ac:dyDescent="0.25">
      <c r="A2014" s="3">
        <v>69999269</v>
      </c>
      <c r="B2014" s="3">
        <v>5914</v>
      </c>
      <c r="C2014" s="24">
        <v>17760</v>
      </c>
      <c r="D2014" s="4">
        <v>46085</v>
      </c>
      <c r="E2014" t="str">
        <f>VLOOKUP($A2014,Sheet4!$A:$B,2,0)</f>
        <v>BJ US-IC-StrawberryChscke-FTNG-8 1PT</v>
      </c>
      <c r="F2014" s="3" t="s">
        <v>79</v>
      </c>
    </row>
    <row r="2015" spans="1:6" x14ac:dyDescent="0.25">
      <c r="A2015" s="3">
        <v>69999269</v>
      </c>
      <c r="B2015" s="3">
        <v>5914</v>
      </c>
      <c r="C2015" s="24">
        <v>42129</v>
      </c>
      <c r="D2015" s="4">
        <v>46086</v>
      </c>
      <c r="E2015" t="str">
        <f>VLOOKUP($A2015,Sheet4!$A:$B,2,0)</f>
        <v>BJ US-IC-StrawberryChscke-FTNG-8 1PT</v>
      </c>
      <c r="F2015" s="3" t="s">
        <v>79</v>
      </c>
    </row>
    <row r="2016" spans="1:6" x14ac:dyDescent="0.25">
      <c r="A2016" s="3">
        <v>69999269</v>
      </c>
      <c r="B2016" s="3">
        <v>5914</v>
      </c>
      <c r="C2016" s="24">
        <v>37419</v>
      </c>
      <c r="D2016" s="4">
        <v>46087</v>
      </c>
      <c r="E2016" t="str">
        <f>VLOOKUP($A2016,Sheet4!$A:$B,2,0)</f>
        <v>BJ US-IC-StrawberryChscke-FTNG-8 1PT</v>
      </c>
      <c r="F2016" s="3" t="s">
        <v>79</v>
      </c>
    </row>
    <row r="2017" spans="1:6" x14ac:dyDescent="0.25">
      <c r="A2017" s="3">
        <v>69999269</v>
      </c>
      <c r="B2017" s="3">
        <v>5914</v>
      </c>
      <c r="C2017" s="24">
        <v>14400</v>
      </c>
      <c r="D2017" s="4">
        <v>46093</v>
      </c>
      <c r="E2017" t="str">
        <f>VLOOKUP($A2017,Sheet4!$A:$B,2,0)</f>
        <v>BJ US-IC-StrawberryChscke-FTNG-8 1PT</v>
      </c>
      <c r="F2017" s="3" t="s">
        <v>79</v>
      </c>
    </row>
    <row r="2018" spans="1:6" x14ac:dyDescent="0.25">
      <c r="A2018" s="3">
        <v>69999269</v>
      </c>
      <c r="B2018" s="3">
        <v>5914</v>
      </c>
      <c r="C2018" s="24">
        <v>33840</v>
      </c>
      <c r="D2018" s="4">
        <v>46094</v>
      </c>
      <c r="E2018" t="str">
        <f>VLOOKUP($A2018,Sheet4!$A:$B,2,0)</f>
        <v>BJ US-IC-StrawberryChscke-FTNG-8 1PT</v>
      </c>
      <c r="F2018" s="3" t="s">
        <v>79</v>
      </c>
    </row>
    <row r="2019" spans="1:6" x14ac:dyDescent="0.25">
      <c r="A2019" s="3">
        <v>69999269</v>
      </c>
      <c r="B2019" s="3">
        <v>5914</v>
      </c>
      <c r="C2019" s="24">
        <v>2340</v>
      </c>
      <c r="D2019" s="4">
        <v>46095</v>
      </c>
      <c r="E2019" t="str">
        <f>VLOOKUP($A2019,Sheet4!$A:$B,2,0)</f>
        <v>BJ US-IC-StrawberryChscke-FTNG-8 1PT</v>
      </c>
      <c r="F2019" s="3" t="s">
        <v>79</v>
      </c>
    </row>
    <row r="2020" spans="1:6" x14ac:dyDescent="0.25">
      <c r="A2020" s="3">
        <v>69999269</v>
      </c>
      <c r="B2020" s="3">
        <v>5914</v>
      </c>
      <c r="C2020" s="24">
        <v>22080</v>
      </c>
      <c r="D2020" s="4">
        <v>46105</v>
      </c>
      <c r="E2020" t="str">
        <f>VLOOKUP($A2020,Sheet4!$A:$B,2,0)</f>
        <v>BJ US-IC-StrawberryChscke-FTNG-8 1PT</v>
      </c>
      <c r="F2020" s="3" t="s">
        <v>58</v>
      </c>
    </row>
    <row r="2021" spans="1:6" x14ac:dyDescent="0.25">
      <c r="A2021" s="3">
        <v>84135718</v>
      </c>
      <c r="B2021" s="3">
        <v>5914</v>
      </c>
      <c r="C2021" s="24">
        <v>26880</v>
      </c>
      <c r="D2021" s="4">
        <v>46091</v>
      </c>
      <c r="E2021" t="str">
        <f>VLOOKUP($A2021,Sheet4!$A:$B,2,0)</f>
        <v>BJ US-IC-ChocChpCookDgh-FTNG-8 1PT</v>
      </c>
      <c r="F2021" s="3" t="s">
        <v>79</v>
      </c>
    </row>
    <row r="2022" spans="1:6" x14ac:dyDescent="0.25">
      <c r="A2022" s="3">
        <v>84135718</v>
      </c>
      <c r="B2022" s="3">
        <v>5914</v>
      </c>
      <c r="C2022" s="24">
        <v>39600</v>
      </c>
      <c r="D2022" s="4">
        <v>46092</v>
      </c>
      <c r="E2022" t="str">
        <f>VLOOKUP($A2022,Sheet4!$A:$B,2,0)</f>
        <v>BJ US-IC-ChocChpCookDgh-FTNG-8 1PT</v>
      </c>
      <c r="F2022" s="3" t="s">
        <v>79</v>
      </c>
    </row>
    <row r="2023" spans="1:6" x14ac:dyDescent="0.25">
      <c r="A2023" s="3">
        <v>84135718</v>
      </c>
      <c r="B2023" s="3">
        <v>5914</v>
      </c>
      <c r="C2023" s="24">
        <v>27336</v>
      </c>
      <c r="D2023" s="4">
        <v>46093</v>
      </c>
      <c r="E2023" t="str">
        <f>VLOOKUP($A2023,Sheet4!$A:$B,2,0)</f>
        <v>BJ US-IC-ChocChpCookDgh-FTNG-8 1PT</v>
      </c>
      <c r="F2023" s="3" t="s">
        <v>79</v>
      </c>
    </row>
    <row r="2024" spans="1:6" x14ac:dyDescent="0.25">
      <c r="A2024" s="3">
        <v>84135795</v>
      </c>
      <c r="B2024" s="3">
        <v>5914</v>
      </c>
      <c r="C2024" s="24">
        <v>3000</v>
      </c>
      <c r="D2024" s="4">
        <v>46091</v>
      </c>
      <c r="E2024" t="str">
        <f>VLOOKUP($A2024,Sheet4!$A:$B,2,0)</f>
        <v>BJ US-IC-Vanilla-FTNG-1 2.4G</v>
      </c>
      <c r="F2024" s="3" t="s">
        <v>58</v>
      </c>
    </row>
    <row r="2025" spans="1:6" x14ac:dyDescent="0.25">
      <c r="A2025" s="3">
        <v>84135795</v>
      </c>
      <c r="B2025" s="3">
        <v>5914</v>
      </c>
      <c r="C2025" s="24">
        <v>3242</v>
      </c>
      <c r="D2025" s="4">
        <v>46092</v>
      </c>
      <c r="E2025" t="str">
        <f>VLOOKUP($A2025,Sheet4!$A:$B,2,0)</f>
        <v>BJ US-IC-Vanilla-FTNG-1 2.4G</v>
      </c>
      <c r="F2025" s="3" t="s">
        <v>58</v>
      </c>
    </row>
    <row r="2026" spans="1:6" x14ac:dyDescent="0.25">
      <c r="A2026" s="3">
        <v>84136043</v>
      </c>
      <c r="B2026" s="3">
        <v>5914</v>
      </c>
      <c r="C2026" s="24">
        <v>16080</v>
      </c>
      <c r="D2026" s="4">
        <v>46083</v>
      </c>
      <c r="E2026" t="str">
        <f>VLOOKUP($A2026,Sheet4!$A:$B,2,0)</f>
        <v>BJ US-COR-KaramelSutra-FTNG-8 1PT</v>
      </c>
      <c r="F2026" s="3" t="s">
        <v>79</v>
      </c>
    </row>
    <row r="2027" spans="1:6" x14ac:dyDescent="0.25">
      <c r="A2027" s="3">
        <v>84136043</v>
      </c>
      <c r="B2027" s="3">
        <v>5914</v>
      </c>
      <c r="C2027" s="24">
        <v>11030</v>
      </c>
      <c r="D2027" s="4">
        <v>46084</v>
      </c>
      <c r="E2027" t="str">
        <f>VLOOKUP($A2027,Sheet4!$A:$B,2,0)</f>
        <v>BJ US-COR-KaramelSutra-FTNG-8 1PT</v>
      </c>
      <c r="F2027" s="3" t="s">
        <v>79</v>
      </c>
    </row>
    <row r="2028" spans="1:6" x14ac:dyDescent="0.25">
      <c r="A2028" s="3">
        <v>84136704</v>
      </c>
      <c r="B2028" s="3">
        <v>5914</v>
      </c>
      <c r="C2028" s="24">
        <v>14400</v>
      </c>
      <c r="D2028" s="4">
        <v>46086</v>
      </c>
      <c r="E2028" t="str">
        <f>VLOOKUP($A2028,Sheet4!$A:$B,2,0)</f>
        <v>BJ US-IC-NewYrkSprFdgChnk-FTNG-8 1PT</v>
      </c>
      <c r="F2028" s="3" t="s">
        <v>79</v>
      </c>
    </row>
    <row r="2029" spans="1:6" x14ac:dyDescent="0.25">
      <c r="A2029" s="3">
        <v>84136704</v>
      </c>
      <c r="B2029" s="3">
        <v>5914</v>
      </c>
      <c r="C2029" s="24">
        <v>26721</v>
      </c>
      <c r="D2029" s="4">
        <v>46087</v>
      </c>
      <c r="E2029" t="str">
        <f>VLOOKUP($A2029,Sheet4!$A:$B,2,0)</f>
        <v>BJ US-IC-NewYrkSprFdgChnk-FTNG-8 1PT</v>
      </c>
      <c r="F2029" s="3" t="s">
        <v>79</v>
      </c>
    </row>
    <row r="2030" spans="1:6" x14ac:dyDescent="0.25">
      <c r="A2030" s="3">
        <v>84136704</v>
      </c>
      <c r="B2030" s="3">
        <v>5914</v>
      </c>
      <c r="C2030" s="24">
        <v>2040</v>
      </c>
      <c r="D2030" s="4">
        <v>46088</v>
      </c>
      <c r="E2030" t="str">
        <f>VLOOKUP($A2030,Sheet4!$A:$B,2,0)</f>
        <v>BJ US-IC-NewYrkSprFdgChnk-FTNG-8 1PT</v>
      </c>
      <c r="F2030" s="3" t="s">
        <v>79</v>
      </c>
    </row>
    <row r="2031" spans="1:6" x14ac:dyDescent="0.25">
      <c r="A2031" s="3">
        <v>84136704</v>
      </c>
      <c r="B2031" s="3">
        <v>5914</v>
      </c>
      <c r="C2031" s="24">
        <v>-37</v>
      </c>
      <c r="D2031" s="4">
        <v>46092</v>
      </c>
      <c r="E2031" t="str">
        <f>VLOOKUP($A2031,Sheet4!$A:$B,2,0)</f>
        <v>BJ US-IC-NewYrkSprFdgChnk-FTNG-8 1PT</v>
      </c>
      <c r="F2031" s="3" t="s">
        <v>79</v>
      </c>
    </row>
    <row r="2032" spans="1:6" x14ac:dyDescent="0.25">
      <c r="A2032" s="3">
        <v>84137694</v>
      </c>
      <c r="B2032" s="3">
        <v>5914</v>
      </c>
      <c r="C2032" s="24">
        <v>9120</v>
      </c>
      <c r="D2032" s="4">
        <v>46101</v>
      </c>
      <c r="E2032" t="str">
        <f>VLOOKUP($A2032,Sheet4!$A:$B,2,0)</f>
        <v>BJ US-IC-EverythingButThe-FTNG-8 1PT</v>
      </c>
      <c r="F2032" s="3" t="s">
        <v>79</v>
      </c>
    </row>
    <row r="2033" spans="1:6" x14ac:dyDescent="0.25">
      <c r="A2033" s="3">
        <v>84137694</v>
      </c>
      <c r="B2033" s="3">
        <v>5914</v>
      </c>
      <c r="C2033" s="24">
        <v>23192</v>
      </c>
      <c r="D2033" s="4">
        <v>46102</v>
      </c>
      <c r="E2033" t="str">
        <f>VLOOKUP($A2033,Sheet4!$A:$B,2,0)</f>
        <v>BJ US-IC-EverythingButThe-FTNG-8 1PT</v>
      </c>
      <c r="F2033" s="3" t="s">
        <v>79</v>
      </c>
    </row>
    <row r="2034" spans="1:6" x14ac:dyDescent="0.25">
      <c r="A2034" s="3">
        <v>84137721</v>
      </c>
      <c r="B2034" s="3">
        <v>5914</v>
      </c>
      <c r="C2034" s="24">
        <v>1375</v>
      </c>
      <c r="D2034" s="4">
        <v>46105</v>
      </c>
      <c r="E2034" t="str">
        <f>VLOOKUP($A2034,Sheet4!$A:$B,2,0)</f>
        <v>BJ US-IC-CherryGarcia-FTNG-1 2.4G</v>
      </c>
      <c r="F2034" s="3" t="s">
        <v>58</v>
      </c>
    </row>
    <row r="2035" spans="1:6" x14ac:dyDescent="0.25">
      <c r="A2035" s="3">
        <v>84137725</v>
      </c>
      <c r="B2035" s="3">
        <v>5914</v>
      </c>
      <c r="C2035" s="24">
        <v>2640</v>
      </c>
      <c r="D2035" s="4">
        <v>46079</v>
      </c>
      <c r="E2035" t="str">
        <f>VLOOKUP($A2035,Sheet4!$A:$B,2,0)</f>
        <v>BJ US-IC-CherryGarcia-FTNG-8 1PT</v>
      </c>
      <c r="F2035" s="3" t="s">
        <v>59</v>
      </c>
    </row>
    <row r="2036" spans="1:6" x14ac:dyDescent="0.25">
      <c r="A2036" s="3">
        <v>84137725</v>
      </c>
      <c r="B2036" s="3">
        <v>5914</v>
      </c>
      <c r="C2036" s="24">
        <v>28320</v>
      </c>
      <c r="D2036" s="4">
        <v>46080</v>
      </c>
      <c r="E2036" t="str">
        <f>VLOOKUP($A2036,Sheet4!$A:$B,2,0)</f>
        <v>BJ US-IC-CherryGarcia-FTNG-8 1PT</v>
      </c>
      <c r="F2036" s="3" t="s">
        <v>59</v>
      </c>
    </row>
    <row r="2037" spans="1:6" x14ac:dyDescent="0.25">
      <c r="A2037" s="3">
        <v>84137725</v>
      </c>
      <c r="B2037" s="3">
        <v>5914</v>
      </c>
      <c r="C2037" s="24">
        <v>25071</v>
      </c>
      <c r="D2037" s="4">
        <v>46081</v>
      </c>
      <c r="E2037" t="str">
        <f>VLOOKUP($A2037,Sheet4!$A:$B,2,0)</f>
        <v>BJ US-IC-CherryGarcia-FTNG-8 1PT</v>
      </c>
      <c r="F2037" s="3" t="s">
        <v>59</v>
      </c>
    </row>
    <row r="2038" spans="1:6" x14ac:dyDescent="0.25">
      <c r="A2038" s="3">
        <v>84138347</v>
      </c>
      <c r="B2038" s="3">
        <v>5914</v>
      </c>
      <c r="C2038" s="24">
        <v>3500</v>
      </c>
      <c r="D2038" s="4">
        <v>46084</v>
      </c>
      <c r="E2038" t="str">
        <f>VLOOKUP($A2038,Sheet4!$A:$B,2,0)</f>
        <v>BJ US-IC-CoffeeBuzzBuzz-FTNG-1 2.4G</v>
      </c>
      <c r="F2038" s="3" t="s">
        <v>58</v>
      </c>
    </row>
    <row r="2039" spans="1:6" x14ac:dyDescent="0.25">
      <c r="A2039" s="3">
        <v>84138347</v>
      </c>
      <c r="B2039" s="3">
        <v>5914</v>
      </c>
      <c r="C2039" s="24">
        <v>2312</v>
      </c>
      <c r="D2039" s="4">
        <v>46085</v>
      </c>
      <c r="E2039" t="str">
        <f>VLOOKUP($A2039,Sheet4!$A:$B,2,0)</f>
        <v>BJ US-IC-CoffeeBuzzBuzz-FTNG-1 2.4G</v>
      </c>
      <c r="F2039" s="3" t="s">
        <v>58</v>
      </c>
    </row>
    <row r="2040" spans="1:6" x14ac:dyDescent="0.25">
      <c r="A2040" s="3">
        <v>84138391</v>
      </c>
      <c r="B2040" s="3">
        <v>5914</v>
      </c>
      <c r="C2040" s="24">
        <v>14880</v>
      </c>
      <c r="D2040" s="4">
        <v>46090</v>
      </c>
      <c r="E2040" t="str">
        <f>VLOOKUP($A2040,Sheet4!$A:$B,2,0)</f>
        <v>BJ US-IC-PhishFood-FTNG-8 1PT</v>
      </c>
      <c r="F2040" s="3" t="s">
        <v>31</v>
      </c>
    </row>
    <row r="2041" spans="1:6" x14ac:dyDescent="0.25">
      <c r="A2041" s="3">
        <v>84138391</v>
      </c>
      <c r="B2041" s="3">
        <v>5914</v>
      </c>
      <c r="C2041" s="24">
        <v>31440</v>
      </c>
      <c r="D2041" s="4">
        <v>46091</v>
      </c>
      <c r="E2041" t="str">
        <f>VLOOKUP($A2041,Sheet4!$A:$B,2,0)</f>
        <v>BJ US-IC-PhishFood-FTNG-8 1PT</v>
      </c>
      <c r="F2041" s="3" t="s">
        <v>31</v>
      </c>
    </row>
    <row r="2042" spans="1:6" x14ac:dyDescent="0.25">
      <c r="A2042" s="3">
        <v>84138391</v>
      </c>
      <c r="B2042" s="3">
        <v>5914</v>
      </c>
      <c r="C2042" s="24">
        <v>21287</v>
      </c>
      <c r="D2042" s="4">
        <v>46092</v>
      </c>
      <c r="E2042" t="str">
        <f>VLOOKUP($A2042,Sheet4!$A:$B,2,0)</f>
        <v>BJ US-IC-PhishFood-FTNG-8 1PT</v>
      </c>
      <c r="F2042" s="3" t="s">
        <v>31</v>
      </c>
    </row>
    <row r="2043" spans="1:6" x14ac:dyDescent="0.25">
      <c r="A2043" s="3">
        <v>84138391</v>
      </c>
      <c r="B2043" s="3">
        <v>5914</v>
      </c>
      <c r="C2043" s="24">
        <v>17360</v>
      </c>
      <c r="D2043" s="4">
        <v>46093</v>
      </c>
      <c r="E2043" t="str">
        <f>VLOOKUP($A2043,Sheet4!$A:$B,2,0)</f>
        <v>BJ US-IC-PhishFood-FTNG-8 1PT</v>
      </c>
      <c r="F2043" s="3" t="s">
        <v>31</v>
      </c>
    </row>
    <row r="2044" spans="1:6" x14ac:dyDescent="0.25">
      <c r="A2044" s="3">
        <v>84138391</v>
      </c>
      <c r="B2044" s="3">
        <v>5914</v>
      </c>
      <c r="C2044" s="24">
        <v>31920</v>
      </c>
      <c r="D2044" s="4">
        <v>46094</v>
      </c>
      <c r="E2044" t="str">
        <f>VLOOKUP($A2044,Sheet4!$A:$B,2,0)</f>
        <v>BJ US-IC-PhishFood-FTNG-8 1PT</v>
      </c>
      <c r="F2044" s="3" t="s">
        <v>31</v>
      </c>
    </row>
    <row r="2045" spans="1:6" x14ac:dyDescent="0.25">
      <c r="A2045" s="3">
        <v>84138391</v>
      </c>
      <c r="B2045" s="3">
        <v>5914</v>
      </c>
      <c r="C2045" s="24">
        <v>28203</v>
      </c>
      <c r="D2045" s="4">
        <v>46095</v>
      </c>
      <c r="E2045" t="str">
        <f>VLOOKUP($A2045,Sheet4!$A:$B,2,0)</f>
        <v>BJ US-IC-PhishFood-FTNG-8 1PT</v>
      </c>
      <c r="F2045" s="3" t="s">
        <v>31</v>
      </c>
    </row>
    <row r="2046" spans="1:6" x14ac:dyDescent="0.25">
      <c r="A2046" s="3">
        <v>84138391</v>
      </c>
      <c r="B2046" s="3">
        <v>5914</v>
      </c>
      <c r="C2046" s="24">
        <v>-80</v>
      </c>
      <c r="D2046" s="4">
        <v>46097</v>
      </c>
      <c r="E2046" t="str">
        <f>VLOOKUP($A2046,Sheet4!$A:$B,2,0)</f>
        <v>BJ US-IC-PhishFood-FTNG-8 1PT</v>
      </c>
      <c r="F2046" s="3" t="s">
        <v>31</v>
      </c>
    </row>
    <row r="2047" spans="1:6" x14ac:dyDescent="0.25">
      <c r="A2047" s="3">
        <v>84138392</v>
      </c>
      <c r="B2047" s="3">
        <v>5914</v>
      </c>
      <c r="C2047" s="24">
        <v>6000</v>
      </c>
      <c r="D2047" s="4">
        <v>46083</v>
      </c>
      <c r="E2047" t="str">
        <f>VLOOKUP($A2047,Sheet4!$A:$B,2,0)</f>
        <v>BJ US-IC-CoffeeBuzzBuzz-FTNG-8 1PT</v>
      </c>
      <c r="F2047" s="3" t="s">
        <v>58</v>
      </c>
    </row>
    <row r="2048" spans="1:6" x14ac:dyDescent="0.25">
      <c r="A2048" s="3">
        <v>84138392</v>
      </c>
      <c r="B2048" s="3">
        <v>5914</v>
      </c>
      <c r="C2048" s="24">
        <v>9239</v>
      </c>
      <c r="D2048" s="4">
        <v>46084</v>
      </c>
      <c r="E2048" t="str">
        <f>VLOOKUP($A2048,Sheet4!$A:$B,2,0)</f>
        <v>BJ US-IC-CoffeeBuzzBuzz-FTNG-8 1PT</v>
      </c>
      <c r="F2048" s="3" t="s">
        <v>58</v>
      </c>
    </row>
    <row r="2049" spans="1:6" x14ac:dyDescent="0.25">
      <c r="A2049" s="3">
        <v>84139090</v>
      </c>
      <c r="B2049" s="3">
        <v>5914</v>
      </c>
      <c r="C2049" s="24">
        <v>18240</v>
      </c>
      <c r="D2049" s="4">
        <v>46100</v>
      </c>
      <c r="E2049" t="str">
        <f>VLOOKUP($A2049,Sheet4!$A:$B,2,0)</f>
        <v>BJ US-IC-CoffeeToffeeCrunch-FTNG-8 1PT</v>
      </c>
      <c r="F2049" s="3" t="s">
        <v>10</v>
      </c>
    </row>
    <row r="2050" spans="1:6" x14ac:dyDescent="0.25">
      <c r="A2050" s="3">
        <v>84139090</v>
      </c>
      <c r="B2050" s="3">
        <v>5914</v>
      </c>
      <c r="C2050" s="24">
        <v>17311</v>
      </c>
      <c r="D2050" s="4">
        <v>46101</v>
      </c>
      <c r="E2050" t="str">
        <f>VLOOKUP($A2050,Sheet4!$A:$B,2,0)</f>
        <v>BJ US-IC-CoffeeToffeeCrunch-FTNG-8 1PT</v>
      </c>
      <c r="F2050" s="3" t="s">
        <v>10</v>
      </c>
    </row>
    <row r="2051" spans="1:6" x14ac:dyDescent="0.25">
      <c r="A2051" s="3">
        <v>84141035</v>
      </c>
      <c r="B2051" s="3">
        <v>5914</v>
      </c>
      <c r="C2051" s="24">
        <v>2875</v>
      </c>
      <c r="D2051" s="4">
        <v>46077</v>
      </c>
      <c r="E2051" t="str">
        <f>VLOOKUP($A2051,Sheet4!$A:$B,2,0)</f>
        <v>BJ US-IC AmericoneDream-FTNG-1 2.4G</v>
      </c>
      <c r="F2051" s="3" t="s">
        <v>58</v>
      </c>
    </row>
    <row r="2052" spans="1:6" x14ac:dyDescent="0.25">
      <c r="A2052" s="3">
        <v>84141035</v>
      </c>
      <c r="B2052" s="3">
        <v>5914</v>
      </c>
      <c r="C2052" s="24">
        <v>3009</v>
      </c>
      <c r="D2052" s="4">
        <v>46078</v>
      </c>
      <c r="E2052" t="str">
        <f>VLOOKUP($A2052,Sheet4!$A:$B,2,0)</f>
        <v>BJ US-IC AmericoneDream-FTNG-1 2.4G</v>
      </c>
      <c r="F2052" s="3" t="s">
        <v>58</v>
      </c>
    </row>
    <row r="2053" spans="1:6" x14ac:dyDescent="0.25">
      <c r="A2053" s="3">
        <v>84141094</v>
      </c>
      <c r="B2053" s="3">
        <v>5914</v>
      </c>
      <c r="C2053" s="24">
        <v>19920</v>
      </c>
      <c r="D2053" s="4">
        <v>46076</v>
      </c>
      <c r="E2053" t="str">
        <f>VLOOKUP($A2053,Sheet4!$A:$B,2,0)</f>
        <v>BJ US-IC AmericoneDream-FTNG-8 1PT</v>
      </c>
      <c r="F2053" s="3" t="s">
        <v>31</v>
      </c>
    </row>
    <row r="2054" spans="1:6" x14ac:dyDescent="0.25">
      <c r="A2054" s="3">
        <v>84141094</v>
      </c>
      <c r="B2054" s="3">
        <v>5914</v>
      </c>
      <c r="C2054" s="24">
        <v>12000</v>
      </c>
      <c r="D2054" s="4">
        <v>46077</v>
      </c>
      <c r="E2054" t="str">
        <f>VLOOKUP($A2054,Sheet4!$A:$B,2,0)</f>
        <v>BJ US-IC AmericoneDream-FTNG-8 1PT</v>
      </c>
      <c r="F2054" s="3" t="s">
        <v>31</v>
      </c>
    </row>
    <row r="2055" spans="1:6" x14ac:dyDescent="0.25">
      <c r="A2055" s="3">
        <v>84141094</v>
      </c>
      <c r="B2055" s="3">
        <v>5914</v>
      </c>
      <c r="C2055" s="24">
        <v>24240</v>
      </c>
      <c r="D2055" s="4">
        <v>46077</v>
      </c>
      <c r="E2055" t="str">
        <f>VLOOKUP($A2055,Sheet4!$A:$B,2,0)</f>
        <v>BJ US-IC AmericoneDream-FTNG-8 1PT</v>
      </c>
      <c r="F2055" s="3" t="s">
        <v>31</v>
      </c>
    </row>
    <row r="2056" spans="1:6" x14ac:dyDescent="0.25">
      <c r="A2056" s="3">
        <v>84141094</v>
      </c>
      <c r="B2056" s="3">
        <v>5914</v>
      </c>
      <c r="C2056" s="24">
        <v>35926</v>
      </c>
      <c r="D2056" s="4">
        <v>46078</v>
      </c>
      <c r="E2056" t="str">
        <f>VLOOKUP($A2056,Sheet4!$A:$B,2,0)</f>
        <v>BJ US-IC AmericoneDream-FTNG-8 1PT</v>
      </c>
      <c r="F2056" s="3" t="s">
        <v>31</v>
      </c>
    </row>
    <row r="2057" spans="1:6" x14ac:dyDescent="0.25">
      <c r="A2057" s="3">
        <v>84141094</v>
      </c>
      <c r="B2057" s="3">
        <v>5914</v>
      </c>
      <c r="C2057" s="24">
        <v>6857</v>
      </c>
      <c r="D2057" s="4">
        <v>46079</v>
      </c>
      <c r="E2057" t="str">
        <f>VLOOKUP($A2057,Sheet4!$A:$B,2,0)</f>
        <v>BJ US-IC AmericoneDream-FTNG-8 1PT</v>
      </c>
      <c r="F2057" s="3" t="s">
        <v>31</v>
      </c>
    </row>
    <row r="2058" spans="1:6" x14ac:dyDescent="0.25">
      <c r="A2058" s="3">
        <v>84141094</v>
      </c>
      <c r="B2058" s="3">
        <v>5914</v>
      </c>
      <c r="C2058" s="24">
        <v>31200</v>
      </c>
      <c r="D2058" s="4">
        <v>46104</v>
      </c>
      <c r="E2058" t="str">
        <f>VLOOKUP($A2058,Sheet4!$A:$B,2,0)</f>
        <v>BJ US-IC AmericoneDream-FTNG-8 1PT</v>
      </c>
      <c r="F2058" s="3" t="s">
        <v>31</v>
      </c>
    </row>
    <row r="2059" spans="1:6" x14ac:dyDescent="0.25">
      <c r="A2059" s="3">
        <v>84141094</v>
      </c>
      <c r="B2059" s="3">
        <v>5914</v>
      </c>
      <c r="C2059" s="24">
        <v>30157</v>
      </c>
      <c r="D2059" s="4">
        <v>46105</v>
      </c>
      <c r="E2059" t="str">
        <f>VLOOKUP($A2059,Sheet4!$A:$B,2,0)</f>
        <v>BJ US-IC AmericoneDream-FTNG-8 1PT</v>
      </c>
      <c r="F2059" s="3" t="s">
        <v>31</v>
      </c>
    </row>
    <row r="2060" spans="1:6" x14ac:dyDescent="0.25">
      <c r="A2060" s="3">
        <v>84141094</v>
      </c>
      <c r="B2060" s="3">
        <v>5914</v>
      </c>
      <c r="C2060" s="24">
        <v>8695</v>
      </c>
      <c r="D2060" s="4">
        <v>46105</v>
      </c>
      <c r="E2060" t="str">
        <f>VLOOKUP($A2060,Sheet4!$A:$B,2,0)</f>
        <v>BJ US-IC AmericoneDream-FTNG-8 1PT</v>
      </c>
      <c r="F2060" s="3" t="s">
        <v>31</v>
      </c>
    </row>
    <row r="2061" spans="1:6" x14ac:dyDescent="0.25">
      <c r="A2061" s="3">
        <v>84141103</v>
      </c>
      <c r="B2061" s="3">
        <v>5914</v>
      </c>
      <c r="C2061" s="24">
        <v>23040</v>
      </c>
      <c r="D2061" s="4">
        <v>46083</v>
      </c>
      <c r="E2061" t="str">
        <f>VLOOKUP($A2061,Sheet4!$A:$B,2,0)</f>
        <v>BJ US-IC-HalfBaked-FTNG-8 1PT</v>
      </c>
      <c r="F2061" s="3" t="s">
        <v>464</v>
      </c>
    </row>
    <row r="2062" spans="1:6" x14ac:dyDescent="0.25">
      <c r="A2062" s="3">
        <v>84141103</v>
      </c>
      <c r="B2062" s="3">
        <v>5914</v>
      </c>
      <c r="C2062" s="24">
        <v>39840</v>
      </c>
      <c r="D2062" s="4">
        <v>46084</v>
      </c>
      <c r="E2062" t="str">
        <f>VLOOKUP($A2062,Sheet4!$A:$B,2,0)</f>
        <v>BJ US-IC-HalfBaked-FTNG-8 1PT</v>
      </c>
      <c r="F2062" s="3" t="s">
        <v>464</v>
      </c>
    </row>
    <row r="2063" spans="1:6" x14ac:dyDescent="0.25">
      <c r="A2063" s="3">
        <v>84141103</v>
      </c>
      <c r="B2063" s="3">
        <v>5914</v>
      </c>
      <c r="C2063" s="24">
        <v>13795</v>
      </c>
      <c r="D2063" s="4">
        <v>46085</v>
      </c>
      <c r="E2063" t="str">
        <f>VLOOKUP($A2063,Sheet4!$A:$B,2,0)</f>
        <v>BJ US-IC-HalfBaked-FTNG-8 1PT</v>
      </c>
      <c r="F2063" s="3" t="s">
        <v>464</v>
      </c>
    </row>
    <row r="2064" spans="1:6" x14ac:dyDescent="0.25">
      <c r="A2064" s="3">
        <v>84141418</v>
      </c>
      <c r="B2064" s="3">
        <v>5914</v>
      </c>
      <c r="C2064" s="24">
        <v>3250</v>
      </c>
      <c r="D2064" s="4">
        <v>46092</v>
      </c>
      <c r="E2064" t="str">
        <f>VLOOKUP($A2064,Sheet4!$A:$B,2,0)</f>
        <v>BJ US-IC-Strawberry-FTNG-1 2.4G</v>
      </c>
      <c r="F2064" s="3" t="s">
        <v>58</v>
      </c>
    </row>
    <row r="2065" spans="1:6" x14ac:dyDescent="0.25">
      <c r="A2065" s="3">
        <v>84141418</v>
      </c>
      <c r="B2065" s="3">
        <v>5914</v>
      </c>
      <c r="C2065" s="24">
        <v>2850</v>
      </c>
      <c r="D2065" s="4">
        <v>46093</v>
      </c>
      <c r="E2065" t="str">
        <f>VLOOKUP($A2065,Sheet4!$A:$B,2,0)</f>
        <v>BJ US-IC-Strawberry-FTNG-1 2.4G</v>
      </c>
      <c r="F2065" s="3" t="s">
        <v>58</v>
      </c>
    </row>
    <row r="2066" spans="1:6" x14ac:dyDescent="0.25">
      <c r="A2066" s="3">
        <v>84149990</v>
      </c>
      <c r="B2066" s="3">
        <v>5914</v>
      </c>
      <c r="C2066" s="24">
        <v>6720</v>
      </c>
      <c r="D2066" s="4">
        <v>46090</v>
      </c>
      <c r="E2066" t="str">
        <f>VLOOKUP($A2066,Sheet4!$A:$B,2,0)</f>
        <v>BJ AMET-IC-ChocChpCkDgh-FTNG-8 458ML</v>
      </c>
      <c r="F2066" s="3" t="s">
        <v>79</v>
      </c>
    </row>
    <row r="2067" spans="1:6" x14ac:dyDescent="0.25">
      <c r="A2067" s="3">
        <v>84149990</v>
      </c>
      <c r="B2067" s="3">
        <v>5914</v>
      </c>
      <c r="C2067" s="24">
        <v>14108</v>
      </c>
      <c r="D2067" s="4">
        <v>46091</v>
      </c>
      <c r="E2067" t="str">
        <f>VLOOKUP($A2067,Sheet4!$A:$B,2,0)</f>
        <v>BJ AMET-IC-ChocChpCkDgh-FTNG-8 458ML</v>
      </c>
      <c r="F2067" s="3" t="s">
        <v>79</v>
      </c>
    </row>
    <row r="2068" spans="1:6" x14ac:dyDescent="0.25">
      <c r="A2068" s="3">
        <v>84161610</v>
      </c>
      <c r="B2068" s="3">
        <v>5914</v>
      </c>
      <c r="C2068" s="24">
        <v>21600</v>
      </c>
      <c r="D2068" s="4">
        <v>46076</v>
      </c>
      <c r="E2068" t="str">
        <f>VLOOKUP($A2068,Sheet4!$A:$B,2,0)</f>
        <v>BJ US-COR-SaltedCaramelCore-FTNG-8 1PT</v>
      </c>
      <c r="F2068" s="3" t="s">
        <v>79</v>
      </c>
    </row>
    <row r="2069" spans="1:6" x14ac:dyDescent="0.25">
      <c r="A2069" s="3">
        <v>84161610</v>
      </c>
      <c r="B2069" s="3">
        <v>5914</v>
      </c>
      <c r="C2069" s="24">
        <v>17806</v>
      </c>
      <c r="D2069" s="4">
        <v>46077</v>
      </c>
      <c r="E2069" t="str">
        <f>VLOOKUP($A2069,Sheet4!$A:$B,2,0)</f>
        <v>BJ US-COR-SaltedCaramelCore-FTNG-8 1PT</v>
      </c>
      <c r="F2069" s="3" t="s">
        <v>79</v>
      </c>
    </row>
    <row r="2070" spans="1:6" x14ac:dyDescent="0.25">
      <c r="A2070" s="3">
        <v>84163605</v>
      </c>
      <c r="B2070" s="3">
        <v>5914</v>
      </c>
      <c r="C2070" s="24">
        <v>6540</v>
      </c>
      <c r="D2070" s="4">
        <v>46100</v>
      </c>
      <c r="E2070" t="str">
        <f>VLOOKUP($A2070,Sheet4!$A:$B,2,0)</f>
        <v>BJ US-IC-ChocTherapy-FTNG-8 1PT</v>
      </c>
      <c r="F2070" s="3" t="s">
        <v>58</v>
      </c>
    </row>
    <row r="2071" spans="1:6" x14ac:dyDescent="0.25">
      <c r="A2071" s="3">
        <v>84163605</v>
      </c>
      <c r="B2071" s="3">
        <v>5914</v>
      </c>
      <c r="C2071" s="24">
        <v>19213</v>
      </c>
      <c r="D2071" s="4">
        <v>46101</v>
      </c>
      <c r="E2071" t="str">
        <f>VLOOKUP($A2071,Sheet4!$A:$B,2,0)</f>
        <v>BJ US-IC-ChocTherapy-FTNG-8 1PT</v>
      </c>
      <c r="F2071" s="3" t="s">
        <v>58</v>
      </c>
    </row>
    <row r="2072" spans="1:6" x14ac:dyDescent="0.25">
      <c r="A2072" s="3">
        <v>84163605</v>
      </c>
      <c r="B2072" s="3">
        <v>5914</v>
      </c>
      <c r="C2072" s="24">
        <v>4830</v>
      </c>
      <c r="D2072" s="4">
        <v>46102</v>
      </c>
      <c r="E2072" t="str">
        <f>VLOOKUP($A2072,Sheet4!$A:$B,2,0)</f>
        <v>BJ US-IC-ChocTherapy-FTNG-8 1PT</v>
      </c>
      <c r="F2072" s="3" t="s">
        <v>58</v>
      </c>
    </row>
    <row r="2073" spans="1:6" x14ac:dyDescent="0.25">
      <c r="A2073" s="3">
        <v>84164939</v>
      </c>
      <c r="B2073" s="3">
        <v>5914</v>
      </c>
      <c r="C2073" s="24">
        <v>3750</v>
      </c>
      <c r="D2073" s="4">
        <v>46099</v>
      </c>
      <c r="E2073" t="str">
        <f>VLOOKUP($A2073,Sheet4!$A:$B,2,0)</f>
        <v>BJ US-IC-SweetCrm+Cookies-FTNG-1 2.4G</v>
      </c>
      <c r="F2073" s="3" t="s">
        <v>58</v>
      </c>
    </row>
    <row r="2074" spans="1:6" x14ac:dyDescent="0.25">
      <c r="A2074" s="3">
        <v>84164939</v>
      </c>
      <c r="B2074" s="3">
        <v>5914</v>
      </c>
      <c r="C2074" s="24">
        <v>2341</v>
      </c>
      <c r="D2074" s="4">
        <v>46100</v>
      </c>
      <c r="E2074" t="str">
        <f>VLOOKUP($A2074,Sheet4!$A:$B,2,0)</f>
        <v>BJ US-IC-SweetCrm+Cookies-FTNG-1 2.4G</v>
      </c>
      <c r="F2074" s="3" t="s">
        <v>58</v>
      </c>
    </row>
  </sheetData>
  <autoFilter ref="A1:G2074" xr:uid="{26256ECF-4E05-4020-A909-7D04265074C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BA6E2-1910-4CA1-B8B6-87E089E5087C}">
  <dimension ref="A1:J320"/>
  <sheetViews>
    <sheetView workbookViewId="0">
      <selection activeCell="D2" sqref="D2"/>
    </sheetView>
  </sheetViews>
  <sheetFormatPr defaultColWidth="9.42578125" defaultRowHeight="15" x14ac:dyDescent="0.25"/>
  <cols>
    <col min="1" max="1" width="9" style="23" bestFit="1" customWidth="1"/>
    <col min="2" max="2" width="8.28515625" style="23" bestFit="1" customWidth="1"/>
    <col min="3" max="3" width="21.85546875" style="23" bestFit="1" customWidth="1"/>
    <col min="4" max="4" width="18.28515625" style="25" bestFit="1" customWidth="1"/>
    <col min="5" max="5" width="40.42578125" style="23" bestFit="1" customWidth="1"/>
    <col min="6" max="6" width="5" style="23" bestFit="1" customWidth="1"/>
    <col min="7" max="7" width="9" bestFit="1" customWidth="1"/>
    <col min="8" max="8" width="36.5703125" bestFit="1" customWidth="1"/>
    <col min="9" max="9" width="14.5703125" bestFit="1" customWidth="1"/>
    <col min="10" max="10" width="36.5703125" bestFit="1" customWidth="1"/>
  </cols>
  <sheetData>
    <row r="1" spans="1:10" x14ac:dyDescent="0.25">
      <c r="A1" s="23" t="s">
        <v>0</v>
      </c>
      <c r="B1" s="23" t="s">
        <v>1</v>
      </c>
      <c r="C1" s="23" t="s">
        <v>175</v>
      </c>
      <c r="D1" s="25" t="s">
        <v>176</v>
      </c>
      <c r="E1" s="23" t="s">
        <v>4</v>
      </c>
      <c r="F1" s="23" t="s">
        <v>174</v>
      </c>
      <c r="G1" t="s">
        <v>177</v>
      </c>
      <c r="H1" t="s">
        <v>178</v>
      </c>
      <c r="I1" t="s">
        <v>179</v>
      </c>
      <c r="J1" t="s">
        <v>180</v>
      </c>
    </row>
    <row r="2" spans="1:10" x14ac:dyDescent="0.25">
      <c r="A2" s="23">
        <v>64976846</v>
      </c>
      <c r="B2" s="23">
        <v>1717</v>
      </c>
      <c r="C2" s="23">
        <v>28282</v>
      </c>
      <c r="D2" s="25">
        <v>46078</v>
      </c>
      <c r="E2" s="23" t="s">
        <v>1000</v>
      </c>
      <c r="F2" s="23">
        <v>1717</v>
      </c>
      <c r="G2" t="s">
        <v>340</v>
      </c>
      <c r="H2" t="s">
        <v>341</v>
      </c>
      <c r="I2" t="s">
        <v>340</v>
      </c>
      <c r="J2" t="s">
        <v>341</v>
      </c>
    </row>
    <row r="3" spans="1:10" x14ac:dyDescent="0.25">
      <c r="A3" s="23">
        <v>64976851</v>
      </c>
      <c r="B3" s="23">
        <v>1717</v>
      </c>
      <c r="C3" s="23">
        <v>19571</v>
      </c>
      <c r="D3" s="25">
        <v>46083</v>
      </c>
      <c r="E3" s="23" t="s">
        <v>339</v>
      </c>
      <c r="F3" s="23">
        <v>1717</v>
      </c>
      <c r="G3" t="s">
        <v>340</v>
      </c>
      <c r="H3" t="s">
        <v>341</v>
      </c>
      <c r="I3" t="s">
        <v>340</v>
      </c>
      <c r="J3" t="s">
        <v>341</v>
      </c>
    </row>
    <row r="4" spans="1:10" x14ac:dyDescent="0.25">
      <c r="A4" s="23">
        <v>64976847</v>
      </c>
      <c r="B4" s="23">
        <v>1717</v>
      </c>
      <c r="C4" s="23">
        <v>50055</v>
      </c>
      <c r="D4" s="25">
        <v>46094</v>
      </c>
      <c r="E4" s="23" t="s">
        <v>317</v>
      </c>
      <c r="F4" s="23">
        <v>1717</v>
      </c>
      <c r="G4" t="s">
        <v>340</v>
      </c>
      <c r="H4" t="s">
        <v>341</v>
      </c>
      <c r="I4" t="s">
        <v>340</v>
      </c>
      <c r="J4" t="s">
        <v>341</v>
      </c>
    </row>
    <row r="5" spans="1:10" x14ac:dyDescent="0.25">
      <c r="A5" s="23">
        <v>65489676</v>
      </c>
      <c r="B5" s="23">
        <v>1717</v>
      </c>
      <c r="C5" s="23">
        <v>17846</v>
      </c>
      <c r="D5" s="25">
        <v>46100</v>
      </c>
      <c r="E5" s="23" t="s">
        <v>841</v>
      </c>
      <c r="F5" s="23">
        <v>1717</v>
      </c>
      <c r="G5" t="s">
        <v>340</v>
      </c>
      <c r="H5" t="s">
        <v>341</v>
      </c>
      <c r="I5" t="s">
        <v>340</v>
      </c>
      <c r="J5" t="s">
        <v>341</v>
      </c>
    </row>
    <row r="6" spans="1:10" x14ac:dyDescent="0.25">
      <c r="A6" s="23">
        <v>65489677</v>
      </c>
      <c r="B6" s="23">
        <v>1717</v>
      </c>
      <c r="C6" s="23">
        <v>13923</v>
      </c>
      <c r="D6" s="25">
        <v>46102</v>
      </c>
      <c r="E6" s="23" t="s">
        <v>350</v>
      </c>
      <c r="F6" s="23">
        <v>1717</v>
      </c>
      <c r="G6" t="s">
        <v>340</v>
      </c>
      <c r="H6" t="s">
        <v>341</v>
      </c>
      <c r="I6" t="s">
        <v>340</v>
      </c>
      <c r="J6" t="s">
        <v>341</v>
      </c>
    </row>
    <row r="7" spans="1:10" x14ac:dyDescent="0.25">
      <c r="A7" s="23">
        <v>64958128</v>
      </c>
      <c r="B7" s="23">
        <v>1717</v>
      </c>
      <c r="C7" s="23">
        <v>32843</v>
      </c>
      <c r="D7" s="25">
        <v>46104</v>
      </c>
      <c r="E7" s="23" t="s">
        <v>64</v>
      </c>
      <c r="F7" s="23">
        <v>1717</v>
      </c>
      <c r="G7" t="s">
        <v>340</v>
      </c>
      <c r="H7" t="s">
        <v>341</v>
      </c>
      <c r="I7" t="s">
        <v>340</v>
      </c>
      <c r="J7" t="s">
        <v>341</v>
      </c>
    </row>
    <row r="8" spans="1:10" x14ac:dyDescent="0.25">
      <c r="A8" s="23">
        <v>65489677</v>
      </c>
      <c r="B8" s="23">
        <v>1717</v>
      </c>
      <c r="C8" s="23">
        <v>5746</v>
      </c>
      <c r="D8" s="25">
        <v>46105</v>
      </c>
      <c r="E8" s="23" t="s">
        <v>350</v>
      </c>
      <c r="F8" s="23">
        <v>1717</v>
      </c>
      <c r="G8" t="s">
        <v>340</v>
      </c>
      <c r="H8" t="s">
        <v>341</v>
      </c>
      <c r="I8" t="s">
        <v>340</v>
      </c>
      <c r="J8" t="s">
        <v>341</v>
      </c>
    </row>
    <row r="9" spans="1:10" x14ac:dyDescent="0.25">
      <c r="A9" s="23">
        <v>64955741</v>
      </c>
      <c r="B9" s="23">
        <v>1715</v>
      </c>
      <c r="C9" s="23">
        <v>22379</v>
      </c>
      <c r="D9" s="25">
        <v>46078</v>
      </c>
      <c r="E9" s="23" t="s">
        <v>1001</v>
      </c>
      <c r="F9" s="23">
        <v>1715</v>
      </c>
      <c r="G9" t="s">
        <v>308</v>
      </c>
      <c r="H9" t="s">
        <v>309</v>
      </c>
      <c r="I9" t="s">
        <v>308</v>
      </c>
      <c r="J9" t="s">
        <v>309</v>
      </c>
    </row>
    <row r="10" spans="1:10" x14ac:dyDescent="0.25">
      <c r="A10" s="23">
        <v>64958126</v>
      </c>
      <c r="B10" s="23">
        <v>1715</v>
      </c>
      <c r="C10" s="23">
        <v>10043</v>
      </c>
      <c r="D10" s="25">
        <v>46079</v>
      </c>
      <c r="E10" s="23" t="s">
        <v>1002</v>
      </c>
      <c r="F10" s="23">
        <v>1715</v>
      </c>
      <c r="G10" t="s">
        <v>308</v>
      </c>
      <c r="H10" t="s">
        <v>309</v>
      </c>
      <c r="I10" t="s">
        <v>308</v>
      </c>
      <c r="J10" t="s">
        <v>309</v>
      </c>
    </row>
    <row r="11" spans="1:10" x14ac:dyDescent="0.25">
      <c r="A11" s="23">
        <v>64955561</v>
      </c>
      <c r="B11" s="23">
        <v>1715</v>
      </c>
      <c r="C11" s="23">
        <v>17722</v>
      </c>
      <c r="D11" s="25">
        <v>46084</v>
      </c>
      <c r="E11" s="23" t="s">
        <v>1003</v>
      </c>
      <c r="F11" s="23">
        <v>1715</v>
      </c>
      <c r="G11" t="s">
        <v>308</v>
      </c>
      <c r="H11" t="s">
        <v>309</v>
      </c>
      <c r="I11" t="s">
        <v>308</v>
      </c>
      <c r="J11" t="s">
        <v>309</v>
      </c>
    </row>
    <row r="12" spans="1:10" x14ac:dyDescent="0.25">
      <c r="A12" s="23">
        <v>64955741</v>
      </c>
      <c r="B12" s="23">
        <v>1715</v>
      </c>
      <c r="C12" s="23">
        <v>23702</v>
      </c>
      <c r="D12" s="25">
        <v>46086</v>
      </c>
      <c r="E12" s="23" t="s">
        <v>1001</v>
      </c>
      <c r="F12" s="23">
        <v>1715</v>
      </c>
      <c r="G12" t="s">
        <v>308</v>
      </c>
      <c r="H12" t="s">
        <v>309</v>
      </c>
      <c r="I12" t="s">
        <v>308</v>
      </c>
      <c r="J12" t="s">
        <v>309</v>
      </c>
    </row>
    <row r="13" spans="1:10" x14ac:dyDescent="0.25">
      <c r="A13" s="23">
        <v>64955559</v>
      </c>
      <c r="B13" s="23">
        <v>1715</v>
      </c>
      <c r="C13" s="23">
        <v>21008</v>
      </c>
      <c r="D13" s="25">
        <v>46087</v>
      </c>
      <c r="E13" s="23" t="s">
        <v>314</v>
      </c>
      <c r="F13" s="23">
        <v>1715</v>
      </c>
      <c r="G13" t="s">
        <v>308</v>
      </c>
      <c r="H13" t="s">
        <v>309</v>
      </c>
      <c r="I13" t="s">
        <v>308</v>
      </c>
      <c r="J13" t="s">
        <v>309</v>
      </c>
    </row>
    <row r="14" spans="1:10" x14ac:dyDescent="0.25">
      <c r="A14" s="23">
        <v>64958129</v>
      </c>
      <c r="B14" s="23">
        <v>1715</v>
      </c>
      <c r="C14" s="23">
        <v>6416</v>
      </c>
      <c r="D14" s="25">
        <v>46092</v>
      </c>
      <c r="E14" s="23" t="s">
        <v>320</v>
      </c>
      <c r="F14" s="23">
        <v>1715</v>
      </c>
      <c r="G14" t="s">
        <v>308</v>
      </c>
      <c r="H14" t="s">
        <v>309</v>
      </c>
      <c r="I14" t="s">
        <v>308</v>
      </c>
      <c r="J14" t="s">
        <v>309</v>
      </c>
    </row>
    <row r="15" spans="1:10" x14ac:dyDescent="0.25">
      <c r="A15" s="23">
        <v>64958129</v>
      </c>
      <c r="B15" s="23">
        <v>1715</v>
      </c>
      <c r="C15" s="23">
        <v>45519</v>
      </c>
      <c r="D15" s="25">
        <v>46093</v>
      </c>
      <c r="E15" s="23" t="s">
        <v>320</v>
      </c>
      <c r="F15" s="23">
        <v>1715</v>
      </c>
      <c r="G15" t="s">
        <v>308</v>
      </c>
      <c r="H15" t="s">
        <v>309</v>
      </c>
      <c r="I15" t="s">
        <v>308</v>
      </c>
      <c r="J15" t="s">
        <v>309</v>
      </c>
    </row>
    <row r="16" spans="1:10" x14ac:dyDescent="0.25">
      <c r="A16" s="23">
        <v>64955558</v>
      </c>
      <c r="B16" s="23">
        <v>1715</v>
      </c>
      <c r="C16" s="23">
        <v>11880</v>
      </c>
      <c r="D16" s="25">
        <v>46099</v>
      </c>
      <c r="E16" s="23" t="s">
        <v>834</v>
      </c>
      <c r="F16" s="23">
        <v>1715</v>
      </c>
      <c r="G16" t="s">
        <v>308</v>
      </c>
      <c r="H16" t="s">
        <v>309</v>
      </c>
      <c r="I16" t="s">
        <v>308</v>
      </c>
      <c r="J16" t="s">
        <v>309</v>
      </c>
    </row>
    <row r="17" spans="1:10" x14ac:dyDescent="0.25">
      <c r="A17" s="23">
        <v>64955743</v>
      </c>
      <c r="B17" s="23">
        <v>1715</v>
      </c>
      <c r="C17" s="23">
        <v>19406</v>
      </c>
      <c r="D17" s="25">
        <v>46104</v>
      </c>
      <c r="E17" s="23" t="s">
        <v>1004</v>
      </c>
      <c r="F17" s="23">
        <v>1715</v>
      </c>
      <c r="G17" t="s">
        <v>308</v>
      </c>
      <c r="H17" t="s">
        <v>309</v>
      </c>
      <c r="I17" t="s">
        <v>308</v>
      </c>
      <c r="J17" t="s">
        <v>309</v>
      </c>
    </row>
    <row r="18" spans="1:10" x14ac:dyDescent="0.25">
      <c r="A18" s="23">
        <v>62714126</v>
      </c>
      <c r="B18" s="23" t="s">
        <v>181</v>
      </c>
      <c r="C18" s="23">
        <v>2600</v>
      </c>
      <c r="D18" s="25">
        <v>46076</v>
      </c>
      <c r="E18" s="23" t="s">
        <v>182</v>
      </c>
      <c r="F18" s="23">
        <v>1419</v>
      </c>
      <c r="G18" t="s">
        <v>183</v>
      </c>
      <c r="H18" t="s">
        <v>184</v>
      </c>
      <c r="I18" t="s">
        <v>183</v>
      </c>
      <c r="J18" t="s">
        <v>184</v>
      </c>
    </row>
    <row r="19" spans="1:10" x14ac:dyDescent="0.25">
      <c r="A19" s="23">
        <v>64833353</v>
      </c>
      <c r="B19" s="23" t="s">
        <v>181</v>
      </c>
      <c r="C19" s="23">
        <v>2600</v>
      </c>
      <c r="D19" s="25">
        <v>46076</v>
      </c>
      <c r="E19" s="23" t="s">
        <v>195</v>
      </c>
      <c r="F19" s="23">
        <v>1419</v>
      </c>
      <c r="G19" t="s">
        <v>183</v>
      </c>
      <c r="H19" t="s">
        <v>184</v>
      </c>
      <c r="I19" t="s">
        <v>183</v>
      </c>
      <c r="J19" t="s">
        <v>184</v>
      </c>
    </row>
    <row r="20" spans="1:10" x14ac:dyDescent="0.25">
      <c r="A20" s="23">
        <v>64833353</v>
      </c>
      <c r="B20" s="23" t="s">
        <v>181</v>
      </c>
      <c r="C20" s="23">
        <v>2600</v>
      </c>
      <c r="D20" s="25">
        <v>46076</v>
      </c>
      <c r="E20" s="23" t="s">
        <v>195</v>
      </c>
      <c r="F20" s="23">
        <v>1419</v>
      </c>
      <c r="G20" t="s">
        <v>183</v>
      </c>
      <c r="H20" t="s">
        <v>184</v>
      </c>
      <c r="I20" t="s">
        <v>183</v>
      </c>
      <c r="J20" t="s">
        <v>184</v>
      </c>
    </row>
    <row r="21" spans="1:10" x14ac:dyDescent="0.25">
      <c r="A21" s="23">
        <v>62714126</v>
      </c>
      <c r="B21" s="23" t="s">
        <v>181</v>
      </c>
      <c r="C21" s="23">
        <v>2600</v>
      </c>
      <c r="D21" s="25">
        <v>46078</v>
      </c>
      <c r="E21" s="23" t="s">
        <v>182</v>
      </c>
      <c r="F21" s="23">
        <v>1419</v>
      </c>
      <c r="G21" t="s">
        <v>183</v>
      </c>
      <c r="H21" t="s">
        <v>184</v>
      </c>
      <c r="I21" t="s">
        <v>183</v>
      </c>
      <c r="J21" t="s">
        <v>184</v>
      </c>
    </row>
    <row r="22" spans="1:10" x14ac:dyDescent="0.25">
      <c r="A22" s="23">
        <v>64833353</v>
      </c>
      <c r="B22" s="23" t="s">
        <v>181</v>
      </c>
      <c r="C22" s="23">
        <v>2600</v>
      </c>
      <c r="D22" s="25">
        <v>46080</v>
      </c>
      <c r="E22" s="23" t="s">
        <v>195</v>
      </c>
      <c r="F22" s="23">
        <v>3989</v>
      </c>
      <c r="G22" t="s">
        <v>183</v>
      </c>
      <c r="H22" t="s">
        <v>184</v>
      </c>
      <c r="I22" t="s">
        <v>183</v>
      </c>
      <c r="J22" t="s">
        <v>184</v>
      </c>
    </row>
    <row r="23" spans="1:10" x14ac:dyDescent="0.25">
      <c r="A23" s="23">
        <v>64833353</v>
      </c>
      <c r="B23" s="23" t="s">
        <v>181</v>
      </c>
      <c r="C23" s="23">
        <v>2600</v>
      </c>
      <c r="D23" s="25">
        <v>46083</v>
      </c>
      <c r="E23" s="23" t="s">
        <v>195</v>
      </c>
      <c r="F23" s="23">
        <v>3989</v>
      </c>
      <c r="G23" t="s">
        <v>183</v>
      </c>
      <c r="H23" t="s">
        <v>184</v>
      </c>
      <c r="I23" t="s">
        <v>183</v>
      </c>
      <c r="J23" t="s">
        <v>184</v>
      </c>
    </row>
    <row r="24" spans="1:10" x14ac:dyDescent="0.25">
      <c r="A24" s="23">
        <v>64833353</v>
      </c>
      <c r="B24" s="23" t="s">
        <v>181</v>
      </c>
      <c r="C24" s="23">
        <v>2600</v>
      </c>
      <c r="D24" s="25">
        <v>46083</v>
      </c>
      <c r="E24" s="23" t="s">
        <v>195</v>
      </c>
      <c r="F24" s="23">
        <v>3989</v>
      </c>
      <c r="G24" t="s">
        <v>183</v>
      </c>
      <c r="H24" t="s">
        <v>184</v>
      </c>
      <c r="I24" t="s">
        <v>183</v>
      </c>
      <c r="J24" t="s">
        <v>184</v>
      </c>
    </row>
    <row r="25" spans="1:10" x14ac:dyDescent="0.25">
      <c r="A25" s="23">
        <v>64833353</v>
      </c>
      <c r="B25" s="23" t="s">
        <v>181</v>
      </c>
      <c r="C25" s="23">
        <v>2600</v>
      </c>
      <c r="D25" s="25">
        <v>46083</v>
      </c>
      <c r="E25" s="23" t="s">
        <v>195</v>
      </c>
      <c r="F25" s="23">
        <v>3989</v>
      </c>
      <c r="G25" t="s">
        <v>183</v>
      </c>
      <c r="H25" t="s">
        <v>184</v>
      </c>
      <c r="I25" t="s">
        <v>183</v>
      </c>
      <c r="J25" t="s">
        <v>184</v>
      </c>
    </row>
    <row r="26" spans="1:10" x14ac:dyDescent="0.25">
      <c r="A26" s="23">
        <v>64833353</v>
      </c>
      <c r="B26" s="23" t="s">
        <v>181</v>
      </c>
      <c r="C26" s="23">
        <v>2600</v>
      </c>
      <c r="D26" s="25">
        <v>46084</v>
      </c>
      <c r="E26" s="23" t="s">
        <v>195</v>
      </c>
      <c r="F26" s="23">
        <v>3989</v>
      </c>
      <c r="G26" t="s">
        <v>183</v>
      </c>
      <c r="H26" t="s">
        <v>184</v>
      </c>
      <c r="I26" t="s">
        <v>183</v>
      </c>
      <c r="J26" t="s">
        <v>184</v>
      </c>
    </row>
    <row r="27" spans="1:10" x14ac:dyDescent="0.25">
      <c r="A27" s="23">
        <v>62714126</v>
      </c>
      <c r="B27" s="23" t="s">
        <v>181</v>
      </c>
      <c r="C27" s="23">
        <v>2600</v>
      </c>
      <c r="D27" s="25">
        <v>46087</v>
      </c>
      <c r="E27" s="23" t="s">
        <v>182</v>
      </c>
      <c r="F27" s="23">
        <v>1419</v>
      </c>
      <c r="G27" t="s">
        <v>183</v>
      </c>
      <c r="H27" t="s">
        <v>184</v>
      </c>
      <c r="I27" t="s">
        <v>183</v>
      </c>
      <c r="J27" t="s">
        <v>184</v>
      </c>
    </row>
    <row r="28" spans="1:10" x14ac:dyDescent="0.25">
      <c r="A28" s="23">
        <v>62714126</v>
      </c>
      <c r="B28" s="23" t="s">
        <v>181</v>
      </c>
      <c r="C28" s="23">
        <v>2600</v>
      </c>
      <c r="D28" s="25">
        <v>46087</v>
      </c>
      <c r="E28" s="23" t="s">
        <v>182</v>
      </c>
      <c r="F28" s="23">
        <v>1419</v>
      </c>
      <c r="G28" t="s">
        <v>183</v>
      </c>
      <c r="H28" t="s">
        <v>184</v>
      </c>
      <c r="I28" t="s">
        <v>183</v>
      </c>
      <c r="J28" t="s">
        <v>184</v>
      </c>
    </row>
    <row r="29" spans="1:10" x14ac:dyDescent="0.25">
      <c r="A29" s="23">
        <v>62714126</v>
      </c>
      <c r="B29" s="23" t="s">
        <v>181</v>
      </c>
      <c r="C29" s="23">
        <v>2600</v>
      </c>
      <c r="D29" s="25">
        <v>46087</v>
      </c>
      <c r="E29" s="23" t="s">
        <v>182</v>
      </c>
      <c r="F29" s="23">
        <v>1419</v>
      </c>
      <c r="G29" t="s">
        <v>183</v>
      </c>
      <c r="H29" t="s">
        <v>184</v>
      </c>
      <c r="I29" t="s">
        <v>183</v>
      </c>
      <c r="J29" t="s">
        <v>184</v>
      </c>
    </row>
    <row r="30" spans="1:10" x14ac:dyDescent="0.25">
      <c r="A30" s="23">
        <v>62714126</v>
      </c>
      <c r="B30" s="23" t="s">
        <v>181</v>
      </c>
      <c r="C30" s="23">
        <v>2600</v>
      </c>
      <c r="D30" s="25">
        <v>46087</v>
      </c>
      <c r="E30" s="23" t="s">
        <v>182</v>
      </c>
      <c r="F30" s="23">
        <v>1419</v>
      </c>
      <c r="G30" t="s">
        <v>183</v>
      </c>
      <c r="H30" t="s">
        <v>184</v>
      </c>
      <c r="I30" t="s">
        <v>183</v>
      </c>
      <c r="J30" t="s">
        <v>184</v>
      </c>
    </row>
    <row r="31" spans="1:10" x14ac:dyDescent="0.25">
      <c r="A31" s="23">
        <v>64833353</v>
      </c>
      <c r="B31" s="23" t="s">
        <v>181</v>
      </c>
      <c r="C31" s="23">
        <v>2600</v>
      </c>
      <c r="D31" s="25">
        <v>46090</v>
      </c>
      <c r="E31" s="23" t="s">
        <v>195</v>
      </c>
      <c r="F31" s="23">
        <v>3989</v>
      </c>
      <c r="G31" t="s">
        <v>183</v>
      </c>
      <c r="H31" t="s">
        <v>184</v>
      </c>
      <c r="I31" t="s">
        <v>183</v>
      </c>
      <c r="J31" t="s">
        <v>184</v>
      </c>
    </row>
    <row r="32" spans="1:10" x14ac:dyDescent="0.25">
      <c r="A32" s="23">
        <v>64833353</v>
      </c>
      <c r="B32" s="23" t="s">
        <v>181</v>
      </c>
      <c r="C32" s="23">
        <v>2600</v>
      </c>
      <c r="D32" s="25">
        <v>46090</v>
      </c>
      <c r="E32" s="23" t="s">
        <v>195</v>
      </c>
      <c r="F32" s="23">
        <v>3989</v>
      </c>
      <c r="G32" t="s">
        <v>183</v>
      </c>
      <c r="H32" t="s">
        <v>184</v>
      </c>
      <c r="I32" t="s">
        <v>183</v>
      </c>
      <c r="J32" t="s">
        <v>184</v>
      </c>
    </row>
    <row r="33" spans="1:10" x14ac:dyDescent="0.25">
      <c r="A33" s="23">
        <v>62714126</v>
      </c>
      <c r="B33" s="23" t="s">
        <v>181</v>
      </c>
      <c r="C33" s="23">
        <v>2600</v>
      </c>
      <c r="D33" s="25">
        <v>46090</v>
      </c>
      <c r="E33" s="23" t="s">
        <v>182</v>
      </c>
      <c r="F33" s="23">
        <v>1419</v>
      </c>
      <c r="G33" t="s">
        <v>183</v>
      </c>
      <c r="H33" t="s">
        <v>184</v>
      </c>
      <c r="I33" t="s">
        <v>183</v>
      </c>
      <c r="J33" t="s">
        <v>184</v>
      </c>
    </row>
    <row r="34" spans="1:10" x14ac:dyDescent="0.25">
      <c r="A34" s="23">
        <v>62714126</v>
      </c>
      <c r="B34" s="23" t="s">
        <v>181</v>
      </c>
      <c r="C34" s="23">
        <v>2600</v>
      </c>
      <c r="D34" s="25">
        <v>46090</v>
      </c>
      <c r="E34" s="23" t="s">
        <v>182</v>
      </c>
      <c r="F34" s="23">
        <v>1419</v>
      </c>
      <c r="G34" t="s">
        <v>183</v>
      </c>
      <c r="H34" t="s">
        <v>184</v>
      </c>
      <c r="I34" t="s">
        <v>183</v>
      </c>
      <c r="J34" t="s">
        <v>184</v>
      </c>
    </row>
    <row r="35" spans="1:10" x14ac:dyDescent="0.25">
      <c r="A35" s="23">
        <v>62714126</v>
      </c>
      <c r="B35" s="23" t="s">
        <v>181</v>
      </c>
      <c r="C35" s="23">
        <v>2600</v>
      </c>
      <c r="D35" s="25">
        <v>46090</v>
      </c>
      <c r="E35" s="23" t="s">
        <v>182</v>
      </c>
      <c r="F35" s="23">
        <v>1419</v>
      </c>
      <c r="G35" t="s">
        <v>183</v>
      </c>
      <c r="H35" t="s">
        <v>184</v>
      </c>
      <c r="I35" t="s">
        <v>183</v>
      </c>
      <c r="J35" t="s">
        <v>184</v>
      </c>
    </row>
    <row r="36" spans="1:10" x14ac:dyDescent="0.25">
      <c r="A36" s="23">
        <v>62714126</v>
      </c>
      <c r="B36" s="23" t="s">
        <v>181</v>
      </c>
      <c r="C36" s="23">
        <v>2600</v>
      </c>
      <c r="D36" s="25">
        <v>46090</v>
      </c>
      <c r="E36" s="23" t="s">
        <v>182</v>
      </c>
      <c r="F36" s="23">
        <v>1419</v>
      </c>
      <c r="G36" t="s">
        <v>183</v>
      </c>
      <c r="H36" t="s">
        <v>184</v>
      </c>
      <c r="I36" t="s">
        <v>183</v>
      </c>
      <c r="J36" t="s">
        <v>184</v>
      </c>
    </row>
    <row r="37" spans="1:10" x14ac:dyDescent="0.25">
      <c r="A37" s="23">
        <v>62714126</v>
      </c>
      <c r="B37" s="23" t="s">
        <v>181</v>
      </c>
      <c r="C37" s="23">
        <v>2600</v>
      </c>
      <c r="D37" s="25">
        <v>46091</v>
      </c>
      <c r="E37" s="23" t="s">
        <v>182</v>
      </c>
      <c r="F37" s="23">
        <v>1419</v>
      </c>
      <c r="G37" t="s">
        <v>183</v>
      </c>
      <c r="H37" t="s">
        <v>184</v>
      </c>
      <c r="I37" t="s">
        <v>183</v>
      </c>
      <c r="J37" t="s">
        <v>184</v>
      </c>
    </row>
    <row r="38" spans="1:10" x14ac:dyDescent="0.25">
      <c r="A38" s="23">
        <v>62714126</v>
      </c>
      <c r="B38" s="23" t="s">
        <v>181</v>
      </c>
      <c r="C38" s="23">
        <v>2600</v>
      </c>
      <c r="D38" s="25">
        <v>46091</v>
      </c>
      <c r="E38" s="23" t="s">
        <v>182</v>
      </c>
      <c r="F38" s="23">
        <v>1419</v>
      </c>
      <c r="G38" t="s">
        <v>183</v>
      </c>
      <c r="H38" t="s">
        <v>184</v>
      </c>
      <c r="I38" t="s">
        <v>183</v>
      </c>
      <c r="J38" t="s">
        <v>184</v>
      </c>
    </row>
    <row r="39" spans="1:10" x14ac:dyDescent="0.25">
      <c r="A39" s="23">
        <v>62714126</v>
      </c>
      <c r="B39" s="23" t="s">
        <v>181</v>
      </c>
      <c r="C39" s="23">
        <v>2600</v>
      </c>
      <c r="D39" s="25">
        <v>46091</v>
      </c>
      <c r="E39" s="23" t="s">
        <v>182</v>
      </c>
      <c r="F39" s="23">
        <v>1419</v>
      </c>
      <c r="G39" t="s">
        <v>183</v>
      </c>
      <c r="H39" t="s">
        <v>184</v>
      </c>
      <c r="I39" t="s">
        <v>183</v>
      </c>
      <c r="J39" t="s">
        <v>184</v>
      </c>
    </row>
    <row r="40" spans="1:10" x14ac:dyDescent="0.25">
      <c r="A40" s="23">
        <v>62714126</v>
      </c>
      <c r="B40" s="23" t="s">
        <v>181</v>
      </c>
      <c r="C40" s="23">
        <v>2600</v>
      </c>
      <c r="D40" s="25">
        <v>46091</v>
      </c>
      <c r="E40" s="23" t="s">
        <v>182</v>
      </c>
      <c r="F40" s="23">
        <v>1419</v>
      </c>
      <c r="G40" t="s">
        <v>183</v>
      </c>
      <c r="H40" t="s">
        <v>184</v>
      </c>
      <c r="I40" t="s">
        <v>183</v>
      </c>
      <c r="J40" t="s">
        <v>184</v>
      </c>
    </row>
    <row r="41" spans="1:10" x14ac:dyDescent="0.25">
      <c r="A41" s="23">
        <v>64833353</v>
      </c>
      <c r="B41" s="23" t="s">
        <v>181</v>
      </c>
      <c r="C41" s="23">
        <v>2600</v>
      </c>
      <c r="D41" s="25">
        <v>46092</v>
      </c>
      <c r="E41" s="23" t="s">
        <v>195</v>
      </c>
      <c r="F41" s="23">
        <v>3989</v>
      </c>
      <c r="G41" t="s">
        <v>183</v>
      </c>
      <c r="H41" t="s">
        <v>184</v>
      </c>
      <c r="I41" t="s">
        <v>183</v>
      </c>
      <c r="J41" t="s">
        <v>184</v>
      </c>
    </row>
    <row r="42" spans="1:10" x14ac:dyDescent="0.25">
      <c r="A42" s="23">
        <v>64833353</v>
      </c>
      <c r="B42" s="23" t="s">
        <v>181</v>
      </c>
      <c r="C42" s="23">
        <v>2600</v>
      </c>
      <c r="D42" s="25">
        <v>46092</v>
      </c>
      <c r="E42" s="23" t="s">
        <v>195</v>
      </c>
      <c r="F42" s="23">
        <v>3989</v>
      </c>
      <c r="G42" t="s">
        <v>183</v>
      </c>
      <c r="H42" t="s">
        <v>184</v>
      </c>
      <c r="I42" t="s">
        <v>183</v>
      </c>
      <c r="J42" t="s">
        <v>184</v>
      </c>
    </row>
    <row r="43" spans="1:10" x14ac:dyDescent="0.25">
      <c r="A43" s="23">
        <v>64833353</v>
      </c>
      <c r="B43" s="23" t="s">
        <v>181</v>
      </c>
      <c r="C43" s="23">
        <v>2600</v>
      </c>
      <c r="D43" s="25">
        <v>46092</v>
      </c>
      <c r="E43" s="23" t="s">
        <v>195</v>
      </c>
      <c r="F43" s="23">
        <v>3989</v>
      </c>
      <c r="G43" t="s">
        <v>183</v>
      </c>
      <c r="H43" t="s">
        <v>184</v>
      </c>
      <c r="I43" t="s">
        <v>183</v>
      </c>
      <c r="J43" t="s">
        <v>184</v>
      </c>
    </row>
    <row r="44" spans="1:10" x14ac:dyDescent="0.25">
      <c r="A44" s="23">
        <v>62714126</v>
      </c>
      <c r="B44" s="23" t="s">
        <v>181</v>
      </c>
      <c r="C44" s="23">
        <v>2600</v>
      </c>
      <c r="D44" s="25">
        <v>46092</v>
      </c>
      <c r="E44" s="23" t="s">
        <v>182</v>
      </c>
      <c r="F44" s="23">
        <v>1419</v>
      </c>
      <c r="G44" t="s">
        <v>183</v>
      </c>
      <c r="H44" t="s">
        <v>184</v>
      </c>
      <c r="I44" t="s">
        <v>183</v>
      </c>
      <c r="J44" t="s">
        <v>184</v>
      </c>
    </row>
    <row r="45" spans="1:10" x14ac:dyDescent="0.25">
      <c r="A45" s="23">
        <v>64833353</v>
      </c>
      <c r="B45" s="23" t="s">
        <v>181</v>
      </c>
      <c r="C45" s="23">
        <v>2600</v>
      </c>
      <c r="D45" s="25">
        <v>46093</v>
      </c>
      <c r="E45" s="23" t="s">
        <v>195</v>
      </c>
      <c r="F45" s="23">
        <v>3989</v>
      </c>
      <c r="G45" t="s">
        <v>183</v>
      </c>
      <c r="H45" t="s">
        <v>184</v>
      </c>
      <c r="I45" t="s">
        <v>183</v>
      </c>
      <c r="J45" t="s">
        <v>184</v>
      </c>
    </row>
    <row r="46" spans="1:10" x14ac:dyDescent="0.25">
      <c r="A46" s="23">
        <v>64833353</v>
      </c>
      <c r="B46" s="23" t="s">
        <v>181</v>
      </c>
      <c r="C46" s="23">
        <v>2600</v>
      </c>
      <c r="D46" s="25">
        <v>46093</v>
      </c>
      <c r="E46" s="23" t="s">
        <v>195</v>
      </c>
      <c r="F46" s="23">
        <v>3989</v>
      </c>
      <c r="G46" t="s">
        <v>183</v>
      </c>
      <c r="H46" t="s">
        <v>184</v>
      </c>
      <c r="I46" t="s">
        <v>183</v>
      </c>
      <c r="J46" t="s">
        <v>184</v>
      </c>
    </row>
    <row r="47" spans="1:10" x14ac:dyDescent="0.25">
      <c r="A47" s="23">
        <v>64833353</v>
      </c>
      <c r="B47" s="23" t="s">
        <v>181</v>
      </c>
      <c r="C47" s="23">
        <v>2600</v>
      </c>
      <c r="D47" s="25">
        <v>46093</v>
      </c>
      <c r="E47" s="23" t="s">
        <v>195</v>
      </c>
      <c r="F47" s="23">
        <v>3989</v>
      </c>
      <c r="G47" t="s">
        <v>183</v>
      </c>
      <c r="H47" t="s">
        <v>184</v>
      </c>
      <c r="I47" t="s">
        <v>183</v>
      </c>
      <c r="J47" t="s">
        <v>184</v>
      </c>
    </row>
    <row r="48" spans="1:10" x14ac:dyDescent="0.25">
      <c r="A48" s="23">
        <v>62714126</v>
      </c>
      <c r="B48" s="23" t="s">
        <v>181</v>
      </c>
      <c r="C48" s="23">
        <v>2600</v>
      </c>
      <c r="D48" s="25">
        <v>46093</v>
      </c>
      <c r="E48" s="23" t="s">
        <v>182</v>
      </c>
      <c r="F48" s="23">
        <v>1419</v>
      </c>
      <c r="G48" t="s">
        <v>183</v>
      </c>
      <c r="H48" t="s">
        <v>184</v>
      </c>
      <c r="I48" t="s">
        <v>183</v>
      </c>
      <c r="J48" t="s">
        <v>184</v>
      </c>
    </row>
    <row r="49" spans="1:10" x14ac:dyDescent="0.25">
      <c r="A49" s="23">
        <v>62714126</v>
      </c>
      <c r="B49" s="23" t="s">
        <v>181</v>
      </c>
      <c r="C49" s="23">
        <v>2600</v>
      </c>
      <c r="D49" s="25">
        <v>46093</v>
      </c>
      <c r="E49" s="23" t="s">
        <v>182</v>
      </c>
      <c r="F49" s="23">
        <v>1419</v>
      </c>
      <c r="G49" t="s">
        <v>183</v>
      </c>
      <c r="H49" t="s">
        <v>184</v>
      </c>
      <c r="I49" t="s">
        <v>183</v>
      </c>
      <c r="J49" t="s">
        <v>184</v>
      </c>
    </row>
    <row r="50" spans="1:10" x14ac:dyDescent="0.25">
      <c r="A50" s="23">
        <v>64776958</v>
      </c>
      <c r="B50" s="23" t="s">
        <v>181</v>
      </c>
      <c r="C50" s="23">
        <v>2600</v>
      </c>
      <c r="D50" s="25">
        <v>46094</v>
      </c>
      <c r="E50" s="23" t="s">
        <v>71</v>
      </c>
      <c r="F50" s="23">
        <v>1419</v>
      </c>
      <c r="G50" t="s">
        <v>183</v>
      </c>
      <c r="H50" t="s">
        <v>184</v>
      </c>
      <c r="I50" t="s">
        <v>183</v>
      </c>
      <c r="J50" t="s">
        <v>184</v>
      </c>
    </row>
    <row r="51" spans="1:10" x14ac:dyDescent="0.25">
      <c r="A51" s="23">
        <v>62714126</v>
      </c>
      <c r="B51" s="23" t="s">
        <v>181</v>
      </c>
      <c r="C51" s="23">
        <v>2600</v>
      </c>
      <c r="D51" s="25">
        <v>46095</v>
      </c>
      <c r="E51" s="23" t="s">
        <v>182</v>
      </c>
      <c r="F51" s="23">
        <v>1419</v>
      </c>
      <c r="G51" t="s">
        <v>183</v>
      </c>
      <c r="H51" t="s">
        <v>184</v>
      </c>
      <c r="I51" t="s">
        <v>183</v>
      </c>
      <c r="J51" t="s">
        <v>184</v>
      </c>
    </row>
    <row r="52" spans="1:10" x14ac:dyDescent="0.25">
      <c r="A52" s="23">
        <v>62714126</v>
      </c>
      <c r="B52" s="23" t="s">
        <v>181</v>
      </c>
      <c r="C52" s="23">
        <v>2600</v>
      </c>
      <c r="D52" s="25">
        <v>46095</v>
      </c>
      <c r="E52" s="23" t="s">
        <v>182</v>
      </c>
      <c r="F52" s="23">
        <v>1419</v>
      </c>
      <c r="G52" t="s">
        <v>183</v>
      </c>
      <c r="H52" t="s">
        <v>184</v>
      </c>
      <c r="I52" t="s">
        <v>183</v>
      </c>
      <c r="J52" t="s">
        <v>184</v>
      </c>
    </row>
    <row r="53" spans="1:10" x14ac:dyDescent="0.25">
      <c r="A53" s="23">
        <v>64776958</v>
      </c>
      <c r="B53" s="23" t="s">
        <v>181</v>
      </c>
      <c r="C53" s="23">
        <v>2600</v>
      </c>
      <c r="D53" s="25">
        <v>46095</v>
      </c>
      <c r="E53" s="23" t="s">
        <v>71</v>
      </c>
      <c r="F53" s="23">
        <v>1419</v>
      </c>
      <c r="G53" t="s">
        <v>183</v>
      </c>
      <c r="H53" t="s">
        <v>184</v>
      </c>
      <c r="I53" t="s">
        <v>183</v>
      </c>
      <c r="J53" t="s">
        <v>184</v>
      </c>
    </row>
    <row r="54" spans="1:10" x14ac:dyDescent="0.25">
      <c r="A54" s="23">
        <v>64776958</v>
      </c>
      <c r="B54" s="23" t="s">
        <v>181</v>
      </c>
      <c r="C54" s="23">
        <v>2600</v>
      </c>
      <c r="D54" s="25">
        <v>46095</v>
      </c>
      <c r="E54" s="23" t="s">
        <v>71</v>
      </c>
      <c r="F54" s="23">
        <v>1419</v>
      </c>
      <c r="G54" t="s">
        <v>183</v>
      </c>
      <c r="H54" t="s">
        <v>184</v>
      </c>
      <c r="I54" t="s">
        <v>183</v>
      </c>
      <c r="J54" t="s">
        <v>184</v>
      </c>
    </row>
    <row r="55" spans="1:10" x14ac:dyDescent="0.25">
      <c r="A55" s="23">
        <v>64776958</v>
      </c>
      <c r="B55" s="23" t="s">
        <v>181</v>
      </c>
      <c r="C55" s="23">
        <v>2600</v>
      </c>
      <c r="D55" s="25">
        <v>46095</v>
      </c>
      <c r="E55" s="23" t="s">
        <v>71</v>
      </c>
      <c r="F55" s="23">
        <v>1419</v>
      </c>
      <c r="G55" t="s">
        <v>183</v>
      </c>
      <c r="H55" t="s">
        <v>184</v>
      </c>
      <c r="I55" t="s">
        <v>183</v>
      </c>
      <c r="J55" t="s">
        <v>184</v>
      </c>
    </row>
    <row r="56" spans="1:10" x14ac:dyDescent="0.25">
      <c r="A56" s="23">
        <v>64776958</v>
      </c>
      <c r="B56" s="23" t="s">
        <v>181</v>
      </c>
      <c r="C56" s="23">
        <v>2600</v>
      </c>
      <c r="D56" s="25">
        <v>46095</v>
      </c>
      <c r="E56" s="23" t="s">
        <v>71</v>
      </c>
      <c r="F56" s="23">
        <v>1419</v>
      </c>
      <c r="G56" t="s">
        <v>183</v>
      </c>
      <c r="H56" t="s">
        <v>184</v>
      </c>
      <c r="I56" t="s">
        <v>183</v>
      </c>
      <c r="J56" t="s">
        <v>184</v>
      </c>
    </row>
    <row r="57" spans="1:10" x14ac:dyDescent="0.25">
      <c r="A57" s="23">
        <v>64776958</v>
      </c>
      <c r="B57" s="23" t="s">
        <v>181</v>
      </c>
      <c r="C57" s="23">
        <v>2600</v>
      </c>
      <c r="D57" s="25">
        <v>46095</v>
      </c>
      <c r="E57" s="23" t="s">
        <v>71</v>
      </c>
      <c r="F57" s="23">
        <v>1419</v>
      </c>
      <c r="G57" t="s">
        <v>183</v>
      </c>
      <c r="H57" t="s">
        <v>184</v>
      </c>
      <c r="I57" t="s">
        <v>183</v>
      </c>
      <c r="J57" t="s">
        <v>184</v>
      </c>
    </row>
    <row r="58" spans="1:10" x14ac:dyDescent="0.25">
      <c r="A58" s="23">
        <v>64776958</v>
      </c>
      <c r="B58" s="23" t="s">
        <v>181</v>
      </c>
      <c r="C58" s="23">
        <v>2600</v>
      </c>
      <c r="D58" s="25">
        <v>46095</v>
      </c>
      <c r="E58" s="23" t="s">
        <v>71</v>
      </c>
      <c r="F58" s="23">
        <v>1419</v>
      </c>
      <c r="G58" t="s">
        <v>183</v>
      </c>
      <c r="H58" t="s">
        <v>184</v>
      </c>
      <c r="I58" t="s">
        <v>183</v>
      </c>
      <c r="J58" t="s">
        <v>184</v>
      </c>
    </row>
    <row r="59" spans="1:10" x14ac:dyDescent="0.25">
      <c r="A59" s="23">
        <v>64776958</v>
      </c>
      <c r="B59" s="23" t="s">
        <v>181</v>
      </c>
      <c r="C59" s="23">
        <v>2600</v>
      </c>
      <c r="D59" s="25">
        <v>46095</v>
      </c>
      <c r="E59" s="23" t="s">
        <v>71</v>
      </c>
      <c r="F59" s="23">
        <v>1419</v>
      </c>
      <c r="G59" t="s">
        <v>183</v>
      </c>
      <c r="H59" t="s">
        <v>184</v>
      </c>
      <c r="I59" t="s">
        <v>183</v>
      </c>
      <c r="J59" t="s">
        <v>184</v>
      </c>
    </row>
    <row r="60" spans="1:10" x14ac:dyDescent="0.25">
      <c r="A60" s="23">
        <v>64833353</v>
      </c>
      <c r="B60" s="23" t="s">
        <v>181</v>
      </c>
      <c r="C60" s="23">
        <v>2600</v>
      </c>
      <c r="D60" s="25">
        <v>46097</v>
      </c>
      <c r="E60" s="23" t="s">
        <v>195</v>
      </c>
      <c r="F60" s="23">
        <v>3989</v>
      </c>
      <c r="G60" t="s">
        <v>183</v>
      </c>
      <c r="H60" t="s">
        <v>184</v>
      </c>
      <c r="I60" t="s">
        <v>183</v>
      </c>
      <c r="J60" t="s">
        <v>184</v>
      </c>
    </row>
    <row r="61" spans="1:10" x14ac:dyDescent="0.25">
      <c r="A61" s="23">
        <v>62714126</v>
      </c>
      <c r="B61" s="23" t="s">
        <v>181</v>
      </c>
      <c r="C61" s="23">
        <v>2600</v>
      </c>
      <c r="D61" s="25">
        <v>46097</v>
      </c>
      <c r="E61" s="23" t="s">
        <v>182</v>
      </c>
      <c r="F61" s="23">
        <v>1419</v>
      </c>
      <c r="G61" t="s">
        <v>183</v>
      </c>
      <c r="H61" t="s">
        <v>184</v>
      </c>
      <c r="I61" t="s">
        <v>183</v>
      </c>
      <c r="J61" t="s">
        <v>184</v>
      </c>
    </row>
    <row r="62" spans="1:10" x14ac:dyDescent="0.25">
      <c r="A62" s="23">
        <v>64776958</v>
      </c>
      <c r="B62" s="23" t="s">
        <v>181</v>
      </c>
      <c r="C62" s="23">
        <v>2600</v>
      </c>
      <c r="D62" s="25">
        <v>46097</v>
      </c>
      <c r="E62" s="23" t="s">
        <v>71</v>
      </c>
      <c r="F62" s="23">
        <v>1419</v>
      </c>
      <c r="G62" t="s">
        <v>183</v>
      </c>
      <c r="H62" t="s">
        <v>184</v>
      </c>
      <c r="I62" t="s">
        <v>183</v>
      </c>
      <c r="J62" t="s">
        <v>184</v>
      </c>
    </row>
    <row r="63" spans="1:10" x14ac:dyDescent="0.25">
      <c r="A63" s="23">
        <v>62714126</v>
      </c>
      <c r="B63" s="23" t="s">
        <v>181</v>
      </c>
      <c r="C63" s="23">
        <v>2600</v>
      </c>
      <c r="D63" s="25">
        <v>46098</v>
      </c>
      <c r="E63" s="23" t="s">
        <v>182</v>
      </c>
      <c r="F63" s="23">
        <v>1419</v>
      </c>
      <c r="G63" t="s">
        <v>183</v>
      </c>
      <c r="H63" t="s">
        <v>184</v>
      </c>
      <c r="I63" t="s">
        <v>183</v>
      </c>
      <c r="J63" t="s">
        <v>184</v>
      </c>
    </row>
    <row r="64" spans="1:10" x14ac:dyDescent="0.25">
      <c r="A64" s="23">
        <v>62714126</v>
      </c>
      <c r="B64" s="23" t="s">
        <v>181</v>
      </c>
      <c r="C64" s="23">
        <v>2600</v>
      </c>
      <c r="D64" s="25">
        <v>46098</v>
      </c>
      <c r="E64" s="23" t="s">
        <v>182</v>
      </c>
      <c r="F64" s="23">
        <v>1419</v>
      </c>
      <c r="G64" t="s">
        <v>183</v>
      </c>
      <c r="H64" t="s">
        <v>184</v>
      </c>
      <c r="I64" t="s">
        <v>183</v>
      </c>
      <c r="J64" t="s">
        <v>184</v>
      </c>
    </row>
    <row r="65" spans="1:10" x14ac:dyDescent="0.25">
      <c r="A65" s="23">
        <v>62714126</v>
      </c>
      <c r="B65" s="23" t="s">
        <v>181</v>
      </c>
      <c r="C65" s="23">
        <v>2600</v>
      </c>
      <c r="D65" s="25">
        <v>46098</v>
      </c>
      <c r="E65" s="23" t="s">
        <v>182</v>
      </c>
      <c r="F65" s="23">
        <v>1419</v>
      </c>
      <c r="G65" t="s">
        <v>183</v>
      </c>
      <c r="H65" t="s">
        <v>184</v>
      </c>
      <c r="I65" t="s">
        <v>183</v>
      </c>
      <c r="J65" t="s">
        <v>184</v>
      </c>
    </row>
    <row r="66" spans="1:10" x14ac:dyDescent="0.25">
      <c r="A66" s="23">
        <v>64833353</v>
      </c>
      <c r="B66" s="23" t="s">
        <v>181</v>
      </c>
      <c r="C66" s="23">
        <v>2600</v>
      </c>
      <c r="D66" s="25">
        <v>46098</v>
      </c>
      <c r="E66" s="23" t="s">
        <v>195</v>
      </c>
      <c r="F66" s="23">
        <v>1419</v>
      </c>
      <c r="G66" t="s">
        <v>183</v>
      </c>
      <c r="H66" t="s">
        <v>184</v>
      </c>
      <c r="I66" t="s">
        <v>183</v>
      </c>
      <c r="J66" t="s">
        <v>184</v>
      </c>
    </row>
    <row r="67" spans="1:10" x14ac:dyDescent="0.25">
      <c r="A67" s="23">
        <v>64833353</v>
      </c>
      <c r="B67" s="23" t="s">
        <v>181</v>
      </c>
      <c r="C67" s="23">
        <v>2600</v>
      </c>
      <c r="D67" s="25">
        <v>46099</v>
      </c>
      <c r="E67" s="23" t="s">
        <v>195</v>
      </c>
      <c r="F67" s="23">
        <v>3989</v>
      </c>
      <c r="G67" t="s">
        <v>183</v>
      </c>
      <c r="H67" t="s">
        <v>184</v>
      </c>
      <c r="I67" t="s">
        <v>183</v>
      </c>
      <c r="J67" t="s">
        <v>184</v>
      </c>
    </row>
    <row r="68" spans="1:10" x14ac:dyDescent="0.25">
      <c r="A68" s="23">
        <v>62714126</v>
      </c>
      <c r="B68" s="23" t="s">
        <v>181</v>
      </c>
      <c r="C68" s="23">
        <v>2600</v>
      </c>
      <c r="D68" s="25">
        <v>46099</v>
      </c>
      <c r="E68" s="23" t="s">
        <v>182</v>
      </c>
      <c r="F68" s="23">
        <v>3989</v>
      </c>
      <c r="G68" t="s">
        <v>183</v>
      </c>
      <c r="H68" t="s">
        <v>184</v>
      </c>
      <c r="I68" t="s">
        <v>183</v>
      </c>
      <c r="J68" t="s">
        <v>184</v>
      </c>
    </row>
    <row r="69" spans="1:10" x14ac:dyDescent="0.25">
      <c r="A69" s="23">
        <v>62714126</v>
      </c>
      <c r="B69" s="23" t="s">
        <v>181</v>
      </c>
      <c r="C69" s="23">
        <v>2600</v>
      </c>
      <c r="D69" s="25">
        <v>46099</v>
      </c>
      <c r="E69" s="23" t="s">
        <v>182</v>
      </c>
      <c r="F69" s="23">
        <v>3989</v>
      </c>
      <c r="G69" t="s">
        <v>183</v>
      </c>
      <c r="H69" t="s">
        <v>184</v>
      </c>
      <c r="I69" t="s">
        <v>183</v>
      </c>
      <c r="J69" t="s">
        <v>184</v>
      </c>
    </row>
    <row r="70" spans="1:10" x14ac:dyDescent="0.25">
      <c r="A70" s="23">
        <v>62714126</v>
      </c>
      <c r="B70" s="23" t="s">
        <v>181</v>
      </c>
      <c r="C70" s="23">
        <v>2600</v>
      </c>
      <c r="D70" s="25">
        <v>46099</v>
      </c>
      <c r="E70" s="23" t="s">
        <v>182</v>
      </c>
      <c r="F70" s="23">
        <v>3989</v>
      </c>
      <c r="G70" t="s">
        <v>183</v>
      </c>
      <c r="H70" t="s">
        <v>184</v>
      </c>
      <c r="I70" t="s">
        <v>183</v>
      </c>
      <c r="J70" t="s">
        <v>184</v>
      </c>
    </row>
    <row r="71" spans="1:10" x14ac:dyDescent="0.25">
      <c r="A71" s="23">
        <v>62714126</v>
      </c>
      <c r="B71" s="23" t="s">
        <v>181</v>
      </c>
      <c r="C71" s="23">
        <v>2600</v>
      </c>
      <c r="D71" s="25">
        <v>46099</v>
      </c>
      <c r="E71" s="23" t="s">
        <v>182</v>
      </c>
      <c r="F71" s="23">
        <v>1419</v>
      </c>
      <c r="G71" t="s">
        <v>183</v>
      </c>
      <c r="H71" t="s">
        <v>184</v>
      </c>
      <c r="I71" t="s">
        <v>183</v>
      </c>
      <c r="J71" t="s">
        <v>184</v>
      </c>
    </row>
    <row r="72" spans="1:10" x14ac:dyDescent="0.25">
      <c r="A72" s="23">
        <v>62714126</v>
      </c>
      <c r="B72" s="23" t="s">
        <v>181</v>
      </c>
      <c r="C72" s="23">
        <v>2600</v>
      </c>
      <c r="D72" s="25">
        <v>46099</v>
      </c>
      <c r="E72" s="23" t="s">
        <v>182</v>
      </c>
      <c r="F72" s="23">
        <v>1419</v>
      </c>
      <c r="G72" t="s">
        <v>183</v>
      </c>
      <c r="H72" t="s">
        <v>184</v>
      </c>
      <c r="I72" t="s">
        <v>183</v>
      </c>
      <c r="J72" t="s">
        <v>184</v>
      </c>
    </row>
    <row r="73" spans="1:10" x14ac:dyDescent="0.25">
      <c r="A73" s="23">
        <v>64833353</v>
      </c>
      <c r="B73" s="23" t="s">
        <v>181</v>
      </c>
      <c r="C73" s="23">
        <v>2600</v>
      </c>
      <c r="D73" s="25">
        <v>46099</v>
      </c>
      <c r="E73" s="23" t="s">
        <v>195</v>
      </c>
      <c r="F73" s="23">
        <v>1419</v>
      </c>
      <c r="G73" t="s">
        <v>183</v>
      </c>
      <c r="H73" t="s">
        <v>184</v>
      </c>
      <c r="I73" t="s">
        <v>183</v>
      </c>
      <c r="J73" t="s">
        <v>184</v>
      </c>
    </row>
    <row r="74" spans="1:10" x14ac:dyDescent="0.25">
      <c r="A74" s="23">
        <v>64833353</v>
      </c>
      <c r="B74" s="23" t="s">
        <v>181</v>
      </c>
      <c r="C74" s="23">
        <v>2600</v>
      </c>
      <c r="D74" s="25">
        <v>46099</v>
      </c>
      <c r="E74" s="23" t="s">
        <v>195</v>
      </c>
      <c r="F74" s="23">
        <v>1419</v>
      </c>
      <c r="G74" t="s">
        <v>183</v>
      </c>
      <c r="H74" t="s">
        <v>184</v>
      </c>
      <c r="I74" t="s">
        <v>183</v>
      </c>
      <c r="J74" t="s">
        <v>184</v>
      </c>
    </row>
    <row r="75" spans="1:10" x14ac:dyDescent="0.25">
      <c r="A75" s="23">
        <v>62714126</v>
      </c>
      <c r="B75" s="23" t="s">
        <v>181</v>
      </c>
      <c r="C75" s="23">
        <v>2600</v>
      </c>
      <c r="D75" s="25">
        <v>46099</v>
      </c>
      <c r="E75" s="23" t="s">
        <v>182</v>
      </c>
      <c r="F75" s="23">
        <v>1419</v>
      </c>
      <c r="G75" t="s">
        <v>183</v>
      </c>
      <c r="H75" t="s">
        <v>184</v>
      </c>
      <c r="I75" t="s">
        <v>183</v>
      </c>
      <c r="J75" t="s">
        <v>184</v>
      </c>
    </row>
    <row r="76" spans="1:10" x14ac:dyDescent="0.25">
      <c r="A76" s="23">
        <v>62714126</v>
      </c>
      <c r="B76" s="23" t="s">
        <v>181</v>
      </c>
      <c r="C76" s="23">
        <v>2600</v>
      </c>
      <c r="D76" s="25">
        <v>46099</v>
      </c>
      <c r="E76" s="23" t="s">
        <v>182</v>
      </c>
      <c r="F76" s="23">
        <v>1419</v>
      </c>
      <c r="G76" t="s">
        <v>183</v>
      </c>
      <c r="H76" t="s">
        <v>184</v>
      </c>
      <c r="I76" t="s">
        <v>183</v>
      </c>
      <c r="J76" t="s">
        <v>184</v>
      </c>
    </row>
    <row r="77" spans="1:10" x14ac:dyDescent="0.25">
      <c r="A77" s="23">
        <v>62714126</v>
      </c>
      <c r="B77" s="23" t="s">
        <v>181</v>
      </c>
      <c r="C77" s="23">
        <v>2600</v>
      </c>
      <c r="D77" s="25">
        <v>46100</v>
      </c>
      <c r="E77" s="23" t="s">
        <v>182</v>
      </c>
      <c r="F77" s="23">
        <v>1419</v>
      </c>
      <c r="G77" t="s">
        <v>183</v>
      </c>
      <c r="H77" t="s">
        <v>184</v>
      </c>
      <c r="I77" t="s">
        <v>183</v>
      </c>
      <c r="J77" t="s">
        <v>184</v>
      </c>
    </row>
    <row r="78" spans="1:10" x14ac:dyDescent="0.25">
      <c r="A78" s="23">
        <v>62714126</v>
      </c>
      <c r="B78" s="23" t="s">
        <v>181</v>
      </c>
      <c r="C78" s="23">
        <v>2600</v>
      </c>
      <c r="D78" s="25">
        <v>46100</v>
      </c>
      <c r="E78" s="23" t="s">
        <v>182</v>
      </c>
      <c r="F78" s="23">
        <v>1419</v>
      </c>
      <c r="G78" t="s">
        <v>183</v>
      </c>
      <c r="H78" t="s">
        <v>184</v>
      </c>
      <c r="I78" t="s">
        <v>183</v>
      </c>
      <c r="J78" t="s">
        <v>184</v>
      </c>
    </row>
    <row r="79" spans="1:10" x14ac:dyDescent="0.25">
      <c r="A79" s="23">
        <v>62714126</v>
      </c>
      <c r="B79" s="23" t="s">
        <v>181</v>
      </c>
      <c r="C79" s="23">
        <v>2600</v>
      </c>
      <c r="D79" s="25">
        <v>46101</v>
      </c>
      <c r="E79" s="23" t="s">
        <v>182</v>
      </c>
      <c r="F79" s="23">
        <v>3989</v>
      </c>
      <c r="G79" t="s">
        <v>183</v>
      </c>
      <c r="H79" t="s">
        <v>184</v>
      </c>
      <c r="I79" t="s">
        <v>183</v>
      </c>
      <c r="J79" t="s">
        <v>184</v>
      </c>
    </row>
    <row r="80" spans="1:10" x14ac:dyDescent="0.25">
      <c r="A80" s="23">
        <v>64833353</v>
      </c>
      <c r="B80" s="23" t="s">
        <v>181</v>
      </c>
      <c r="C80" s="23">
        <v>2600</v>
      </c>
      <c r="D80" s="25">
        <v>46101</v>
      </c>
      <c r="E80" s="23" t="s">
        <v>195</v>
      </c>
      <c r="F80" s="23">
        <v>3989</v>
      </c>
      <c r="G80" t="s">
        <v>183</v>
      </c>
      <c r="H80" t="s">
        <v>184</v>
      </c>
      <c r="I80" t="s">
        <v>183</v>
      </c>
      <c r="J80" t="s">
        <v>184</v>
      </c>
    </row>
    <row r="81" spans="1:10" x14ac:dyDescent="0.25">
      <c r="A81" s="23">
        <v>64833353</v>
      </c>
      <c r="B81" s="23" t="s">
        <v>181</v>
      </c>
      <c r="C81" s="23">
        <v>2600</v>
      </c>
      <c r="D81" s="25">
        <v>46101</v>
      </c>
      <c r="E81" s="23" t="s">
        <v>195</v>
      </c>
      <c r="F81" s="23">
        <v>3989</v>
      </c>
      <c r="G81" t="s">
        <v>183</v>
      </c>
      <c r="H81" t="s">
        <v>184</v>
      </c>
      <c r="I81" t="s">
        <v>183</v>
      </c>
      <c r="J81" t="s">
        <v>184</v>
      </c>
    </row>
    <row r="82" spans="1:10" x14ac:dyDescent="0.25">
      <c r="A82" s="23">
        <v>62714126</v>
      </c>
      <c r="B82" s="23" t="s">
        <v>181</v>
      </c>
      <c r="C82" s="23">
        <v>2600</v>
      </c>
      <c r="D82" s="25">
        <v>46101</v>
      </c>
      <c r="E82" s="23" t="s">
        <v>182</v>
      </c>
      <c r="F82" s="23">
        <v>3989</v>
      </c>
      <c r="G82" t="s">
        <v>183</v>
      </c>
      <c r="H82" t="s">
        <v>184</v>
      </c>
      <c r="I82" t="s">
        <v>183</v>
      </c>
      <c r="J82" t="s">
        <v>184</v>
      </c>
    </row>
    <row r="83" spans="1:10" x14ac:dyDescent="0.25">
      <c r="A83" s="23">
        <v>62714126</v>
      </c>
      <c r="B83" s="23" t="s">
        <v>181</v>
      </c>
      <c r="C83" s="23">
        <v>2600</v>
      </c>
      <c r="D83" s="25">
        <v>46101</v>
      </c>
      <c r="E83" s="23" t="s">
        <v>182</v>
      </c>
      <c r="F83" s="23">
        <v>3989</v>
      </c>
      <c r="G83" t="s">
        <v>183</v>
      </c>
      <c r="H83" t="s">
        <v>184</v>
      </c>
      <c r="I83" t="s">
        <v>183</v>
      </c>
      <c r="J83" t="s">
        <v>184</v>
      </c>
    </row>
    <row r="84" spans="1:10" x14ac:dyDescent="0.25">
      <c r="A84" s="23">
        <v>62714126</v>
      </c>
      <c r="B84" s="23" t="s">
        <v>181</v>
      </c>
      <c r="C84" s="23">
        <v>2600</v>
      </c>
      <c r="D84" s="25">
        <v>46101</v>
      </c>
      <c r="E84" s="23" t="s">
        <v>182</v>
      </c>
      <c r="F84" s="23">
        <v>1419</v>
      </c>
      <c r="G84" t="s">
        <v>183</v>
      </c>
      <c r="H84" t="s">
        <v>184</v>
      </c>
      <c r="I84" t="s">
        <v>183</v>
      </c>
      <c r="J84" t="s">
        <v>184</v>
      </c>
    </row>
    <row r="85" spans="1:10" x14ac:dyDescent="0.25">
      <c r="A85" s="23">
        <v>64833353</v>
      </c>
      <c r="B85" s="23" t="s">
        <v>181</v>
      </c>
      <c r="C85" s="23">
        <v>2600</v>
      </c>
      <c r="D85" s="25">
        <v>46101</v>
      </c>
      <c r="E85" s="23" t="s">
        <v>195</v>
      </c>
      <c r="F85" s="23">
        <v>3989</v>
      </c>
      <c r="G85" t="s">
        <v>183</v>
      </c>
      <c r="H85" t="s">
        <v>184</v>
      </c>
      <c r="I85" t="s">
        <v>183</v>
      </c>
      <c r="J85" t="s">
        <v>184</v>
      </c>
    </row>
    <row r="86" spans="1:10" x14ac:dyDescent="0.25">
      <c r="A86" s="23">
        <v>62714126</v>
      </c>
      <c r="B86" s="23" t="s">
        <v>181</v>
      </c>
      <c r="C86" s="23">
        <v>2600</v>
      </c>
      <c r="D86" s="25">
        <v>46101</v>
      </c>
      <c r="E86" s="23" t="s">
        <v>182</v>
      </c>
      <c r="F86" s="23">
        <v>1419</v>
      </c>
      <c r="G86" t="s">
        <v>183</v>
      </c>
      <c r="H86" t="s">
        <v>184</v>
      </c>
      <c r="I86" t="s">
        <v>183</v>
      </c>
      <c r="J86" t="s">
        <v>184</v>
      </c>
    </row>
    <row r="87" spans="1:10" x14ac:dyDescent="0.25">
      <c r="A87" s="23">
        <v>62714126</v>
      </c>
      <c r="B87" s="23" t="s">
        <v>181</v>
      </c>
      <c r="C87" s="23">
        <v>2600</v>
      </c>
      <c r="D87" s="25">
        <v>46101</v>
      </c>
      <c r="E87" s="23" t="s">
        <v>182</v>
      </c>
      <c r="F87" s="23">
        <v>1419</v>
      </c>
      <c r="G87" t="s">
        <v>183</v>
      </c>
      <c r="H87" t="s">
        <v>184</v>
      </c>
      <c r="I87" t="s">
        <v>183</v>
      </c>
      <c r="J87" t="s">
        <v>184</v>
      </c>
    </row>
    <row r="88" spans="1:10" x14ac:dyDescent="0.25">
      <c r="A88" s="23">
        <v>62714126</v>
      </c>
      <c r="B88" s="23" t="s">
        <v>181</v>
      </c>
      <c r="C88" s="23">
        <v>2600</v>
      </c>
      <c r="D88" s="25">
        <v>46101</v>
      </c>
      <c r="E88" s="23" t="s">
        <v>182</v>
      </c>
      <c r="F88" s="23">
        <v>1419</v>
      </c>
      <c r="G88" t="s">
        <v>183</v>
      </c>
      <c r="H88" t="s">
        <v>184</v>
      </c>
      <c r="I88" t="s">
        <v>183</v>
      </c>
      <c r="J88" t="s">
        <v>184</v>
      </c>
    </row>
    <row r="89" spans="1:10" x14ac:dyDescent="0.25">
      <c r="A89" s="23">
        <v>62714126</v>
      </c>
      <c r="B89" s="23" t="s">
        <v>181</v>
      </c>
      <c r="C89" s="23">
        <v>2600</v>
      </c>
      <c r="D89" s="25">
        <v>46101</v>
      </c>
      <c r="E89" s="23" t="s">
        <v>182</v>
      </c>
      <c r="F89" s="23">
        <v>1419</v>
      </c>
      <c r="G89" t="s">
        <v>183</v>
      </c>
      <c r="H89" t="s">
        <v>184</v>
      </c>
      <c r="I89" t="s">
        <v>183</v>
      </c>
      <c r="J89" t="s">
        <v>184</v>
      </c>
    </row>
    <row r="90" spans="1:10" x14ac:dyDescent="0.25">
      <c r="A90" s="23">
        <v>62714126</v>
      </c>
      <c r="B90" s="23" t="s">
        <v>181</v>
      </c>
      <c r="C90" s="23">
        <v>2600</v>
      </c>
      <c r="D90" s="25">
        <v>46104</v>
      </c>
      <c r="E90" s="23" t="s">
        <v>182</v>
      </c>
      <c r="F90" s="23">
        <v>3989</v>
      </c>
      <c r="G90" t="s">
        <v>183</v>
      </c>
      <c r="H90" t="s">
        <v>184</v>
      </c>
      <c r="I90" t="s">
        <v>183</v>
      </c>
      <c r="J90" t="s">
        <v>184</v>
      </c>
    </row>
    <row r="91" spans="1:10" x14ac:dyDescent="0.25">
      <c r="A91" s="23">
        <v>62714126</v>
      </c>
      <c r="B91" s="23" t="s">
        <v>181</v>
      </c>
      <c r="C91" s="23">
        <v>2600</v>
      </c>
      <c r="D91" s="25">
        <v>46104</v>
      </c>
      <c r="E91" s="23" t="s">
        <v>182</v>
      </c>
      <c r="F91" s="23">
        <v>3989</v>
      </c>
      <c r="G91" t="s">
        <v>183</v>
      </c>
      <c r="H91" t="s">
        <v>184</v>
      </c>
      <c r="I91" t="s">
        <v>183</v>
      </c>
      <c r="J91" t="s">
        <v>184</v>
      </c>
    </row>
    <row r="92" spans="1:10" x14ac:dyDescent="0.25">
      <c r="A92" s="23">
        <v>64833353</v>
      </c>
      <c r="B92" s="23" t="s">
        <v>181</v>
      </c>
      <c r="C92" s="23">
        <v>2600</v>
      </c>
      <c r="D92" s="25">
        <v>46104</v>
      </c>
      <c r="E92" s="23" t="s">
        <v>195</v>
      </c>
      <c r="F92" s="23">
        <v>3989</v>
      </c>
      <c r="G92" t="s">
        <v>183</v>
      </c>
      <c r="H92" t="s">
        <v>184</v>
      </c>
      <c r="I92" t="s">
        <v>183</v>
      </c>
      <c r="J92" t="s">
        <v>184</v>
      </c>
    </row>
    <row r="93" spans="1:10" x14ac:dyDescent="0.25">
      <c r="A93" s="23">
        <v>64833353</v>
      </c>
      <c r="B93" s="23" t="s">
        <v>181</v>
      </c>
      <c r="C93" s="23">
        <v>2600</v>
      </c>
      <c r="D93" s="25">
        <v>46104</v>
      </c>
      <c r="E93" s="23" t="s">
        <v>195</v>
      </c>
      <c r="F93" s="23">
        <v>3989</v>
      </c>
      <c r="G93" t="s">
        <v>183</v>
      </c>
      <c r="H93" t="s">
        <v>184</v>
      </c>
      <c r="I93" t="s">
        <v>183</v>
      </c>
      <c r="J93" t="s">
        <v>184</v>
      </c>
    </row>
    <row r="94" spans="1:10" x14ac:dyDescent="0.25">
      <c r="A94" s="23">
        <v>64833353</v>
      </c>
      <c r="B94" s="23" t="s">
        <v>181</v>
      </c>
      <c r="C94" s="23">
        <v>2600</v>
      </c>
      <c r="D94" s="25">
        <v>46104</v>
      </c>
      <c r="E94" s="23" t="s">
        <v>195</v>
      </c>
      <c r="F94" s="23">
        <v>3989</v>
      </c>
      <c r="G94" t="s">
        <v>183</v>
      </c>
      <c r="H94" t="s">
        <v>184</v>
      </c>
      <c r="I94" t="s">
        <v>183</v>
      </c>
      <c r="J94" t="s">
        <v>184</v>
      </c>
    </row>
    <row r="95" spans="1:10" x14ac:dyDescent="0.25">
      <c r="A95" s="23">
        <v>62714126</v>
      </c>
      <c r="B95" s="23" t="s">
        <v>181</v>
      </c>
      <c r="C95" s="23">
        <v>2600</v>
      </c>
      <c r="D95" s="25">
        <v>46104</v>
      </c>
      <c r="E95" s="23" t="s">
        <v>182</v>
      </c>
      <c r="F95" s="23">
        <v>3989</v>
      </c>
      <c r="G95" t="s">
        <v>183</v>
      </c>
      <c r="H95" t="s">
        <v>184</v>
      </c>
      <c r="I95" t="s">
        <v>183</v>
      </c>
      <c r="J95" t="s">
        <v>184</v>
      </c>
    </row>
    <row r="96" spans="1:10" x14ac:dyDescent="0.25">
      <c r="A96" s="23">
        <v>64833353</v>
      </c>
      <c r="B96" s="23" t="s">
        <v>181</v>
      </c>
      <c r="C96" s="23">
        <v>2600</v>
      </c>
      <c r="D96" s="25">
        <v>46104</v>
      </c>
      <c r="E96" s="23" t="s">
        <v>195</v>
      </c>
      <c r="F96" s="23">
        <v>3989</v>
      </c>
      <c r="G96" t="s">
        <v>183</v>
      </c>
      <c r="H96" t="s">
        <v>184</v>
      </c>
      <c r="I96" t="s">
        <v>183</v>
      </c>
      <c r="J96" t="s">
        <v>184</v>
      </c>
    </row>
    <row r="97" spans="1:10" x14ac:dyDescent="0.25">
      <c r="A97" s="23">
        <v>62714126</v>
      </c>
      <c r="B97" s="23" t="s">
        <v>181</v>
      </c>
      <c r="C97" s="23">
        <v>2600</v>
      </c>
      <c r="D97" s="25">
        <v>46104</v>
      </c>
      <c r="E97" s="23" t="s">
        <v>182</v>
      </c>
      <c r="F97" s="23">
        <v>1419</v>
      </c>
      <c r="G97" t="s">
        <v>183</v>
      </c>
      <c r="H97" t="s">
        <v>184</v>
      </c>
      <c r="I97" t="s">
        <v>183</v>
      </c>
      <c r="J97" t="s">
        <v>184</v>
      </c>
    </row>
    <row r="98" spans="1:10" x14ac:dyDescent="0.25">
      <c r="A98" s="23">
        <v>62714126</v>
      </c>
      <c r="B98" s="23" t="s">
        <v>181</v>
      </c>
      <c r="C98" s="23">
        <v>2600</v>
      </c>
      <c r="D98" s="25">
        <v>46104</v>
      </c>
      <c r="E98" s="23" t="s">
        <v>182</v>
      </c>
      <c r="F98" s="23">
        <v>1419</v>
      </c>
      <c r="G98" t="s">
        <v>183</v>
      </c>
      <c r="H98" t="s">
        <v>184</v>
      </c>
      <c r="I98" t="s">
        <v>183</v>
      </c>
      <c r="J98" t="s">
        <v>184</v>
      </c>
    </row>
    <row r="99" spans="1:10" x14ac:dyDescent="0.25">
      <c r="A99" s="23">
        <v>62714126</v>
      </c>
      <c r="B99" s="23" t="s">
        <v>181</v>
      </c>
      <c r="C99" s="23">
        <v>2600</v>
      </c>
      <c r="D99" s="25">
        <v>46104</v>
      </c>
      <c r="E99" s="23" t="s">
        <v>182</v>
      </c>
      <c r="F99" s="23">
        <v>1419</v>
      </c>
      <c r="G99" t="s">
        <v>183</v>
      </c>
      <c r="H99" t="s">
        <v>184</v>
      </c>
      <c r="I99" t="s">
        <v>183</v>
      </c>
      <c r="J99" t="s">
        <v>184</v>
      </c>
    </row>
    <row r="100" spans="1:10" x14ac:dyDescent="0.25">
      <c r="A100" s="23">
        <v>64958862</v>
      </c>
      <c r="B100" s="23" t="s">
        <v>181</v>
      </c>
      <c r="C100" s="23">
        <v>3400</v>
      </c>
      <c r="D100" s="25">
        <v>46104</v>
      </c>
      <c r="E100" s="23" t="s">
        <v>1005</v>
      </c>
      <c r="F100" s="23">
        <v>1419</v>
      </c>
      <c r="G100" t="s">
        <v>183</v>
      </c>
      <c r="H100" t="s">
        <v>184</v>
      </c>
      <c r="I100" t="s">
        <v>183</v>
      </c>
      <c r="J100" t="s">
        <v>184</v>
      </c>
    </row>
    <row r="101" spans="1:10" x14ac:dyDescent="0.25">
      <c r="A101" s="23">
        <v>64833353</v>
      </c>
      <c r="B101" s="23" t="s">
        <v>181</v>
      </c>
      <c r="C101" s="23">
        <v>2600</v>
      </c>
      <c r="D101" s="25">
        <v>46105</v>
      </c>
      <c r="E101" s="23" t="s">
        <v>195</v>
      </c>
      <c r="F101" s="23">
        <v>3989</v>
      </c>
      <c r="G101" t="s">
        <v>183</v>
      </c>
      <c r="H101" t="s">
        <v>184</v>
      </c>
      <c r="I101" t="s">
        <v>183</v>
      </c>
      <c r="J101" t="s">
        <v>184</v>
      </c>
    </row>
    <row r="102" spans="1:10" x14ac:dyDescent="0.25">
      <c r="A102" s="23">
        <v>64833353</v>
      </c>
      <c r="B102" s="23" t="s">
        <v>181</v>
      </c>
      <c r="C102" s="23">
        <v>2600</v>
      </c>
      <c r="D102" s="25">
        <v>46105</v>
      </c>
      <c r="E102" s="23" t="s">
        <v>195</v>
      </c>
      <c r="F102" s="23">
        <v>3989</v>
      </c>
      <c r="G102" t="s">
        <v>183</v>
      </c>
      <c r="H102" t="s">
        <v>184</v>
      </c>
      <c r="I102" t="s">
        <v>183</v>
      </c>
      <c r="J102" t="s">
        <v>184</v>
      </c>
    </row>
    <row r="103" spans="1:10" x14ac:dyDescent="0.25">
      <c r="A103" s="23">
        <v>62714126</v>
      </c>
      <c r="B103" s="23" t="s">
        <v>181</v>
      </c>
      <c r="C103" s="23">
        <v>2600</v>
      </c>
      <c r="D103" s="25">
        <v>46105</v>
      </c>
      <c r="E103" s="23" t="s">
        <v>182</v>
      </c>
      <c r="F103" s="23">
        <v>1419</v>
      </c>
      <c r="G103" t="s">
        <v>183</v>
      </c>
      <c r="H103" t="s">
        <v>184</v>
      </c>
      <c r="I103" t="s">
        <v>183</v>
      </c>
      <c r="J103" t="s">
        <v>184</v>
      </c>
    </row>
    <row r="104" spans="1:10" x14ac:dyDescent="0.25">
      <c r="A104" s="23">
        <v>64960643</v>
      </c>
      <c r="B104" s="23" t="s">
        <v>181</v>
      </c>
      <c r="C104" s="23">
        <v>3400</v>
      </c>
      <c r="D104" s="25">
        <v>46105</v>
      </c>
      <c r="E104" s="23" t="s">
        <v>1006</v>
      </c>
      <c r="F104" s="23">
        <v>1419</v>
      </c>
      <c r="G104" t="s">
        <v>183</v>
      </c>
      <c r="H104" t="s">
        <v>184</v>
      </c>
      <c r="I104" t="s">
        <v>183</v>
      </c>
      <c r="J104" t="s">
        <v>184</v>
      </c>
    </row>
    <row r="105" spans="1:10" x14ac:dyDescent="0.25">
      <c r="A105" s="23">
        <v>64988054</v>
      </c>
      <c r="B105" s="23">
        <v>1716</v>
      </c>
      <c r="C105" s="23">
        <v>24253</v>
      </c>
      <c r="D105" s="25">
        <v>46077</v>
      </c>
      <c r="E105" s="23" t="s">
        <v>837</v>
      </c>
      <c r="F105" s="23">
        <v>1716</v>
      </c>
      <c r="G105" t="s">
        <v>323</v>
      </c>
      <c r="H105" t="s">
        <v>324</v>
      </c>
      <c r="I105" t="s">
        <v>323</v>
      </c>
      <c r="J105" t="s">
        <v>324</v>
      </c>
    </row>
    <row r="106" spans="1:10" x14ac:dyDescent="0.25">
      <c r="A106" s="23">
        <v>64988053</v>
      </c>
      <c r="B106" s="23">
        <v>1716</v>
      </c>
      <c r="C106" s="23">
        <v>24276</v>
      </c>
      <c r="D106" s="25">
        <v>46077</v>
      </c>
      <c r="E106" s="23" t="s">
        <v>830</v>
      </c>
      <c r="F106" s="23">
        <v>1716</v>
      </c>
      <c r="G106" t="s">
        <v>323</v>
      </c>
      <c r="H106" t="s">
        <v>324</v>
      </c>
      <c r="I106" t="s">
        <v>323</v>
      </c>
      <c r="J106" t="s">
        <v>324</v>
      </c>
    </row>
    <row r="107" spans="1:10" x14ac:dyDescent="0.25">
      <c r="A107" s="23">
        <v>64987232</v>
      </c>
      <c r="B107" s="23">
        <v>1716</v>
      </c>
      <c r="C107" s="23">
        <v>24778</v>
      </c>
      <c r="D107" s="25">
        <v>46077</v>
      </c>
      <c r="E107" s="23" t="s">
        <v>829</v>
      </c>
      <c r="F107" s="23">
        <v>1716</v>
      </c>
      <c r="G107" t="s">
        <v>323</v>
      </c>
      <c r="H107" t="s">
        <v>324</v>
      </c>
      <c r="I107" t="s">
        <v>323</v>
      </c>
      <c r="J107" t="s">
        <v>324</v>
      </c>
    </row>
    <row r="108" spans="1:10" x14ac:dyDescent="0.25">
      <c r="A108" s="23">
        <v>64975613</v>
      </c>
      <c r="B108" s="23">
        <v>1716</v>
      </c>
      <c r="C108" s="23">
        <v>48560</v>
      </c>
      <c r="D108" s="25">
        <v>46077</v>
      </c>
      <c r="E108" s="23" t="s">
        <v>322</v>
      </c>
      <c r="F108" s="23">
        <v>1716</v>
      </c>
      <c r="G108" t="s">
        <v>323</v>
      </c>
      <c r="H108" t="s">
        <v>324</v>
      </c>
      <c r="I108" t="s">
        <v>323</v>
      </c>
      <c r="J108" t="s">
        <v>324</v>
      </c>
    </row>
    <row r="109" spans="1:10" x14ac:dyDescent="0.25">
      <c r="A109" s="23">
        <v>64975614</v>
      </c>
      <c r="B109" s="23">
        <v>1716</v>
      </c>
      <c r="C109" s="23">
        <v>95637</v>
      </c>
      <c r="D109" s="25">
        <v>46077</v>
      </c>
      <c r="E109" s="23" t="s">
        <v>335</v>
      </c>
      <c r="F109" s="23">
        <v>1716</v>
      </c>
      <c r="G109" t="s">
        <v>323</v>
      </c>
      <c r="H109" t="s">
        <v>324</v>
      </c>
      <c r="I109" t="s">
        <v>323</v>
      </c>
      <c r="J109" t="s">
        <v>324</v>
      </c>
    </row>
    <row r="110" spans="1:10" x14ac:dyDescent="0.25">
      <c r="A110" s="23">
        <v>64958129</v>
      </c>
      <c r="B110" s="23">
        <v>1716</v>
      </c>
      <c r="C110" s="23">
        <v>7117</v>
      </c>
      <c r="D110" s="25">
        <v>46079</v>
      </c>
      <c r="E110" s="23" t="s">
        <v>320</v>
      </c>
      <c r="F110" s="23">
        <v>1716</v>
      </c>
      <c r="G110" t="s">
        <v>323</v>
      </c>
      <c r="H110" t="s">
        <v>324</v>
      </c>
      <c r="I110" t="s">
        <v>323</v>
      </c>
      <c r="J110" t="s">
        <v>324</v>
      </c>
    </row>
    <row r="111" spans="1:10" x14ac:dyDescent="0.25">
      <c r="A111" s="23">
        <v>64975616</v>
      </c>
      <c r="B111" s="23">
        <v>1716</v>
      </c>
      <c r="C111" s="23">
        <v>62924</v>
      </c>
      <c r="D111" s="25">
        <v>46079</v>
      </c>
      <c r="E111" s="23" t="s">
        <v>91</v>
      </c>
      <c r="F111" s="23">
        <v>1716</v>
      </c>
      <c r="G111" t="s">
        <v>323</v>
      </c>
      <c r="H111" t="s">
        <v>324</v>
      </c>
      <c r="I111" t="s">
        <v>323</v>
      </c>
      <c r="J111" t="s">
        <v>324</v>
      </c>
    </row>
    <row r="112" spans="1:10" x14ac:dyDescent="0.25">
      <c r="A112" s="23">
        <v>64999073</v>
      </c>
      <c r="B112" s="23">
        <v>1716</v>
      </c>
      <c r="C112" s="23">
        <v>46482</v>
      </c>
      <c r="D112" s="25">
        <v>46083</v>
      </c>
      <c r="E112" s="23" t="s">
        <v>326</v>
      </c>
      <c r="F112" s="23">
        <v>1716</v>
      </c>
      <c r="G112" t="s">
        <v>323</v>
      </c>
      <c r="H112" t="s">
        <v>324</v>
      </c>
      <c r="I112" t="s">
        <v>323</v>
      </c>
      <c r="J112" t="s">
        <v>324</v>
      </c>
    </row>
    <row r="113" spans="1:10" x14ac:dyDescent="0.25">
      <c r="A113" s="23">
        <v>64999042</v>
      </c>
      <c r="B113" s="23">
        <v>1716</v>
      </c>
      <c r="C113" s="23">
        <v>13758</v>
      </c>
      <c r="D113" s="25">
        <v>46085</v>
      </c>
      <c r="E113" s="23" t="s">
        <v>337</v>
      </c>
      <c r="F113" s="23">
        <v>1716</v>
      </c>
      <c r="G113" t="s">
        <v>323</v>
      </c>
      <c r="H113" t="s">
        <v>324</v>
      </c>
      <c r="I113" t="s">
        <v>323</v>
      </c>
      <c r="J113" t="s">
        <v>324</v>
      </c>
    </row>
    <row r="114" spans="1:10" x14ac:dyDescent="0.25">
      <c r="A114" s="23">
        <v>64987233</v>
      </c>
      <c r="B114" s="23">
        <v>1716</v>
      </c>
      <c r="C114" s="23">
        <v>15090</v>
      </c>
      <c r="D114" s="25">
        <v>46086</v>
      </c>
      <c r="E114" s="23" t="s">
        <v>1007</v>
      </c>
      <c r="F114" s="23">
        <v>1716</v>
      </c>
      <c r="G114" t="s">
        <v>323</v>
      </c>
      <c r="H114" t="s">
        <v>324</v>
      </c>
      <c r="I114" t="s">
        <v>323</v>
      </c>
      <c r="J114" t="s">
        <v>324</v>
      </c>
    </row>
    <row r="115" spans="1:10" x14ac:dyDescent="0.25">
      <c r="A115" s="23">
        <v>64988054</v>
      </c>
      <c r="B115" s="23">
        <v>1716</v>
      </c>
      <c r="C115" s="23">
        <v>31084</v>
      </c>
      <c r="D115" s="25">
        <v>46086</v>
      </c>
      <c r="E115" s="23" t="s">
        <v>837</v>
      </c>
      <c r="F115" s="23">
        <v>1716</v>
      </c>
      <c r="G115" t="s">
        <v>323</v>
      </c>
      <c r="H115" t="s">
        <v>324</v>
      </c>
      <c r="I115" t="s">
        <v>323</v>
      </c>
      <c r="J115" t="s">
        <v>324</v>
      </c>
    </row>
    <row r="116" spans="1:10" x14ac:dyDescent="0.25">
      <c r="A116" s="23">
        <v>64975614</v>
      </c>
      <c r="B116" s="23">
        <v>1716</v>
      </c>
      <c r="C116" s="23">
        <v>11520</v>
      </c>
      <c r="D116" s="25">
        <v>46087</v>
      </c>
      <c r="E116" s="23" t="s">
        <v>335</v>
      </c>
      <c r="F116" s="23">
        <v>1716</v>
      </c>
      <c r="G116" t="s">
        <v>323</v>
      </c>
      <c r="H116" t="s">
        <v>324</v>
      </c>
      <c r="I116" t="s">
        <v>323</v>
      </c>
      <c r="J116" t="s">
        <v>324</v>
      </c>
    </row>
    <row r="117" spans="1:10" x14ac:dyDescent="0.25">
      <c r="A117" s="23">
        <v>64999073</v>
      </c>
      <c r="B117" s="23">
        <v>1716</v>
      </c>
      <c r="C117" s="23">
        <v>15235</v>
      </c>
      <c r="D117" s="25">
        <v>46087</v>
      </c>
      <c r="E117" s="23" t="s">
        <v>326</v>
      </c>
      <c r="F117" s="23">
        <v>1716</v>
      </c>
      <c r="G117" t="s">
        <v>323</v>
      </c>
      <c r="H117" t="s">
        <v>324</v>
      </c>
      <c r="I117" t="s">
        <v>323</v>
      </c>
      <c r="J117" t="s">
        <v>324</v>
      </c>
    </row>
    <row r="118" spans="1:10" x14ac:dyDescent="0.25">
      <c r="A118" s="23">
        <v>64999073</v>
      </c>
      <c r="B118" s="23">
        <v>1716</v>
      </c>
      <c r="C118" s="23">
        <v>13048</v>
      </c>
      <c r="D118" s="25">
        <v>46093</v>
      </c>
      <c r="E118" s="23" t="s">
        <v>326</v>
      </c>
      <c r="F118" s="23">
        <v>1716</v>
      </c>
      <c r="G118" t="s">
        <v>323</v>
      </c>
      <c r="H118" t="s">
        <v>324</v>
      </c>
      <c r="I118" t="s">
        <v>323</v>
      </c>
      <c r="J118" t="s">
        <v>324</v>
      </c>
    </row>
    <row r="119" spans="1:10" x14ac:dyDescent="0.25">
      <c r="A119" s="23">
        <v>64975616</v>
      </c>
      <c r="B119" s="23">
        <v>1716</v>
      </c>
      <c r="C119" s="23">
        <v>28058</v>
      </c>
      <c r="D119" s="25">
        <v>46097</v>
      </c>
      <c r="E119" s="23" t="s">
        <v>91</v>
      </c>
      <c r="F119" s="23">
        <v>1716</v>
      </c>
      <c r="G119" t="s">
        <v>323</v>
      </c>
      <c r="H119" t="s">
        <v>324</v>
      </c>
      <c r="I119" t="s">
        <v>323</v>
      </c>
      <c r="J119" t="s">
        <v>324</v>
      </c>
    </row>
    <row r="120" spans="1:10" x14ac:dyDescent="0.25">
      <c r="A120" s="23">
        <v>64987234</v>
      </c>
      <c r="B120" s="23">
        <v>1716</v>
      </c>
      <c r="C120" s="23">
        <v>11945</v>
      </c>
      <c r="D120" s="25">
        <v>46100</v>
      </c>
      <c r="E120" s="23" t="s">
        <v>828</v>
      </c>
      <c r="F120" s="23">
        <v>1716</v>
      </c>
      <c r="G120" t="s">
        <v>323</v>
      </c>
      <c r="H120" t="s">
        <v>324</v>
      </c>
      <c r="I120" t="s">
        <v>323</v>
      </c>
      <c r="J120" t="s">
        <v>324</v>
      </c>
    </row>
    <row r="121" spans="1:10" x14ac:dyDescent="0.25">
      <c r="A121" s="23">
        <v>65218505</v>
      </c>
      <c r="B121" s="23">
        <v>1716</v>
      </c>
      <c r="C121" s="23">
        <v>38332</v>
      </c>
      <c r="D121" s="25">
        <v>46100</v>
      </c>
      <c r="E121" s="23" t="s">
        <v>328</v>
      </c>
      <c r="F121" s="23">
        <v>1716</v>
      </c>
      <c r="G121" t="s">
        <v>323</v>
      </c>
      <c r="H121" t="s">
        <v>324</v>
      </c>
      <c r="I121" t="s">
        <v>323</v>
      </c>
      <c r="J121" t="s">
        <v>324</v>
      </c>
    </row>
    <row r="122" spans="1:10" x14ac:dyDescent="0.25">
      <c r="A122" s="23">
        <v>64975613</v>
      </c>
      <c r="B122" s="23">
        <v>1716</v>
      </c>
      <c r="C122" s="23">
        <v>54600</v>
      </c>
      <c r="D122" s="25">
        <v>46100</v>
      </c>
      <c r="E122" s="23" t="s">
        <v>322</v>
      </c>
      <c r="F122" s="23">
        <v>1716</v>
      </c>
      <c r="G122" t="s">
        <v>323</v>
      </c>
      <c r="H122" t="s">
        <v>324</v>
      </c>
      <c r="I122" t="s">
        <v>323</v>
      </c>
      <c r="J122" t="s">
        <v>324</v>
      </c>
    </row>
    <row r="123" spans="1:10" x14ac:dyDescent="0.25">
      <c r="A123" s="23">
        <v>65254774</v>
      </c>
      <c r="B123" s="23">
        <v>6765</v>
      </c>
      <c r="C123" s="23">
        <v>28546</v>
      </c>
      <c r="D123" s="25">
        <v>46083</v>
      </c>
      <c r="E123" s="23" t="s">
        <v>842</v>
      </c>
      <c r="F123" s="23">
        <v>6765</v>
      </c>
      <c r="G123" t="s">
        <v>461</v>
      </c>
      <c r="H123" t="s">
        <v>457</v>
      </c>
      <c r="I123" t="s">
        <v>461</v>
      </c>
      <c r="J123" t="s">
        <v>457</v>
      </c>
    </row>
    <row r="124" spans="1:10" x14ac:dyDescent="0.25">
      <c r="A124" s="23">
        <v>65254774</v>
      </c>
      <c r="B124" s="23">
        <v>6765</v>
      </c>
      <c r="C124" s="23">
        <v>30578</v>
      </c>
      <c r="D124" s="25">
        <v>46084</v>
      </c>
      <c r="E124" s="23" t="s">
        <v>842</v>
      </c>
      <c r="F124" s="23">
        <v>6765</v>
      </c>
      <c r="G124" t="s">
        <v>461</v>
      </c>
      <c r="H124" t="s">
        <v>457</v>
      </c>
      <c r="I124" t="s">
        <v>461</v>
      </c>
      <c r="J124" t="s">
        <v>457</v>
      </c>
    </row>
    <row r="125" spans="1:10" x14ac:dyDescent="0.25">
      <c r="A125" s="23">
        <v>64979410</v>
      </c>
      <c r="B125" s="23">
        <v>6764</v>
      </c>
      <c r="C125" s="23">
        <v>18588</v>
      </c>
      <c r="D125" s="25">
        <v>46085</v>
      </c>
      <c r="E125" s="23" t="s">
        <v>455</v>
      </c>
      <c r="F125" s="23">
        <v>6764</v>
      </c>
      <c r="G125" t="s">
        <v>456</v>
      </c>
      <c r="H125" t="s">
        <v>457</v>
      </c>
      <c r="I125" t="s">
        <v>456</v>
      </c>
      <c r="J125" t="s">
        <v>457</v>
      </c>
    </row>
    <row r="126" spans="1:10" x14ac:dyDescent="0.25">
      <c r="A126" s="23">
        <v>64979410</v>
      </c>
      <c r="B126" s="23">
        <v>6764</v>
      </c>
      <c r="C126" s="23">
        <v>16474</v>
      </c>
      <c r="D126" s="25">
        <v>46086</v>
      </c>
      <c r="E126" s="23" t="s">
        <v>455</v>
      </c>
      <c r="F126" s="23">
        <v>6764</v>
      </c>
      <c r="G126" t="s">
        <v>456</v>
      </c>
      <c r="H126" t="s">
        <v>457</v>
      </c>
      <c r="I126" t="s">
        <v>456</v>
      </c>
      <c r="J126" t="s">
        <v>457</v>
      </c>
    </row>
    <row r="127" spans="1:10" x14ac:dyDescent="0.25">
      <c r="A127" s="23">
        <v>65254774</v>
      </c>
      <c r="B127" s="23">
        <v>6765</v>
      </c>
      <c r="C127" s="23">
        <v>31172</v>
      </c>
      <c r="D127" s="25">
        <v>46090</v>
      </c>
      <c r="E127" s="23" t="s">
        <v>842</v>
      </c>
      <c r="F127" s="23">
        <v>6765</v>
      </c>
      <c r="G127" t="s">
        <v>461</v>
      </c>
      <c r="H127" t="s">
        <v>457</v>
      </c>
      <c r="I127" t="s">
        <v>461</v>
      </c>
      <c r="J127" t="s">
        <v>457</v>
      </c>
    </row>
    <row r="128" spans="1:10" x14ac:dyDescent="0.25">
      <c r="A128" s="23">
        <v>64979410</v>
      </c>
      <c r="B128" s="23">
        <v>6764</v>
      </c>
      <c r="C128" s="23">
        <v>14331</v>
      </c>
      <c r="D128" s="25">
        <v>46091</v>
      </c>
      <c r="E128" s="23" t="s">
        <v>455</v>
      </c>
      <c r="F128" s="23">
        <v>6764</v>
      </c>
      <c r="G128" t="s">
        <v>456</v>
      </c>
      <c r="H128" t="s">
        <v>457</v>
      </c>
      <c r="I128" t="s">
        <v>456</v>
      </c>
      <c r="J128" t="s">
        <v>457</v>
      </c>
    </row>
    <row r="129" spans="1:10" x14ac:dyDescent="0.25">
      <c r="A129" s="23">
        <v>65254774</v>
      </c>
      <c r="B129" s="23">
        <v>6765</v>
      </c>
      <c r="C129" s="23">
        <v>22276</v>
      </c>
      <c r="D129" s="25">
        <v>46098</v>
      </c>
      <c r="E129" s="23" t="s">
        <v>842</v>
      </c>
      <c r="F129" s="23">
        <v>6765</v>
      </c>
      <c r="G129" t="s">
        <v>461</v>
      </c>
      <c r="H129" t="s">
        <v>457</v>
      </c>
      <c r="I129" t="s">
        <v>461</v>
      </c>
      <c r="J129" t="s">
        <v>457</v>
      </c>
    </row>
    <row r="130" spans="1:10" x14ac:dyDescent="0.25">
      <c r="A130" s="23">
        <v>64989108</v>
      </c>
      <c r="B130" s="23">
        <v>6765</v>
      </c>
      <c r="C130" s="23">
        <v>1739</v>
      </c>
      <c r="D130" s="25">
        <v>46099</v>
      </c>
      <c r="E130" s="23" t="s">
        <v>1008</v>
      </c>
      <c r="F130" s="23">
        <v>6765</v>
      </c>
      <c r="G130" t="s">
        <v>461</v>
      </c>
      <c r="H130" t="s">
        <v>457</v>
      </c>
      <c r="I130" t="s">
        <v>461</v>
      </c>
      <c r="J130" t="s">
        <v>457</v>
      </c>
    </row>
    <row r="131" spans="1:10" x14ac:dyDescent="0.25">
      <c r="A131" s="23">
        <v>64989109</v>
      </c>
      <c r="B131" s="23">
        <v>6765</v>
      </c>
      <c r="C131" s="23">
        <v>5847</v>
      </c>
      <c r="D131" s="25">
        <v>46099</v>
      </c>
      <c r="E131" s="23" t="s">
        <v>448</v>
      </c>
      <c r="F131" s="23">
        <v>6765</v>
      </c>
      <c r="G131" t="s">
        <v>461</v>
      </c>
      <c r="H131" t="s">
        <v>457</v>
      </c>
      <c r="I131" t="s">
        <v>461</v>
      </c>
      <c r="J131" t="s">
        <v>457</v>
      </c>
    </row>
    <row r="132" spans="1:10" x14ac:dyDescent="0.25">
      <c r="A132" s="23">
        <v>64365613</v>
      </c>
      <c r="B132" s="23" t="s">
        <v>220</v>
      </c>
      <c r="C132" s="23">
        <v>3900</v>
      </c>
      <c r="D132" s="25">
        <v>46076</v>
      </c>
      <c r="E132" s="23" t="s">
        <v>247</v>
      </c>
      <c r="F132" s="23">
        <v>3989</v>
      </c>
      <c r="G132" t="s">
        <v>222</v>
      </c>
      <c r="H132" t="s">
        <v>831</v>
      </c>
      <c r="I132" t="s">
        <v>222</v>
      </c>
      <c r="J132" t="s">
        <v>831</v>
      </c>
    </row>
    <row r="133" spans="1:10" x14ac:dyDescent="0.25">
      <c r="A133" s="23">
        <v>64365613</v>
      </c>
      <c r="B133" s="23" t="s">
        <v>220</v>
      </c>
      <c r="C133" s="23">
        <v>3900</v>
      </c>
      <c r="D133" s="25">
        <v>46076</v>
      </c>
      <c r="E133" s="23" t="s">
        <v>247</v>
      </c>
      <c r="F133" s="23">
        <v>3989</v>
      </c>
      <c r="G133" t="s">
        <v>222</v>
      </c>
      <c r="H133" t="s">
        <v>831</v>
      </c>
      <c r="I133" t="s">
        <v>222</v>
      </c>
      <c r="J133" t="s">
        <v>831</v>
      </c>
    </row>
    <row r="134" spans="1:10" x14ac:dyDescent="0.25">
      <c r="A134" s="23">
        <v>64365613</v>
      </c>
      <c r="B134" s="23" t="s">
        <v>220</v>
      </c>
      <c r="C134" s="23">
        <v>3900</v>
      </c>
      <c r="D134" s="25">
        <v>46076</v>
      </c>
      <c r="E134" s="23" t="s">
        <v>247</v>
      </c>
      <c r="F134" s="23">
        <v>3989</v>
      </c>
      <c r="G134" t="s">
        <v>222</v>
      </c>
      <c r="H134" t="s">
        <v>831</v>
      </c>
      <c r="I134" t="s">
        <v>222</v>
      </c>
      <c r="J134" t="s">
        <v>831</v>
      </c>
    </row>
    <row r="135" spans="1:10" x14ac:dyDescent="0.25">
      <c r="A135" s="23">
        <v>64365613</v>
      </c>
      <c r="B135" s="23" t="s">
        <v>220</v>
      </c>
      <c r="C135" s="23">
        <v>3900</v>
      </c>
      <c r="D135" s="25">
        <v>46076</v>
      </c>
      <c r="E135" s="23" t="s">
        <v>247</v>
      </c>
      <c r="F135" s="23">
        <v>3989</v>
      </c>
      <c r="G135" t="s">
        <v>222</v>
      </c>
      <c r="H135" t="s">
        <v>831</v>
      </c>
      <c r="I135" t="s">
        <v>222</v>
      </c>
      <c r="J135" t="s">
        <v>831</v>
      </c>
    </row>
    <row r="136" spans="1:10" x14ac:dyDescent="0.25">
      <c r="A136" s="23">
        <v>64771676</v>
      </c>
      <c r="B136" s="23" t="s">
        <v>220</v>
      </c>
      <c r="C136" s="23">
        <v>3900</v>
      </c>
      <c r="D136" s="25">
        <v>46076</v>
      </c>
      <c r="E136" s="23" t="s">
        <v>262</v>
      </c>
      <c r="F136" s="23">
        <v>3989</v>
      </c>
      <c r="G136" t="s">
        <v>222</v>
      </c>
      <c r="H136" t="s">
        <v>831</v>
      </c>
      <c r="I136" t="s">
        <v>222</v>
      </c>
      <c r="J136" t="s">
        <v>831</v>
      </c>
    </row>
    <row r="137" spans="1:10" x14ac:dyDescent="0.25">
      <c r="A137" s="23">
        <v>64341108</v>
      </c>
      <c r="B137" s="23" t="s">
        <v>220</v>
      </c>
      <c r="C137" s="23">
        <v>4200</v>
      </c>
      <c r="D137" s="25">
        <v>46076</v>
      </c>
      <c r="E137" s="23" t="s">
        <v>221</v>
      </c>
      <c r="F137" s="23">
        <v>3989</v>
      </c>
      <c r="G137" t="s">
        <v>222</v>
      </c>
      <c r="H137" t="s">
        <v>831</v>
      </c>
      <c r="I137" t="s">
        <v>222</v>
      </c>
      <c r="J137" t="s">
        <v>831</v>
      </c>
    </row>
    <row r="138" spans="1:10" x14ac:dyDescent="0.25">
      <c r="A138" s="23">
        <v>64341108</v>
      </c>
      <c r="B138" s="23" t="s">
        <v>220</v>
      </c>
      <c r="C138" s="23">
        <v>4200</v>
      </c>
      <c r="D138" s="25">
        <v>46076</v>
      </c>
      <c r="E138" s="23" t="s">
        <v>221</v>
      </c>
      <c r="F138" s="23">
        <v>3989</v>
      </c>
      <c r="G138" t="s">
        <v>222</v>
      </c>
      <c r="H138" t="s">
        <v>831</v>
      </c>
      <c r="I138" t="s">
        <v>222</v>
      </c>
      <c r="J138" t="s">
        <v>831</v>
      </c>
    </row>
    <row r="139" spans="1:10" x14ac:dyDescent="0.25">
      <c r="A139" s="23">
        <v>64341109</v>
      </c>
      <c r="B139" s="23" t="s">
        <v>220</v>
      </c>
      <c r="C139" s="23">
        <v>4200</v>
      </c>
      <c r="D139" s="25">
        <v>46076</v>
      </c>
      <c r="E139" s="23" t="s">
        <v>276</v>
      </c>
      <c r="F139" s="23">
        <v>3989</v>
      </c>
      <c r="G139" t="s">
        <v>222</v>
      </c>
      <c r="H139" t="s">
        <v>831</v>
      </c>
      <c r="I139" t="s">
        <v>222</v>
      </c>
      <c r="J139" t="s">
        <v>831</v>
      </c>
    </row>
    <row r="140" spans="1:10" x14ac:dyDescent="0.25">
      <c r="A140" s="23">
        <v>64341109</v>
      </c>
      <c r="B140" s="23" t="s">
        <v>220</v>
      </c>
      <c r="C140" s="23">
        <v>4200</v>
      </c>
      <c r="D140" s="25">
        <v>46076</v>
      </c>
      <c r="E140" s="23" t="s">
        <v>276</v>
      </c>
      <c r="F140" s="23">
        <v>3989</v>
      </c>
      <c r="G140" t="s">
        <v>222</v>
      </c>
      <c r="H140" t="s">
        <v>831</v>
      </c>
      <c r="I140" t="s">
        <v>222</v>
      </c>
      <c r="J140" t="s">
        <v>831</v>
      </c>
    </row>
    <row r="141" spans="1:10" x14ac:dyDescent="0.25">
      <c r="A141" s="23">
        <v>64341108</v>
      </c>
      <c r="B141" s="23" t="s">
        <v>220</v>
      </c>
      <c r="C141" s="23">
        <v>4200</v>
      </c>
      <c r="D141" s="25">
        <v>46076</v>
      </c>
      <c r="E141" s="23" t="s">
        <v>221</v>
      </c>
      <c r="F141" s="23">
        <v>3989</v>
      </c>
      <c r="G141" t="s">
        <v>222</v>
      </c>
      <c r="H141" t="s">
        <v>831</v>
      </c>
      <c r="I141" t="s">
        <v>222</v>
      </c>
      <c r="J141" t="s">
        <v>831</v>
      </c>
    </row>
    <row r="142" spans="1:10" x14ac:dyDescent="0.25">
      <c r="A142" s="23">
        <v>64401837</v>
      </c>
      <c r="B142" s="23" t="s">
        <v>220</v>
      </c>
      <c r="C142" s="23">
        <v>3000</v>
      </c>
      <c r="D142" s="25">
        <v>46077</v>
      </c>
      <c r="E142" s="23" t="s">
        <v>238</v>
      </c>
      <c r="F142" s="23">
        <v>3989</v>
      </c>
      <c r="G142" t="s">
        <v>222</v>
      </c>
      <c r="H142" t="s">
        <v>831</v>
      </c>
      <c r="I142" t="s">
        <v>222</v>
      </c>
      <c r="J142" t="s">
        <v>831</v>
      </c>
    </row>
    <row r="143" spans="1:10" x14ac:dyDescent="0.25">
      <c r="A143" s="23">
        <v>64401837</v>
      </c>
      <c r="B143" s="23" t="s">
        <v>220</v>
      </c>
      <c r="C143" s="23">
        <v>3000</v>
      </c>
      <c r="D143" s="25">
        <v>46077</v>
      </c>
      <c r="E143" s="23" t="s">
        <v>238</v>
      </c>
      <c r="F143" s="23">
        <v>3989</v>
      </c>
      <c r="G143" t="s">
        <v>222</v>
      </c>
      <c r="H143" t="s">
        <v>831</v>
      </c>
      <c r="I143" t="s">
        <v>222</v>
      </c>
      <c r="J143" t="s">
        <v>831</v>
      </c>
    </row>
    <row r="144" spans="1:10" x14ac:dyDescent="0.25">
      <c r="A144" s="23">
        <v>64401837</v>
      </c>
      <c r="B144" s="23" t="s">
        <v>220</v>
      </c>
      <c r="C144" s="23">
        <v>3000</v>
      </c>
      <c r="D144" s="25">
        <v>46077</v>
      </c>
      <c r="E144" s="23" t="s">
        <v>238</v>
      </c>
      <c r="F144" s="23">
        <v>3989</v>
      </c>
      <c r="G144" t="s">
        <v>222</v>
      </c>
      <c r="H144" t="s">
        <v>831</v>
      </c>
      <c r="I144" t="s">
        <v>222</v>
      </c>
      <c r="J144" t="s">
        <v>831</v>
      </c>
    </row>
    <row r="145" spans="1:10" x14ac:dyDescent="0.25">
      <c r="A145" s="23">
        <v>64365613</v>
      </c>
      <c r="B145" s="23" t="s">
        <v>220</v>
      </c>
      <c r="C145" s="23">
        <v>3898</v>
      </c>
      <c r="D145" s="25">
        <v>46077</v>
      </c>
      <c r="E145" s="23" t="s">
        <v>247</v>
      </c>
      <c r="F145" s="23">
        <v>3989</v>
      </c>
      <c r="G145" t="s">
        <v>222</v>
      </c>
      <c r="H145" t="s">
        <v>831</v>
      </c>
      <c r="I145" t="s">
        <v>222</v>
      </c>
      <c r="J145" t="s">
        <v>831</v>
      </c>
    </row>
    <row r="146" spans="1:10" x14ac:dyDescent="0.25">
      <c r="A146" s="23">
        <v>64365613</v>
      </c>
      <c r="B146" s="23" t="s">
        <v>220</v>
      </c>
      <c r="C146" s="23">
        <v>3900</v>
      </c>
      <c r="D146" s="25">
        <v>46077</v>
      </c>
      <c r="E146" s="23" t="s">
        <v>247</v>
      </c>
      <c r="F146" s="23">
        <v>3989</v>
      </c>
      <c r="G146" t="s">
        <v>222</v>
      </c>
      <c r="H146" t="s">
        <v>831</v>
      </c>
      <c r="I146" t="s">
        <v>222</v>
      </c>
      <c r="J146" t="s">
        <v>831</v>
      </c>
    </row>
    <row r="147" spans="1:10" x14ac:dyDescent="0.25">
      <c r="A147" s="23">
        <v>64365613</v>
      </c>
      <c r="B147" s="23" t="s">
        <v>220</v>
      </c>
      <c r="C147" s="23">
        <v>3900</v>
      </c>
      <c r="D147" s="25">
        <v>46077</v>
      </c>
      <c r="E147" s="23" t="s">
        <v>247</v>
      </c>
      <c r="F147" s="23">
        <v>3989</v>
      </c>
      <c r="G147" t="s">
        <v>222</v>
      </c>
      <c r="H147" t="s">
        <v>831</v>
      </c>
      <c r="I147" t="s">
        <v>222</v>
      </c>
      <c r="J147" t="s">
        <v>831</v>
      </c>
    </row>
    <row r="148" spans="1:10" x14ac:dyDescent="0.25">
      <c r="A148" s="23">
        <v>64771676</v>
      </c>
      <c r="B148" s="23" t="s">
        <v>220</v>
      </c>
      <c r="C148" s="23">
        <v>3900</v>
      </c>
      <c r="D148" s="25">
        <v>46077</v>
      </c>
      <c r="E148" s="23" t="s">
        <v>262</v>
      </c>
      <c r="F148" s="23">
        <v>3989</v>
      </c>
      <c r="G148" t="s">
        <v>222</v>
      </c>
      <c r="H148" t="s">
        <v>831</v>
      </c>
      <c r="I148" t="s">
        <v>222</v>
      </c>
      <c r="J148" t="s">
        <v>831</v>
      </c>
    </row>
    <row r="149" spans="1:10" x14ac:dyDescent="0.25">
      <c r="A149" s="23">
        <v>64771676</v>
      </c>
      <c r="B149" s="23" t="s">
        <v>220</v>
      </c>
      <c r="C149" s="23">
        <v>3900</v>
      </c>
      <c r="D149" s="25">
        <v>46077</v>
      </c>
      <c r="E149" s="23" t="s">
        <v>262</v>
      </c>
      <c r="F149" s="23">
        <v>3989</v>
      </c>
      <c r="G149" t="s">
        <v>222</v>
      </c>
      <c r="H149" t="s">
        <v>831</v>
      </c>
      <c r="I149" t="s">
        <v>222</v>
      </c>
      <c r="J149" t="s">
        <v>831</v>
      </c>
    </row>
    <row r="150" spans="1:10" x14ac:dyDescent="0.25">
      <c r="A150" s="23">
        <v>64341108</v>
      </c>
      <c r="B150" s="23" t="s">
        <v>220</v>
      </c>
      <c r="C150" s="23">
        <v>4200</v>
      </c>
      <c r="D150" s="25">
        <v>46077</v>
      </c>
      <c r="E150" s="23" t="s">
        <v>221</v>
      </c>
      <c r="F150" s="23">
        <v>3989</v>
      </c>
      <c r="G150" t="s">
        <v>222</v>
      </c>
      <c r="H150" t="s">
        <v>831</v>
      </c>
      <c r="I150" t="s">
        <v>222</v>
      </c>
      <c r="J150" t="s">
        <v>831</v>
      </c>
    </row>
    <row r="151" spans="1:10" x14ac:dyDescent="0.25">
      <c r="A151" s="23">
        <v>64956417</v>
      </c>
      <c r="B151" s="23" t="s">
        <v>220</v>
      </c>
      <c r="C151" s="23">
        <v>2860</v>
      </c>
      <c r="D151" s="25">
        <v>46078</v>
      </c>
      <c r="E151" s="23" t="s">
        <v>832</v>
      </c>
      <c r="F151" s="23">
        <v>3989</v>
      </c>
      <c r="G151" t="s">
        <v>222</v>
      </c>
      <c r="H151" t="s">
        <v>831</v>
      </c>
      <c r="I151" t="s">
        <v>222</v>
      </c>
      <c r="J151" t="s">
        <v>831</v>
      </c>
    </row>
    <row r="152" spans="1:10" x14ac:dyDescent="0.25">
      <c r="A152" s="23">
        <v>64956417</v>
      </c>
      <c r="B152" s="23" t="s">
        <v>220</v>
      </c>
      <c r="C152" s="23">
        <v>2860</v>
      </c>
      <c r="D152" s="25">
        <v>46078</v>
      </c>
      <c r="E152" s="23" t="s">
        <v>832</v>
      </c>
      <c r="F152" s="23">
        <v>3989</v>
      </c>
      <c r="G152" t="s">
        <v>222</v>
      </c>
      <c r="H152" t="s">
        <v>831</v>
      </c>
      <c r="I152" t="s">
        <v>222</v>
      </c>
      <c r="J152" t="s">
        <v>831</v>
      </c>
    </row>
    <row r="153" spans="1:10" x14ac:dyDescent="0.25">
      <c r="A153" s="23">
        <v>64365613</v>
      </c>
      <c r="B153" s="23" t="s">
        <v>220</v>
      </c>
      <c r="C153" s="23">
        <v>3900</v>
      </c>
      <c r="D153" s="25">
        <v>46078</v>
      </c>
      <c r="E153" s="23" t="s">
        <v>247</v>
      </c>
      <c r="F153" s="23">
        <v>3989</v>
      </c>
      <c r="G153" t="s">
        <v>222</v>
      </c>
      <c r="H153" t="s">
        <v>831</v>
      </c>
      <c r="I153" t="s">
        <v>222</v>
      </c>
      <c r="J153" t="s">
        <v>831</v>
      </c>
    </row>
    <row r="154" spans="1:10" x14ac:dyDescent="0.25">
      <c r="A154" s="23">
        <v>64771676</v>
      </c>
      <c r="B154" s="23" t="s">
        <v>220</v>
      </c>
      <c r="C154" s="23">
        <v>3900</v>
      </c>
      <c r="D154" s="25">
        <v>46078</v>
      </c>
      <c r="E154" s="23" t="s">
        <v>262</v>
      </c>
      <c r="F154" s="23">
        <v>3989</v>
      </c>
      <c r="G154" t="s">
        <v>222</v>
      </c>
      <c r="H154" t="s">
        <v>831</v>
      </c>
      <c r="I154" t="s">
        <v>222</v>
      </c>
      <c r="J154" t="s">
        <v>831</v>
      </c>
    </row>
    <row r="155" spans="1:10" x14ac:dyDescent="0.25">
      <c r="A155" s="23">
        <v>64365613</v>
      </c>
      <c r="B155" s="23" t="s">
        <v>220</v>
      </c>
      <c r="C155" s="23">
        <v>3900</v>
      </c>
      <c r="D155" s="25">
        <v>46078</v>
      </c>
      <c r="E155" s="23" t="s">
        <v>247</v>
      </c>
      <c r="F155" s="23">
        <v>3989</v>
      </c>
      <c r="G155" t="s">
        <v>222</v>
      </c>
      <c r="H155" t="s">
        <v>831</v>
      </c>
      <c r="I155" t="s">
        <v>222</v>
      </c>
      <c r="J155" t="s">
        <v>831</v>
      </c>
    </row>
    <row r="156" spans="1:10" x14ac:dyDescent="0.25">
      <c r="A156" s="23">
        <v>64365613</v>
      </c>
      <c r="B156" s="23" t="s">
        <v>220</v>
      </c>
      <c r="C156" s="23">
        <v>3900</v>
      </c>
      <c r="D156" s="25">
        <v>46078</v>
      </c>
      <c r="E156" s="23" t="s">
        <v>247</v>
      </c>
      <c r="F156" s="23">
        <v>3989</v>
      </c>
      <c r="G156" t="s">
        <v>222</v>
      </c>
      <c r="H156" t="s">
        <v>831</v>
      </c>
      <c r="I156" t="s">
        <v>222</v>
      </c>
      <c r="J156" t="s">
        <v>831</v>
      </c>
    </row>
    <row r="157" spans="1:10" x14ac:dyDescent="0.25">
      <c r="A157" s="23">
        <v>64771676</v>
      </c>
      <c r="B157" s="23" t="s">
        <v>220</v>
      </c>
      <c r="C157" s="23">
        <v>3900</v>
      </c>
      <c r="D157" s="25">
        <v>46078</v>
      </c>
      <c r="E157" s="23" t="s">
        <v>262</v>
      </c>
      <c r="F157" s="23">
        <v>3989</v>
      </c>
      <c r="G157" t="s">
        <v>222</v>
      </c>
      <c r="H157" t="s">
        <v>831</v>
      </c>
      <c r="I157" t="s">
        <v>222</v>
      </c>
      <c r="J157" t="s">
        <v>831</v>
      </c>
    </row>
    <row r="158" spans="1:10" x14ac:dyDescent="0.25">
      <c r="A158" s="23">
        <v>64771676</v>
      </c>
      <c r="B158" s="23" t="s">
        <v>220</v>
      </c>
      <c r="C158" s="23">
        <v>3900</v>
      </c>
      <c r="D158" s="25">
        <v>46078</v>
      </c>
      <c r="E158" s="23" t="s">
        <v>262</v>
      </c>
      <c r="F158" s="23">
        <v>3989</v>
      </c>
      <c r="G158" t="s">
        <v>222</v>
      </c>
      <c r="H158" t="s">
        <v>831</v>
      </c>
      <c r="I158" t="s">
        <v>222</v>
      </c>
      <c r="J158" t="s">
        <v>831</v>
      </c>
    </row>
    <row r="159" spans="1:10" x14ac:dyDescent="0.25">
      <c r="A159" s="23">
        <v>64956417</v>
      </c>
      <c r="B159" s="23" t="s">
        <v>220</v>
      </c>
      <c r="C159" s="23">
        <v>2860</v>
      </c>
      <c r="D159" s="25">
        <v>46079</v>
      </c>
      <c r="E159" s="23" t="s">
        <v>832</v>
      </c>
      <c r="F159" s="23">
        <v>3989</v>
      </c>
      <c r="G159" t="s">
        <v>222</v>
      </c>
      <c r="H159" t="s">
        <v>831</v>
      </c>
      <c r="I159" t="s">
        <v>222</v>
      </c>
      <c r="J159" t="s">
        <v>831</v>
      </c>
    </row>
    <row r="160" spans="1:10" x14ac:dyDescent="0.25">
      <c r="A160" s="23">
        <v>64956417</v>
      </c>
      <c r="B160" s="23" t="s">
        <v>220</v>
      </c>
      <c r="C160" s="23">
        <v>2860</v>
      </c>
      <c r="D160" s="25">
        <v>46079</v>
      </c>
      <c r="E160" s="23" t="s">
        <v>832</v>
      </c>
      <c r="F160" s="23">
        <v>3989</v>
      </c>
      <c r="G160" t="s">
        <v>222</v>
      </c>
      <c r="H160" t="s">
        <v>831</v>
      </c>
      <c r="I160" t="s">
        <v>222</v>
      </c>
      <c r="J160" t="s">
        <v>831</v>
      </c>
    </row>
    <row r="161" spans="1:10" x14ac:dyDescent="0.25">
      <c r="A161" s="23">
        <v>64956417</v>
      </c>
      <c r="B161" s="23" t="s">
        <v>220</v>
      </c>
      <c r="C161" s="23">
        <v>2717</v>
      </c>
      <c r="D161" s="25">
        <v>46080</v>
      </c>
      <c r="E161" s="23" t="s">
        <v>832</v>
      </c>
      <c r="F161" s="23">
        <v>3989</v>
      </c>
      <c r="G161" t="s">
        <v>222</v>
      </c>
      <c r="H161" t="s">
        <v>831</v>
      </c>
      <c r="I161" t="s">
        <v>222</v>
      </c>
      <c r="J161" t="s">
        <v>831</v>
      </c>
    </row>
    <row r="162" spans="1:10" x14ac:dyDescent="0.25">
      <c r="A162" s="23">
        <v>64956417</v>
      </c>
      <c r="B162" s="23" t="s">
        <v>220</v>
      </c>
      <c r="C162" s="23">
        <v>2829</v>
      </c>
      <c r="D162" s="25">
        <v>46080</v>
      </c>
      <c r="E162" s="23" t="s">
        <v>832</v>
      </c>
      <c r="F162" s="23">
        <v>3989</v>
      </c>
      <c r="G162" t="s">
        <v>222</v>
      </c>
      <c r="H162" t="s">
        <v>831</v>
      </c>
      <c r="I162" t="s">
        <v>222</v>
      </c>
      <c r="J162" t="s">
        <v>831</v>
      </c>
    </row>
    <row r="163" spans="1:10" x14ac:dyDescent="0.25">
      <c r="A163" s="23">
        <v>64771676</v>
      </c>
      <c r="B163" s="23" t="s">
        <v>220</v>
      </c>
      <c r="C163" s="23">
        <v>3900</v>
      </c>
      <c r="D163" s="25">
        <v>46081</v>
      </c>
      <c r="E163" s="23" t="s">
        <v>262</v>
      </c>
      <c r="F163" s="23">
        <v>1419</v>
      </c>
      <c r="G163" t="s">
        <v>222</v>
      </c>
      <c r="H163" t="s">
        <v>831</v>
      </c>
      <c r="I163" t="s">
        <v>222</v>
      </c>
      <c r="J163" t="s">
        <v>831</v>
      </c>
    </row>
    <row r="164" spans="1:10" x14ac:dyDescent="0.25">
      <c r="A164" s="23">
        <v>64771676</v>
      </c>
      <c r="B164" s="23" t="s">
        <v>220</v>
      </c>
      <c r="C164" s="23">
        <v>3900</v>
      </c>
      <c r="D164" s="25">
        <v>46081</v>
      </c>
      <c r="E164" s="23" t="s">
        <v>262</v>
      </c>
      <c r="F164" s="23">
        <v>1419</v>
      </c>
      <c r="G164" t="s">
        <v>222</v>
      </c>
      <c r="H164" t="s">
        <v>831</v>
      </c>
      <c r="I164" t="s">
        <v>222</v>
      </c>
      <c r="J164" t="s">
        <v>831</v>
      </c>
    </row>
    <row r="165" spans="1:10" x14ac:dyDescent="0.25">
      <c r="A165" s="23">
        <v>64771676</v>
      </c>
      <c r="B165" s="23" t="s">
        <v>220</v>
      </c>
      <c r="C165" s="23">
        <v>3900</v>
      </c>
      <c r="D165" s="25">
        <v>46081</v>
      </c>
      <c r="E165" s="23" t="s">
        <v>262</v>
      </c>
      <c r="F165" s="23">
        <v>1419</v>
      </c>
      <c r="G165" t="s">
        <v>222</v>
      </c>
      <c r="H165" t="s">
        <v>831</v>
      </c>
      <c r="I165" t="s">
        <v>222</v>
      </c>
      <c r="J165" t="s">
        <v>831</v>
      </c>
    </row>
    <row r="166" spans="1:10" x14ac:dyDescent="0.25">
      <c r="A166" s="23">
        <v>64956417</v>
      </c>
      <c r="B166" s="23" t="s">
        <v>220</v>
      </c>
      <c r="C166" s="23">
        <v>2860</v>
      </c>
      <c r="D166" s="25">
        <v>46084</v>
      </c>
      <c r="E166" s="23" t="s">
        <v>832</v>
      </c>
      <c r="F166" s="23">
        <v>1419</v>
      </c>
      <c r="G166" t="s">
        <v>222</v>
      </c>
      <c r="H166" t="s">
        <v>831</v>
      </c>
      <c r="I166" t="s">
        <v>222</v>
      </c>
      <c r="J166" t="s">
        <v>831</v>
      </c>
    </row>
    <row r="167" spans="1:10" x14ac:dyDescent="0.25">
      <c r="A167" s="23">
        <v>64956417</v>
      </c>
      <c r="B167" s="23" t="s">
        <v>220</v>
      </c>
      <c r="C167" s="23">
        <v>2860</v>
      </c>
      <c r="D167" s="25">
        <v>46084</v>
      </c>
      <c r="E167" s="23" t="s">
        <v>832</v>
      </c>
      <c r="F167" s="23">
        <v>1419</v>
      </c>
      <c r="G167" t="s">
        <v>222</v>
      </c>
      <c r="H167" t="s">
        <v>831</v>
      </c>
      <c r="I167" t="s">
        <v>222</v>
      </c>
      <c r="J167" t="s">
        <v>831</v>
      </c>
    </row>
    <row r="168" spans="1:10" x14ac:dyDescent="0.25">
      <c r="A168" s="23">
        <v>64771676</v>
      </c>
      <c r="B168" s="23" t="s">
        <v>220</v>
      </c>
      <c r="C168" s="23">
        <v>3900</v>
      </c>
      <c r="D168" s="25">
        <v>46084</v>
      </c>
      <c r="E168" s="23" t="s">
        <v>262</v>
      </c>
      <c r="F168" s="23">
        <v>1419</v>
      </c>
      <c r="G168" t="s">
        <v>222</v>
      </c>
      <c r="H168" t="s">
        <v>831</v>
      </c>
      <c r="I168" t="s">
        <v>222</v>
      </c>
      <c r="J168" t="s">
        <v>831</v>
      </c>
    </row>
    <row r="169" spans="1:10" x14ac:dyDescent="0.25">
      <c r="A169" s="23">
        <v>64956417</v>
      </c>
      <c r="B169" s="23" t="s">
        <v>220</v>
      </c>
      <c r="C169" s="23">
        <v>2860</v>
      </c>
      <c r="D169" s="25">
        <v>46085</v>
      </c>
      <c r="E169" s="23" t="s">
        <v>832</v>
      </c>
      <c r="F169" s="23">
        <v>1419</v>
      </c>
      <c r="G169" t="s">
        <v>222</v>
      </c>
      <c r="H169" t="s">
        <v>831</v>
      </c>
      <c r="I169" t="s">
        <v>222</v>
      </c>
      <c r="J169" t="s">
        <v>831</v>
      </c>
    </row>
    <row r="170" spans="1:10" x14ac:dyDescent="0.25">
      <c r="A170" s="23">
        <v>64956417</v>
      </c>
      <c r="B170" s="23" t="s">
        <v>220</v>
      </c>
      <c r="C170" s="23">
        <v>2860</v>
      </c>
      <c r="D170" s="25">
        <v>46085</v>
      </c>
      <c r="E170" s="23" t="s">
        <v>832</v>
      </c>
      <c r="F170" s="23">
        <v>1419</v>
      </c>
      <c r="G170" t="s">
        <v>222</v>
      </c>
      <c r="H170" t="s">
        <v>831</v>
      </c>
      <c r="I170" t="s">
        <v>222</v>
      </c>
      <c r="J170" t="s">
        <v>831</v>
      </c>
    </row>
    <row r="171" spans="1:10" x14ac:dyDescent="0.25">
      <c r="A171" s="23">
        <v>64365613</v>
      </c>
      <c r="B171" s="23" t="s">
        <v>220</v>
      </c>
      <c r="C171" s="23">
        <v>3900</v>
      </c>
      <c r="D171" s="25">
        <v>46085</v>
      </c>
      <c r="E171" s="23" t="s">
        <v>247</v>
      </c>
      <c r="F171" s="23">
        <v>1419</v>
      </c>
      <c r="G171" t="s">
        <v>222</v>
      </c>
      <c r="H171" t="s">
        <v>831</v>
      </c>
      <c r="I171" t="s">
        <v>222</v>
      </c>
      <c r="J171" t="s">
        <v>831</v>
      </c>
    </row>
    <row r="172" spans="1:10" x14ac:dyDescent="0.25">
      <c r="A172" s="23">
        <v>64771676</v>
      </c>
      <c r="B172" s="23" t="s">
        <v>220</v>
      </c>
      <c r="C172" s="23">
        <v>3900</v>
      </c>
      <c r="D172" s="25">
        <v>46085</v>
      </c>
      <c r="E172" s="23" t="s">
        <v>262</v>
      </c>
      <c r="F172" s="23">
        <v>1419</v>
      </c>
      <c r="G172" t="s">
        <v>222</v>
      </c>
      <c r="H172" t="s">
        <v>831</v>
      </c>
      <c r="I172" t="s">
        <v>222</v>
      </c>
      <c r="J172" t="s">
        <v>831</v>
      </c>
    </row>
    <row r="173" spans="1:10" x14ac:dyDescent="0.25">
      <c r="A173" s="23">
        <v>64341109</v>
      </c>
      <c r="B173" s="23" t="s">
        <v>220</v>
      </c>
      <c r="C173" s="23">
        <v>4200</v>
      </c>
      <c r="D173" s="25">
        <v>46085</v>
      </c>
      <c r="E173" s="23" t="s">
        <v>276</v>
      </c>
      <c r="F173" s="23">
        <v>1419</v>
      </c>
      <c r="G173" t="s">
        <v>222</v>
      </c>
      <c r="H173" t="s">
        <v>831</v>
      </c>
      <c r="I173" t="s">
        <v>222</v>
      </c>
      <c r="J173" t="s">
        <v>831</v>
      </c>
    </row>
    <row r="174" spans="1:10" x14ac:dyDescent="0.25">
      <c r="A174" s="23">
        <v>64956417</v>
      </c>
      <c r="B174" s="23" t="s">
        <v>220</v>
      </c>
      <c r="C174" s="23">
        <v>2860</v>
      </c>
      <c r="D174" s="25">
        <v>46086</v>
      </c>
      <c r="E174" s="23" t="s">
        <v>832</v>
      </c>
      <c r="F174" s="23">
        <v>1419</v>
      </c>
      <c r="G174" t="s">
        <v>222</v>
      </c>
      <c r="H174" t="s">
        <v>831</v>
      </c>
      <c r="I174" t="s">
        <v>222</v>
      </c>
      <c r="J174" t="s">
        <v>831</v>
      </c>
    </row>
    <row r="175" spans="1:10" x14ac:dyDescent="0.25">
      <c r="A175" s="23">
        <v>64365613</v>
      </c>
      <c r="B175" s="23" t="s">
        <v>220</v>
      </c>
      <c r="C175" s="23">
        <v>3120</v>
      </c>
      <c r="D175" s="25">
        <v>46086</v>
      </c>
      <c r="E175" s="23" t="s">
        <v>247</v>
      </c>
      <c r="F175" s="23">
        <v>1419</v>
      </c>
      <c r="G175" t="s">
        <v>222</v>
      </c>
      <c r="H175" t="s">
        <v>831</v>
      </c>
      <c r="I175" t="s">
        <v>222</v>
      </c>
      <c r="J175" t="s">
        <v>831</v>
      </c>
    </row>
    <row r="176" spans="1:10" x14ac:dyDescent="0.25">
      <c r="A176" s="23">
        <v>64341108</v>
      </c>
      <c r="B176" s="23" t="s">
        <v>220</v>
      </c>
      <c r="C176" s="23">
        <v>4200</v>
      </c>
      <c r="D176" s="25">
        <v>46086</v>
      </c>
      <c r="E176" s="23" t="s">
        <v>221</v>
      </c>
      <c r="F176" s="23">
        <v>1419</v>
      </c>
      <c r="G176" t="s">
        <v>222</v>
      </c>
      <c r="H176" t="s">
        <v>831</v>
      </c>
      <c r="I176" t="s">
        <v>222</v>
      </c>
      <c r="J176" t="s">
        <v>831</v>
      </c>
    </row>
    <row r="177" spans="1:10" x14ac:dyDescent="0.25">
      <c r="A177" s="23">
        <v>64341109</v>
      </c>
      <c r="B177" s="23" t="s">
        <v>220</v>
      </c>
      <c r="C177" s="23">
        <v>4200</v>
      </c>
      <c r="D177" s="25">
        <v>46086</v>
      </c>
      <c r="E177" s="23" t="s">
        <v>276</v>
      </c>
      <c r="F177" s="23">
        <v>1419</v>
      </c>
      <c r="G177" t="s">
        <v>222</v>
      </c>
      <c r="H177" t="s">
        <v>831</v>
      </c>
      <c r="I177" t="s">
        <v>222</v>
      </c>
      <c r="J177" t="s">
        <v>831</v>
      </c>
    </row>
    <row r="178" spans="1:10" x14ac:dyDescent="0.25">
      <c r="A178" s="23">
        <v>64341109</v>
      </c>
      <c r="B178" s="23" t="s">
        <v>220</v>
      </c>
      <c r="C178" s="23">
        <v>4200</v>
      </c>
      <c r="D178" s="25">
        <v>46086</v>
      </c>
      <c r="E178" s="23" t="s">
        <v>276</v>
      </c>
      <c r="F178" s="23">
        <v>1419</v>
      </c>
      <c r="G178" t="s">
        <v>222</v>
      </c>
      <c r="H178" t="s">
        <v>831</v>
      </c>
      <c r="I178" t="s">
        <v>222</v>
      </c>
      <c r="J178" t="s">
        <v>831</v>
      </c>
    </row>
    <row r="179" spans="1:10" x14ac:dyDescent="0.25">
      <c r="A179" s="23">
        <v>64341109</v>
      </c>
      <c r="B179" s="23" t="s">
        <v>220</v>
      </c>
      <c r="C179" s="23">
        <v>4200</v>
      </c>
      <c r="D179" s="25">
        <v>46086</v>
      </c>
      <c r="E179" s="23" t="s">
        <v>276</v>
      </c>
      <c r="F179" s="23">
        <v>1419</v>
      </c>
      <c r="G179" t="s">
        <v>222</v>
      </c>
      <c r="H179" t="s">
        <v>831</v>
      </c>
      <c r="I179" t="s">
        <v>222</v>
      </c>
      <c r="J179" t="s">
        <v>831</v>
      </c>
    </row>
    <row r="180" spans="1:10" x14ac:dyDescent="0.25">
      <c r="A180" s="23">
        <v>64956417</v>
      </c>
      <c r="B180" s="23" t="s">
        <v>220</v>
      </c>
      <c r="C180" s="23">
        <v>2860</v>
      </c>
      <c r="D180" s="25">
        <v>46087</v>
      </c>
      <c r="E180" s="23" t="s">
        <v>832</v>
      </c>
      <c r="F180" s="23">
        <v>1419</v>
      </c>
      <c r="G180" t="s">
        <v>222</v>
      </c>
      <c r="H180" t="s">
        <v>831</v>
      </c>
      <c r="I180" t="s">
        <v>222</v>
      </c>
      <c r="J180" t="s">
        <v>831</v>
      </c>
    </row>
    <row r="181" spans="1:10" x14ac:dyDescent="0.25">
      <c r="A181" s="23">
        <v>64956417</v>
      </c>
      <c r="B181" s="23" t="s">
        <v>220</v>
      </c>
      <c r="C181" s="23">
        <v>2860</v>
      </c>
      <c r="D181" s="25">
        <v>46087</v>
      </c>
      <c r="E181" s="23" t="s">
        <v>832</v>
      </c>
      <c r="F181" s="23">
        <v>1419</v>
      </c>
      <c r="G181" t="s">
        <v>222</v>
      </c>
      <c r="H181" t="s">
        <v>831</v>
      </c>
      <c r="I181" t="s">
        <v>222</v>
      </c>
      <c r="J181" t="s">
        <v>831</v>
      </c>
    </row>
    <row r="182" spans="1:10" x14ac:dyDescent="0.25">
      <c r="A182" s="23">
        <v>64771676</v>
      </c>
      <c r="B182" s="23" t="s">
        <v>220</v>
      </c>
      <c r="C182" s="23">
        <v>3900</v>
      </c>
      <c r="D182" s="25">
        <v>46087</v>
      </c>
      <c r="E182" s="23" t="s">
        <v>262</v>
      </c>
      <c r="F182" s="23">
        <v>1419</v>
      </c>
      <c r="G182" t="s">
        <v>222</v>
      </c>
      <c r="H182" t="s">
        <v>831</v>
      </c>
      <c r="I182" t="s">
        <v>222</v>
      </c>
      <c r="J182" t="s">
        <v>831</v>
      </c>
    </row>
    <row r="183" spans="1:10" x14ac:dyDescent="0.25">
      <c r="A183" s="23">
        <v>64771676</v>
      </c>
      <c r="B183" s="23" t="s">
        <v>220</v>
      </c>
      <c r="C183" s="23">
        <v>3900</v>
      </c>
      <c r="D183" s="25">
        <v>46087</v>
      </c>
      <c r="E183" s="23" t="s">
        <v>262</v>
      </c>
      <c r="F183" s="23">
        <v>1419</v>
      </c>
      <c r="G183" t="s">
        <v>222</v>
      </c>
      <c r="H183" t="s">
        <v>831</v>
      </c>
      <c r="I183" t="s">
        <v>222</v>
      </c>
      <c r="J183" t="s">
        <v>831</v>
      </c>
    </row>
    <row r="184" spans="1:10" x14ac:dyDescent="0.25">
      <c r="A184" s="23">
        <v>64341108</v>
      </c>
      <c r="B184" s="23" t="s">
        <v>220</v>
      </c>
      <c r="C184" s="23">
        <v>4200</v>
      </c>
      <c r="D184" s="25">
        <v>46087</v>
      </c>
      <c r="E184" s="23" t="s">
        <v>221</v>
      </c>
      <c r="F184" s="23">
        <v>1419</v>
      </c>
      <c r="G184" t="s">
        <v>222</v>
      </c>
      <c r="H184" t="s">
        <v>831</v>
      </c>
      <c r="I184" t="s">
        <v>222</v>
      </c>
      <c r="J184" t="s">
        <v>831</v>
      </c>
    </row>
    <row r="185" spans="1:10" x14ac:dyDescent="0.25">
      <c r="A185" s="23">
        <v>64341109</v>
      </c>
      <c r="B185" s="23" t="s">
        <v>220</v>
      </c>
      <c r="C185" s="23">
        <v>4200</v>
      </c>
      <c r="D185" s="25">
        <v>46087</v>
      </c>
      <c r="E185" s="23" t="s">
        <v>276</v>
      </c>
      <c r="F185" s="23">
        <v>1419</v>
      </c>
      <c r="G185" t="s">
        <v>222</v>
      </c>
      <c r="H185" t="s">
        <v>831</v>
      </c>
      <c r="I185" t="s">
        <v>222</v>
      </c>
      <c r="J185" t="s">
        <v>831</v>
      </c>
    </row>
    <row r="186" spans="1:10" x14ac:dyDescent="0.25">
      <c r="A186" s="23">
        <v>64956417</v>
      </c>
      <c r="B186" s="23" t="s">
        <v>220</v>
      </c>
      <c r="C186" s="23">
        <v>2717</v>
      </c>
      <c r="D186" s="25">
        <v>46090</v>
      </c>
      <c r="E186" s="23" t="s">
        <v>832</v>
      </c>
      <c r="F186" s="23">
        <v>3989</v>
      </c>
      <c r="G186" t="s">
        <v>222</v>
      </c>
      <c r="H186" t="s">
        <v>831</v>
      </c>
      <c r="I186" t="s">
        <v>222</v>
      </c>
      <c r="J186" t="s">
        <v>831</v>
      </c>
    </row>
    <row r="187" spans="1:10" x14ac:dyDescent="0.25">
      <c r="A187" s="23">
        <v>64956417</v>
      </c>
      <c r="B187" s="23" t="s">
        <v>220</v>
      </c>
      <c r="C187" s="23">
        <v>2717</v>
      </c>
      <c r="D187" s="25">
        <v>46090</v>
      </c>
      <c r="E187" s="23" t="s">
        <v>832</v>
      </c>
      <c r="F187" s="23">
        <v>3989</v>
      </c>
      <c r="G187" t="s">
        <v>222</v>
      </c>
      <c r="H187" t="s">
        <v>831</v>
      </c>
      <c r="I187" t="s">
        <v>222</v>
      </c>
      <c r="J187" t="s">
        <v>831</v>
      </c>
    </row>
    <row r="188" spans="1:10" x14ac:dyDescent="0.25">
      <c r="A188" s="23">
        <v>64956417</v>
      </c>
      <c r="B188" s="23" t="s">
        <v>220</v>
      </c>
      <c r="C188" s="23">
        <v>2860</v>
      </c>
      <c r="D188" s="25">
        <v>46090</v>
      </c>
      <c r="E188" s="23" t="s">
        <v>832</v>
      </c>
      <c r="F188" s="23">
        <v>1419</v>
      </c>
      <c r="G188" t="s">
        <v>222</v>
      </c>
      <c r="H188" t="s">
        <v>831</v>
      </c>
      <c r="I188" t="s">
        <v>222</v>
      </c>
      <c r="J188" t="s">
        <v>831</v>
      </c>
    </row>
    <row r="189" spans="1:10" x14ac:dyDescent="0.25">
      <c r="A189" s="23">
        <v>64956417</v>
      </c>
      <c r="B189" s="23" t="s">
        <v>220</v>
      </c>
      <c r="C189" s="23">
        <v>2860</v>
      </c>
      <c r="D189" s="25">
        <v>46090</v>
      </c>
      <c r="E189" s="23" t="s">
        <v>832</v>
      </c>
      <c r="F189" s="23">
        <v>3989</v>
      </c>
      <c r="G189" t="s">
        <v>222</v>
      </c>
      <c r="H189" t="s">
        <v>831</v>
      </c>
      <c r="I189" t="s">
        <v>222</v>
      </c>
      <c r="J189" t="s">
        <v>831</v>
      </c>
    </row>
    <row r="190" spans="1:10" x14ac:dyDescent="0.25">
      <c r="A190" s="23">
        <v>64403162</v>
      </c>
      <c r="B190" s="23" t="s">
        <v>220</v>
      </c>
      <c r="C190" s="23">
        <v>3900</v>
      </c>
      <c r="D190" s="25">
        <v>46090</v>
      </c>
      <c r="E190" s="23" t="s">
        <v>839</v>
      </c>
      <c r="F190" s="23">
        <v>3989</v>
      </c>
      <c r="G190" t="s">
        <v>222</v>
      </c>
      <c r="H190" t="s">
        <v>831</v>
      </c>
      <c r="I190" t="s">
        <v>222</v>
      </c>
      <c r="J190" t="s">
        <v>831</v>
      </c>
    </row>
    <row r="191" spans="1:10" x14ac:dyDescent="0.25">
      <c r="A191" s="23">
        <v>64771676</v>
      </c>
      <c r="B191" s="23" t="s">
        <v>220</v>
      </c>
      <c r="C191" s="23">
        <v>3900</v>
      </c>
      <c r="D191" s="25">
        <v>46090</v>
      </c>
      <c r="E191" s="23" t="s">
        <v>262</v>
      </c>
      <c r="F191" s="23">
        <v>1419</v>
      </c>
      <c r="G191" t="s">
        <v>222</v>
      </c>
      <c r="H191" t="s">
        <v>831</v>
      </c>
      <c r="I191" t="s">
        <v>222</v>
      </c>
      <c r="J191" t="s">
        <v>831</v>
      </c>
    </row>
    <row r="192" spans="1:10" x14ac:dyDescent="0.25">
      <c r="A192" s="23">
        <v>64771676</v>
      </c>
      <c r="B192" s="23" t="s">
        <v>220</v>
      </c>
      <c r="C192" s="23">
        <v>3900</v>
      </c>
      <c r="D192" s="25">
        <v>46090</v>
      </c>
      <c r="E192" s="23" t="s">
        <v>262</v>
      </c>
      <c r="F192" s="23">
        <v>3989</v>
      </c>
      <c r="G192" t="s">
        <v>222</v>
      </c>
      <c r="H192" t="s">
        <v>831</v>
      </c>
      <c r="I192" t="s">
        <v>222</v>
      </c>
      <c r="J192" t="s">
        <v>831</v>
      </c>
    </row>
    <row r="193" spans="1:10" x14ac:dyDescent="0.25">
      <c r="A193" s="23">
        <v>64771676</v>
      </c>
      <c r="B193" s="23" t="s">
        <v>220</v>
      </c>
      <c r="C193" s="23">
        <v>3900</v>
      </c>
      <c r="D193" s="25">
        <v>46090</v>
      </c>
      <c r="E193" s="23" t="s">
        <v>262</v>
      </c>
      <c r="F193" s="23">
        <v>3989</v>
      </c>
      <c r="G193" t="s">
        <v>222</v>
      </c>
      <c r="H193" t="s">
        <v>831</v>
      </c>
      <c r="I193" t="s">
        <v>222</v>
      </c>
      <c r="J193" t="s">
        <v>831</v>
      </c>
    </row>
    <row r="194" spans="1:10" x14ac:dyDescent="0.25">
      <c r="A194" s="23">
        <v>64771676</v>
      </c>
      <c r="B194" s="23" t="s">
        <v>220</v>
      </c>
      <c r="C194" s="23">
        <v>3900</v>
      </c>
      <c r="D194" s="25">
        <v>46090</v>
      </c>
      <c r="E194" s="23" t="s">
        <v>262</v>
      </c>
      <c r="F194" s="23">
        <v>3989</v>
      </c>
      <c r="G194" t="s">
        <v>222</v>
      </c>
      <c r="H194" t="s">
        <v>831</v>
      </c>
      <c r="I194" t="s">
        <v>222</v>
      </c>
      <c r="J194" t="s">
        <v>831</v>
      </c>
    </row>
    <row r="195" spans="1:10" x14ac:dyDescent="0.25">
      <c r="A195" s="23">
        <v>64365613</v>
      </c>
      <c r="B195" s="23" t="s">
        <v>220</v>
      </c>
      <c r="C195" s="23">
        <v>3900</v>
      </c>
      <c r="D195" s="25">
        <v>46090</v>
      </c>
      <c r="E195" s="23" t="s">
        <v>247</v>
      </c>
      <c r="F195" s="23">
        <v>3989</v>
      </c>
      <c r="G195" t="s">
        <v>222</v>
      </c>
      <c r="H195" t="s">
        <v>831</v>
      </c>
      <c r="I195" t="s">
        <v>222</v>
      </c>
      <c r="J195" t="s">
        <v>831</v>
      </c>
    </row>
    <row r="196" spans="1:10" x14ac:dyDescent="0.25">
      <c r="A196" s="23">
        <v>64341108</v>
      </c>
      <c r="B196" s="23" t="s">
        <v>220</v>
      </c>
      <c r="C196" s="23">
        <v>4200</v>
      </c>
      <c r="D196" s="25">
        <v>46090</v>
      </c>
      <c r="E196" s="23" t="s">
        <v>221</v>
      </c>
      <c r="F196" s="23">
        <v>3989</v>
      </c>
      <c r="G196" t="s">
        <v>222</v>
      </c>
      <c r="H196" t="s">
        <v>831</v>
      </c>
      <c r="I196" t="s">
        <v>222</v>
      </c>
      <c r="J196" t="s">
        <v>831</v>
      </c>
    </row>
    <row r="197" spans="1:10" x14ac:dyDescent="0.25">
      <c r="A197" s="23">
        <v>64341109</v>
      </c>
      <c r="B197" s="23" t="s">
        <v>220</v>
      </c>
      <c r="C197" s="23">
        <v>4200</v>
      </c>
      <c r="D197" s="25">
        <v>46090</v>
      </c>
      <c r="E197" s="23" t="s">
        <v>276</v>
      </c>
      <c r="F197" s="23">
        <v>1419</v>
      </c>
      <c r="G197" t="s">
        <v>222</v>
      </c>
      <c r="H197" t="s">
        <v>831</v>
      </c>
      <c r="I197" t="s">
        <v>222</v>
      </c>
      <c r="J197" t="s">
        <v>831</v>
      </c>
    </row>
    <row r="198" spans="1:10" x14ac:dyDescent="0.25">
      <c r="A198" s="23">
        <v>64401837</v>
      </c>
      <c r="B198" s="23" t="s">
        <v>220</v>
      </c>
      <c r="C198" s="23">
        <v>3000</v>
      </c>
      <c r="D198" s="25">
        <v>46091</v>
      </c>
      <c r="E198" s="23" t="s">
        <v>238</v>
      </c>
      <c r="F198" s="23">
        <v>3989</v>
      </c>
      <c r="G198" t="s">
        <v>222</v>
      </c>
      <c r="H198" t="s">
        <v>831</v>
      </c>
      <c r="I198" t="s">
        <v>222</v>
      </c>
      <c r="J198" t="s">
        <v>831</v>
      </c>
    </row>
    <row r="199" spans="1:10" x14ac:dyDescent="0.25">
      <c r="A199" s="23">
        <v>64771676</v>
      </c>
      <c r="B199" s="23" t="s">
        <v>220</v>
      </c>
      <c r="C199" s="23">
        <v>3900</v>
      </c>
      <c r="D199" s="25">
        <v>46091</v>
      </c>
      <c r="E199" s="23" t="s">
        <v>262</v>
      </c>
      <c r="F199" s="23">
        <v>3989</v>
      </c>
      <c r="G199" t="s">
        <v>222</v>
      </c>
      <c r="H199" t="s">
        <v>831</v>
      </c>
      <c r="I199" t="s">
        <v>222</v>
      </c>
      <c r="J199" t="s">
        <v>831</v>
      </c>
    </row>
    <row r="200" spans="1:10" x14ac:dyDescent="0.25">
      <c r="A200" s="23">
        <v>64341109</v>
      </c>
      <c r="B200" s="23" t="s">
        <v>220</v>
      </c>
      <c r="C200" s="23">
        <v>4200</v>
      </c>
      <c r="D200" s="25">
        <v>46091</v>
      </c>
      <c r="E200" s="23" t="s">
        <v>276</v>
      </c>
      <c r="F200" s="23">
        <v>3989</v>
      </c>
      <c r="G200" t="s">
        <v>222</v>
      </c>
      <c r="H200" t="s">
        <v>831</v>
      </c>
      <c r="I200" t="s">
        <v>222</v>
      </c>
      <c r="J200" t="s">
        <v>831</v>
      </c>
    </row>
    <row r="201" spans="1:10" x14ac:dyDescent="0.25">
      <c r="A201" s="23">
        <v>64365613</v>
      </c>
      <c r="B201" s="23" t="s">
        <v>220</v>
      </c>
      <c r="C201" s="23">
        <v>3900</v>
      </c>
      <c r="D201" s="25">
        <v>46092</v>
      </c>
      <c r="E201" s="23" t="s">
        <v>247</v>
      </c>
      <c r="F201" s="23">
        <v>1419</v>
      </c>
      <c r="G201" t="s">
        <v>222</v>
      </c>
      <c r="H201" t="s">
        <v>831</v>
      </c>
      <c r="I201" t="s">
        <v>222</v>
      </c>
      <c r="J201" t="s">
        <v>831</v>
      </c>
    </row>
    <row r="202" spans="1:10" x14ac:dyDescent="0.25">
      <c r="A202" s="23">
        <v>64365613</v>
      </c>
      <c r="B202" s="23" t="s">
        <v>220</v>
      </c>
      <c r="C202" s="23">
        <v>3900</v>
      </c>
      <c r="D202" s="25">
        <v>46092</v>
      </c>
      <c r="E202" s="23" t="s">
        <v>247</v>
      </c>
      <c r="F202" s="23">
        <v>1419</v>
      </c>
      <c r="G202" t="s">
        <v>222</v>
      </c>
      <c r="H202" t="s">
        <v>831</v>
      </c>
      <c r="I202" t="s">
        <v>222</v>
      </c>
      <c r="J202" t="s">
        <v>831</v>
      </c>
    </row>
    <row r="203" spans="1:10" x14ac:dyDescent="0.25">
      <c r="A203" s="23">
        <v>64771676</v>
      </c>
      <c r="B203" s="23" t="s">
        <v>220</v>
      </c>
      <c r="C203" s="23">
        <v>3900</v>
      </c>
      <c r="D203" s="25">
        <v>46092</v>
      </c>
      <c r="E203" s="23" t="s">
        <v>262</v>
      </c>
      <c r="F203" s="23">
        <v>3989</v>
      </c>
      <c r="G203" t="s">
        <v>222</v>
      </c>
      <c r="H203" t="s">
        <v>831</v>
      </c>
      <c r="I203" t="s">
        <v>222</v>
      </c>
      <c r="J203" t="s">
        <v>831</v>
      </c>
    </row>
    <row r="204" spans="1:10" x14ac:dyDescent="0.25">
      <c r="A204" s="23">
        <v>64771676</v>
      </c>
      <c r="B204" s="23" t="s">
        <v>220</v>
      </c>
      <c r="C204" s="23">
        <v>3900</v>
      </c>
      <c r="D204" s="25">
        <v>46092</v>
      </c>
      <c r="E204" s="23" t="s">
        <v>262</v>
      </c>
      <c r="F204" s="23">
        <v>3989</v>
      </c>
      <c r="G204" t="s">
        <v>222</v>
      </c>
      <c r="H204" t="s">
        <v>831</v>
      </c>
      <c r="I204" t="s">
        <v>222</v>
      </c>
      <c r="J204" t="s">
        <v>831</v>
      </c>
    </row>
    <row r="205" spans="1:10" x14ac:dyDescent="0.25">
      <c r="A205" s="23">
        <v>64771676</v>
      </c>
      <c r="B205" s="23" t="s">
        <v>220</v>
      </c>
      <c r="C205" s="23">
        <v>3900</v>
      </c>
      <c r="D205" s="25">
        <v>46093</v>
      </c>
      <c r="E205" s="23" t="s">
        <v>262</v>
      </c>
      <c r="F205" s="23">
        <v>3989</v>
      </c>
      <c r="G205" t="s">
        <v>222</v>
      </c>
      <c r="H205" t="s">
        <v>831</v>
      </c>
      <c r="I205" t="s">
        <v>222</v>
      </c>
      <c r="J205" t="s">
        <v>831</v>
      </c>
    </row>
    <row r="206" spans="1:10" x14ac:dyDescent="0.25">
      <c r="A206" s="23">
        <v>64341109</v>
      </c>
      <c r="B206" s="23" t="s">
        <v>220</v>
      </c>
      <c r="C206" s="23">
        <v>4200</v>
      </c>
      <c r="D206" s="25">
        <v>46093</v>
      </c>
      <c r="E206" s="23" t="s">
        <v>276</v>
      </c>
      <c r="F206" s="23">
        <v>3989</v>
      </c>
      <c r="G206" t="s">
        <v>222</v>
      </c>
      <c r="H206" t="s">
        <v>831</v>
      </c>
      <c r="I206" t="s">
        <v>222</v>
      </c>
      <c r="J206" t="s">
        <v>831</v>
      </c>
    </row>
    <row r="207" spans="1:10" x14ac:dyDescent="0.25">
      <c r="A207" s="23">
        <v>64341109</v>
      </c>
      <c r="B207" s="23" t="s">
        <v>220</v>
      </c>
      <c r="C207" s="23">
        <v>210</v>
      </c>
      <c r="D207" s="25">
        <v>46094</v>
      </c>
      <c r="E207" s="23" t="s">
        <v>276</v>
      </c>
      <c r="F207" s="23">
        <v>1419</v>
      </c>
      <c r="G207" t="s">
        <v>222</v>
      </c>
      <c r="H207" t="s">
        <v>831</v>
      </c>
      <c r="I207" t="s">
        <v>222</v>
      </c>
      <c r="J207" t="s">
        <v>831</v>
      </c>
    </row>
    <row r="208" spans="1:10" x14ac:dyDescent="0.25">
      <c r="A208" s="23">
        <v>64771676</v>
      </c>
      <c r="B208" s="23" t="s">
        <v>220</v>
      </c>
      <c r="C208" s="23">
        <v>3704</v>
      </c>
      <c r="D208" s="25">
        <v>46094</v>
      </c>
      <c r="E208" s="23" t="s">
        <v>262</v>
      </c>
      <c r="F208" s="23">
        <v>1419</v>
      </c>
      <c r="G208" t="s">
        <v>222</v>
      </c>
      <c r="H208" t="s">
        <v>831</v>
      </c>
      <c r="I208" t="s">
        <v>222</v>
      </c>
      <c r="J208" t="s">
        <v>831</v>
      </c>
    </row>
    <row r="209" spans="1:10" x14ac:dyDescent="0.25">
      <c r="A209" s="23">
        <v>64365613</v>
      </c>
      <c r="B209" s="23" t="s">
        <v>220</v>
      </c>
      <c r="C209" s="23">
        <v>3900</v>
      </c>
      <c r="D209" s="25">
        <v>46094</v>
      </c>
      <c r="E209" s="23" t="s">
        <v>247</v>
      </c>
      <c r="F209" s="23">
        <v>3989</v>
      </c>
      <c r="G209" t="s">
        <v>222</v>
      </c>
      <c r="H209" t="s">
        <v>831</v>
      </c>
      <c r="I209" t="s">
        <v>222</v>
      </c>
      <c r="J209" t="s">
        <v>831</v>
      </c>
    </row>
    <row r="210" spans="1:10" x14ac:dyDescent="0.25">
      <c r="A210" s="23">
        <v>64771676</v>
      </c>
      <c r="B210" s="23" t="s">
        <v>220</v>
      </c>
      <c r="C210" s="23">
        <v>3900</v>
      </c>
      <c r="D210" s="25">
        <v>46094</v>
      </c>
      <c r="E210" s="23" t="s">
        <v>262</v>
      </c>
      <c r="F210" s="23">
        <v>3989</v>
      </c>
      <c r="G210" t="s">
        <v>222</v>
      </c>
      <c r="H210" t="s">
        <v>831</v>
      </c>
      <c r="I210" t="s">
        <v>222</v>
      </c>
      <c r="J210" t="s">
        <v>831</v>
      </c>
    </row>
    <row r="211" spans="1:10" x14ac:dyDescent="0.25">
      <c r="A211" s="23">
        <v>64365613</v>
      </c>
      <c r="B211" s="23" t="s">
        <v>220</v>
      </c>
      <c r="C211" s="23">
        <v>3900</v>
      </c>
      <c r="D211" s="25">
        <v>46094</v>
      </c>
      <c r="E211" s="23" t="s">
        <v>247</v>
      </c>
      <c r="F211" s="23">
        <v>3989</v>
      </c>
      <c r="G211" t="s">
        <v>222</v>
      </c>
      <c r="H211" t="s">
        <v>831</v>
      </c>
      <c r="I211" t="s">
        <v>222</v>
      </c>
      <c r="J211" t="s">
        <v>831</v>
      </c>
    </row>
    <row r="212" spans="1:10" x14ac:dyDescent="0.25">
      <c r="A212" s="23">
        <v>64979444</v>
      </c>
      <c r="B212" s="23" t="s">
        <v>220</v>
      </c>
      <c r="C212" s="23">
        <v>3900</v>
      </c>
      <c r="D212" s="25">
        <v>46094</v>
      </c>
      <c r="E212" s="23" t="s">
        <v>836</v>
      </c>
      <c r="F212" s="23">
        <v>3989</v>
      </c>
      <c r="G212" t="s">
        <v>222</v>
      </c>
      <c r="H212" t="s">
        <v>831</v>
      </c>
      <c r="I212" t="s">
        <v>222</v>
      </c>
      <c r="J212" t="s">
        <v>831</v>
      </c>
    </row>
    <row r="213" spans="1:10" x14ac:dyDescent="0.25">
      <c r="A213" s="23">
        <v>64341109</v>
      </c>
      <c r="B213" s="23" t="s">
        <v>220</v>
      </c>
      <c r="C213" s="23">
        <v>4200</v>
      </c>
      <c r="D213" s="25">
        <v>46094</v>
      </c>
      <c r="E213" s="23" t="s">
        <v>276</v>
      </c>
      <c r="F213" s="23">
        <v>3989</v>
      </c>
      <c r="G213" t="s">
        <v>222</v>
      </c>
      <c r="H213" t="s">
        <v>831</v>
      </c>
      <c r="I213" t="s">
        <v>222</v>
      </c>
      <c r="J213" t="s">
        <v>831</v>
      </c>
    </row>
    <row r="214" spans="1:10" x14ac:dyDescent="0.25">
      <c r="A214" s="23">
        <v>64365613</v>
      </c>
      <c r="B214" s="23" t="s">
        <v>220</v>
      </c>
      <c r="C214" s="23">
        <v>3900</v>
      </c>
      <c r="D214" s="25">
        <v>46095</v>
      </c>
      <c r="E214" s="23" t="s">
        <v>247</v>
      </c>
      <c r="F214" s="23">
        <v>1419</v>
      </c>
      <c r="G214" t="s">
        <v>222</v>
      </c>
      <c r="H214" t="s">
        <v>831</v>
      </c>
      <c r="I214" t="s">
        <v>222</v>
      </c>
      <c r="J214" t="s">
        <v>831</v>
      </c>
    </row>
    <row r="215" spans="1:10" x14ac:dyDescent="0.25">
      <c r="A215" s="23">
        <v>64979444</v>
      </c>
      <c r="B215" s="23" t="s">
        <v>220</v>
      </c>
      <c r="C215" s="23">
        <v>3900</v>
      </c>
      <c r="D215" s="25">
        <v>46095</v>
      </c>
      <c r="E215" s="23" t="s">
        <v>836</v>
      </c>
      <c r="F215" s="23">
        <v>1419</v>
      </c>
      <c r="G215" t="s">
        <v>222</v>
      </c>
      <c r="H215" t="s">
        <v>831</v>
      </c>
      <c r="I215" t="s">
        <v>222</v>
      </c>
      <c r="J215" t="s">
        <v>831</v>
      </c>
    </row>
    <row r="216" spans="1:10" x14ac:dyDescent="0.25">
      <c r="A216" s="23">
        <v>64956417</v>
      </c>
      <c r="B216" s="23" t="s">
        <v>220</v>
      </c>
      <c r="C216" s="23">
        <v>2860</v>
      </c>
      <c r="D216" s="25">
        <v>46097</v>
      </c>
      <c r="E216" s="23" t="s">
        <v>832</v>
      </c>
      <c r="F216" s="23">
        <v>3989</v>
      </c>
      <c r="G216" t="s">
        <v>222</v>
      </c>
      <c r="H216" t="s">
        <v>831</v>
      </c>
      <c r="I216" t="s">
        <v>222</v>
      </c>
      <c r="J216" t="s">
        <v>831</v>
      </c>
    </row>
    <row r="217" spans="1:10" x14ac:dyDescent="0.25">
      <c r="A217" s="23">
        <v>64956417</v>
      </c>
      <c r="B217" s="23" t="s">
        <v>220</v>
      </c>
      <c r="C217" s="23">
        <v>2860</v>
      </c>
      <c r="D217" s="25">
        <v>46097</v>
      </c>
      <c r="E217" s="23" t="s">
        <v>832</v>
      </c>
      <c r="F217" s="23">
        <v>3989</v>
      </c>
      <c r="G217" t="s">
        <v>222</v>
      </c>
      <c r="H217" t="s">
        <v>831</v>
      </c>
      <c r="I217" t="s">
        <v>222</v>
      </c>
      <c r="J217" t="s">
        <v>831</v>
      </c>
    </row>
    <row r="218" spans="1:10" x14ac:dyDescent="0.25">
      <c r="A218" s="23">
        <v>64956417</v>
      </c>
      <c r="B218" s="23" t="s">
        <v>220</v>
      </c>
      <c r="C218" s="23">
        <v>2860</v>
      </c>
      <c r="D218" s="25">
        <v>46097</v>
      </c>
      <c r="E218" s="23" t="s">
        <v>832</v>
      </c>
      <c r="F218" s="23">
        <v>3989</v>
      </c>
      <c r="G218" t="s">
        <v>222</v>
      </c>
      <c r="H218" t="s">
        <v>831</v>
      </c>
      <c r="I218" t="s">
        <v>222</v>
      </c>
      <c r="J218" t="s">
        <v>831</v>
      </c>
    </row>
    <row r="219" spans="1:10" x14ac:dyDescent="0.25">
      <c r="A219" s="23">
        <v>64956417</v>
      </c>
      <c r="B219" s="23" t="s">
        <v>220</v>
      </c>
      <c r="C219" s="23">
        <v>2860</v>
      </c>
      <c r="D219" s="25">
        <v>46097</v>
      </c>
      <c r="E219" s="23" t="s">
        <v>832</v>
      </c>
      <c r="F219" s="23">
        <v>3989</v>
      </c>
      <c r="G219" t="s">
        <v>222</v>
      </c>
      <c r="H219" t="s">
        <v>831</v>
      </c>
      <c r="I219" t="s">
        <v>222</v>
      </c>
      <c r="J219" t="s">
        <v>831</v>
      </c>
    </row>
    <row r="220" spans="1:10" x14ac:dyDescent="0.25">
      <c r="A220" s="23">
        <v>64956417</v>
      </c>
      <c r="B220" s="23" t="s">
        <v>220</v>
      </c>
      <c r="C220" s="23">
        <v>2860</v>
      </c>
      <c r="D220" s="25">
        <v>46097</v>
      </c>
      <c r="E220" s="23" t="s">
        <v>832</v>
      </c>
      <c r="F220" s="23">
        <v>3989</v>
      </c>
      <c r="G220" t="s">
        <v>222</v>
      </c>
      <c r="H220" t="s">
        <v>831</v>
      </c>
      <c r="I220" t="s">
        <v>222</v>
      </c>
      <c r="J220" t="s">
        <v>831</v>
      </c>
    </row>
    <row r="221" spans="1:10" x14ac:dyDescent="0.25">
      <c r="A221" s="23">
        <v>64365613</v>
      </c>
      <c r="B221" s="23" t="s">
        <v>220</v>
      </c>
      <c r="C221" s="23">
        <v>3900</v>
      </c>
      <c r="D221" s="25">
        <v>46097</v>
      </c>
      <c r="E221" s="23" t="s">
        <v>247</v>
      </c>
      <c r="F221" s="23">
        <v>3989</v>
      </c>
      <c r="G221" t="s">
        <v>222</v>
      </c>
      <c r="H221" t="s">
        <v>831</v>
      </c>
      <c r="I221" t="s">
        <v>222</v>
      </c>
      <c r="J221" t="s">
        <v>831</v>
      </c>
    </row>
    <row r="222" spans="1:10" x14ac:dyDescent="0.25">
      <c r="A222" s="23">
        <v>64365613</v>
      </c>
      <c r="B222" s="23" t="s">
        <v>220</v>
      </c>
      <c r="C222" s="23">
        <v>3900</v>
      </c>
      <c r="D222" s="25">
        <v>46097</v>
      </c>
      <c r="E222" s="23" t="s">
        <v>247</v>
      </c>
      <c r="F222" s="23">
        <v>3989</v>
      </c>
      <c r="G222" t="s">
        <v>222</v>
      </c>
      <c r="H222" t="s">
        <v>831</v>
      </c>
      <c r="I222" t="s">
        <v>222</v>
      </c>
      <c r="J222" t="s">
        <v>831</v>
      </c>
    </row>
    <row r="223" spans="1:10" x14ac:dyDescent="0.25">
      <c r="A223" s="23">
        <v>64365613</v>
      </c>
      <c r="B223" s="23" t="s">
        <v>220</v>
      </c>
      <c r="C223" s="23">
        <v>3900</v>
      </c>
      <c r="D223" s="25">
        <v>46097</v>
      </c>
      <c r="E223" s="23" t="s">
        <v>247</v>
      </c>
      <c r="F223" s="23">
        <v>3989</v>
      </c>
      <c r="G223" t="s">
        <v>222</v>
      </c>
      <c r="H223" t="s">
        <v>831</v>
      </c>
      <c r="I223" t="s">
        <v>222</v>
      </c>
      <c r="J223" t="s">
        <v>831</v>
      </c>
    </row>
    <row r="224" spans="1:10" x14ac:dyDescent="0.25">
      <c r="A224" s="23">
        <v>64365613</v>
      </c>
      <c r="B224" s="23" t="s">
        <v>220</v>
      </c>
      <c r="C224" s="23">
        <v>3900</v>
      </c>
      <c r="D224" s="25">
        <v>46097</v>
      </c>
      <c r="E224" s="23" t="s">
        <v>247</v>
      </c>
      <c r="F224" s="23">
        <v>1419</v>
      </c>
      <c r="G224" t="s">
        <v>222</v>
      </c>
      <c r="H224" t="s">
        <v>831</v>
      </c>
      <c r="I224" t="s">
        <v>222</v>
      </c>
      <c r="J224" t="s">
        <v>831</v>
      </c>
    </row>
    <row r="225" spans="1:10" x14ac:dyDescent="0.25">
      <c r="A225" s="23">
        <v>64365613</v>
      </c>
      <c r="B225" s="23" t="s">
        <v>220</v>
      </c>
      <c r="C225" s="23">
        <v>3900</v>
      </c>
      <c r="D225" s="25">
        <v>46097</v>
      </c>
      <c r="E225" s="23" t="s">
        <v>247</v>
      </c>
      <c r="F225" s="23">
        <v>3989</v>
      </c>
      <c r="G225" t="s">
        <v>222</v>
      </c>
      <c r="H225" t="s">
        <v>831</v>
      </c>
      <c r="I225" t="s">
        <v>222</v>
      </c>
      <c r="J225" t="s">
        <v>831</v>
      </c>
    </row>
    <row r="226" spans="1:10" x14ac:dyDescent="0.25">
      <c r="A226" s="23">
        <v>64365613</v>
      </c>
      <c r="B226" s="23" t="s">
        <v>220</v>
      </c>
      <c r="C226" s="23">
        <v>3900</v>
      </c>
      <c r="D226" s="25">
        <v>46097</v>
      </c>
      <c r="E226" s="23" t="s">
        <v>247</v>
      </c>
      <c r="F226" s="23">
        <v>3989</v>
      </c>
      <c r="G226" t="s">
        <v>222</v>
      </c>
      <c r="H226" t="s">
        <v>831</v>
      </c>
      <c r="I226" t="s">
        <v>222</v>
      </c>
      <c r="J226" t="s">
        <v>831</v>
      </c>
    </row>
    <row r="227" spans="1:10" x14ac:dyDescent="0.25">
      <c r="A227" s="23">
        <v>64979444</v>
      </c>
      <c r="B227" s="23" t="s">
        <v>220</v>
      </c>
      <c r="C227" s="23">
        <v>3900</v>
      </c>
      <c r="D227" s="25">
        <v>46097</v>
      </c>
      <c r="E227" s="23" t="s">
        <v>836</v>
      </c>
      <c r="F227" s="23">
        <v>1419</v>
      </c>
      <c r="G227" t="s">
        <v>222</v>
      </c>
      <c r="H227" t="s">
        <v>831</v>
      </c>
      <c r="I227" t="s">
        <v>222</v>
      </c>
      <c r="J227" t="s">
        <v>831</v>
      </c>
    </row>
    <row r="228" spans="1:10" x14ac:dyDescent="0.25">
      <c r="A228" s="23">
        <v>64979444</v>
      </c>
      <c r="B228" s="23" t="s">
        <v>220</v>
      </c>
      <c r="C228" s="23">
        <v>3900</v>
      </c>
      <c r="D228" s="25">
        <v>46097</v>
      </c>
      <c r="E228" s="23" t="s">
        <v>836</v>
      </c>
      <c r="F228" s="23">
        <v>1419</v>
      </c>
      <c r="G228" t="s">
        <v>222</v>
      </c>
      <c r="H228" t="s">
        <v>831</v>
      </c>
      <c r="I228" t="s">
        <v>222</v>
      </c>
      <c r="J228" t="s">
        <v>831</v>
      </c>
    </row>
    <row r="229" spans="1:10" x14ac:dyDescent="0.25">
      <c r="A229" s="23">
        <v>64365613</v>
      </c>
      <c r="B229" s="23" t="s">
        <v>220</v>
      </c>
      <c r="C229" s="23">
        <v>3900</v>
      </c>
      <c r="D229" s="25">
        <v>46098</v>
      </c>
      <c r="E229" s="23" t="s">
        <v>247</v>
      </c>
      <c r="F229" s="23">
        <v>3989</v>
      </c>
      <c r="G229" t="s">
        <v>222</v>
      </c>
      <c r="H229" t="s">
        <v>831</v>
      </c>
      <c r="I229" t="s">
        <v>222</v>
      </c>
      <c r="J229" t="s">
        <v>831</v>
      </c>
    </row>
    <row r="230" spans="1:10" x14ac:dyDescent="0.25">
      <c r="A230" s="23">
        <v>64365613</v>
      </c>
      <c r="B230" s="23" t="s">
        <v>220</v>
      </c>
      <c r="C230" s="23">
        <v>3900</v>
      </c>
      <c r="D230" s="25">
        <v>46098</v>
      </c>
      <c r="E230" s="23" t="s">
        <v>247</v>
      </c>
      <c r="F230" s="23">
        <v>3989</v>
      </c>
      <c r="G230" t="s">
        <v>222</v>
      </c>
      <c r="H230" t="s">
        <v>831</v>
      </c>
      <c r="I230" t="s">
        <v>222</v>
      </c>
      <c r="J230" t="s">
        <v>831</v>
      </c>
    </row>
    <row r="231" spans="1:10" x14ac:dyDescent="0.25">
      <c r="A231" s="23">
        <v>64979444</v>
      </c>
      <c r="B231" s="23" t="s">
        <v>220</v>
      </c>
      <c r="C231" s="23">
        <v>3900</v>
      </c>
      <c r="D231" s="25">
        <v>46098</v>
      </c>
      <c r="E231" s="23" t="s">
        <v>836</v>
      </c>
      <c r="F231" s="23">
        <v>1419</v>
      </c>
      <c r="G231" t="s">
        <v>222</v>
      </c>
      <c r="H231" t="s">
        <v>831</v>
      </c>
      <c r="I231" t="s">
        <v>222</v>
      </c>
      <c r="J231" t="s">
        <v>831</v>
      </c>
    </row>
    <row r="232" spans="1:10" x14ac:dyDescent="0.25">
      <c r="A232" s="23">
        <v>64956417</v>
      </c>
      <c r="B232" s="23" t="s">
        <v>220</v>
      </c>
      <c r="C232" s="23">
        <v>2860</v>
      </c>
      <c r="D232" s="25">
        <v>46099</v>
      </c>
      <c r="E232" s="23" t="s">
        <v>832</v>
      </c>
      <c r="F232" s="23">
        <v>1419</v>
      </c>
      <c r="G232" t="s">
        <v>222</v>
      </c>
      <c r="H232" t="s">
        <v>831</v>
      </c>
      <c r="I232" t="s">
        <v>222</v>
      </c>
      <c r="J232" t="s">
        <v>831</v>
      </c>
    </row>
    <row r="233" spans="1:10" x14ac:dyDescent="0.25">
      <c r="A233" s="23">
        <v>64956417</v>
      </c>
      <c r="B233" s="23" t="s">
        <v>220</v>
      </c>
      <c r="C233" s="23">
        <v>2860</v>
      </c>
      <c r="D233" s="25">
        <v>46099</v>
      </c>
      <c r="E233" s="23" t="s">
        <v>832</v>
      </c>
      <c r="F233" s="23">
        <v>1419</v>
      </c>
      <c r="G233" t="s">
        <v>222</v>
      </c>
      <c r="H233" t="s">
        <v>831</v>
      </c>
      <c r="I233" t="s">
        <v>222</v>
      </c>
      <c r="J233" t="s">
        <v>831</v>
      </c>
    </row>
    <row r="234" spans="1:10" x14ac:dyDescent="0.25">
      <c r="A234" s="23">
        <v>64956417</v>
      </c>
      <c r="B234" s="23" t="s">
        <v>220</v>
      </c>
      <c r="C234" s="23">
        <v>2860</v>
      </c>
      <c r="D234" s="25">
        <v>46099</v>
      </c>
      <c r="E234" s="23" t="s">
        <v>832</v>
      </c>
      <c r="F234" s="23">
        <v>1419</v>
      </c>
      <c r="G234" t="s">
        <v>222</v>
      </c>
      <c r="H234" t="s">
        <v>831</v>
      </c>
      <c r="I234" t="s">
        <v>222</v>
      </c>
      <c r="J234" t="s">
        <v>831</v>
      </c>
    </row>
    <row r="235" spans="1:10" x14ac:dyDescent="0.25">
      <c r="A235" s="23">
        <v>64956417</v>
      </c>
      <c r="B235" s="23" t="s">
        <v>220</v>
      </c>
      <c r="C235" s="23">
        <v>2860</v>
      </c>
      <c r="D235" s="25">
        <v>46099</v>
      </c>
      <c r="E235" s="23" t="s">
        <v>832</v>
      </c>
      <c r="F235" s="23">
        <v>1419</v>
      </c>
      <c r="G235" t="s">
        <v>222</v>
      </c>
      <c r="H235" t="s">
        <v>831</v>
      </c>
      <c r="I235" t="s">
        <v>222</v>
      </c>
      <c r="J235" t="s">
        <v>831</v>
      </c>
    </row>
    <row r="236" spans="1:10" x14ac:dyDescent="0.25">
      <c r="A236" s="23">
        <v>64956417</v>
      </c>
      <c r="B236" s="23" t="s">
        <v>220</v>
      </c>
      <c r="C236" s="23">
        <v>2860</v>
      </c>
      <c r="D236" s="25">
        <v>46099</v>
      </c>
      <c r="E236" s="23" t="s">
        <v>832</v>
      </c>
      <c r="F236" s="23">
        <v>1419</v>
      </c>
      <c r="G236" t="s">
        <v>222</v>
      </c>
      <c r="H236" t="s">
        <v>831</v>
      </c>
      <c r="I236" t="s">
        <v>222</v>
      </c>
      <c r="J236" t="s">
        <v>831</v>
      </c>
    </row>
    <row r="237" spans="1:10" x14ac:dyDescent="0.25">
      <c r="A237" s="23">
        <v>64365613</v>
      </c>
      <c r="B237" s="23" t="s">
        <v>220</v>
      </c>
      <c r="C237" s="23">
        <v>3900</v>
      </c>
      <c r="D237" s="25">
        <v>46099</v>
      </c>
      <c r="E237" s="23" t="s">
        <v>247</v>
      </c>
      <c r="F237" s="23">
        <v>3989</v>
      </c>
      <c r="G237" t="s">
        <v>222</v>
      </c>
      <c r="H237" t="s">
        <v>831</v>
      </c>
      <c r="I237" t="s">
        <v>222</v>
      </c>
      <c r="J237" t="s">
        <v>831</v>
      </c>
    </row>
    <row r="238" spans="1:10" x14ac:dyDescent="0.25">
      <c r="A238" s="23">
        <v>64365613</v>
      </c>
      <c r="B238" s="23" t="s">
        <v>220</v>
      </c>
      <c r="C238" s="23">
        <v>3900</v>
      </c>
      <c r="D238" s="25">
        <v>46099</v>
      </c>
      <c r="E238" s="23" t="s">
        <v>247</v>
      </c>
      <c r="F238" s="23">
        <v>1419</v>
      </c>
      <c r="G238" t="s">
        <v>222</v>
      </c>
      <c r="H238" t="s">
        <v>831</v>
      </c>
      <c r="I238" t="s">
        <v>222</v>
      </c>
      <c r="J238" t="s">
        <v>831</v>
      </c>
    </row>
    <row r="239" spans="1:10" x14ac:dyDescent="0.25">
      <c r="A239" s="23">
        <v>64365613</v>
      </c>
      <c r="B239" s="23" t="s">
        <v>220</v>
      </c>
      <c r="C239" s="23">
        <v>3900</v>
      </c>
      <c r="D239" s="25">
        <v>46099</v>
      </c>
      <c r="E239" s="23" t="s">
        <v>247</v>
      </c>
      <c r="F239" s="23">
        <v>1419</v>
      </c>
      <c r="G239" t="s">
        <v>222</v>
      </c>
      <c r="H239" t="s">
        <v>831</v>
      </c>
      <c r="I239" t="s">
        <v>222</v>
      </c>
      <c r="J239" t="s">
        <v>831</v>
      </c>
    </row>
    <row r="240" spans="1:10" x14ac:dyDescent="0.25">
      <c r="A240" s="23">
        <v>64979444</v>
      </c>
      <c r="B240" s="23" t="s">
        <v>220</v>
      </c>
      <c r="C240" s="23">
        <v>3900</v>
      </c>
      <c r="D240" s="25">
        <v>46099</v>
      </c>
      <c r="E240" s="23" t="s">
        <v>836</v>
      </c>
      <c r="F240" s="23">
        <v>1419</v>
      </c>
      <c r="G240" t="s">
        <v>222</v>
      </c>
      <c r="H240" t="s">
        <v>831</v>
      </c>
      <c r="I240" t="s">
        <v>222</v>
      </c>
      <c r="J240" t="s">
        <v>831</v>
      </c>
    </row>
    <row r="241" spans="1:10" x14ac:dyDescent="0.25">
      <c r="A241" s="23">
        <v>64979444</v>
      </c>
      <c r="B241" s="23" t="s">
        <v>220</v>
      </c>
      <c r="C241" s="23">
        <v>3900</v>
      </c>
      <c r="D241" s="25">
        <v>46099</v>
      </c>
      <c r="E241" s="23" t="s">
        <v>836</v>
      </c>
      <c r="F241" s="23">
        <v>1419</v>
      </c>
      <c r="G241" t="s">
        <v>222</v>
      </c>
      <c r="H241" t="s">
        <v>831</v>
      </c>
      <c r="I241" t="s">
        <v>222</v>
      </c>
      <c r="J241" t="s">
        <v>831</v>
      </c>
    </row>
    <row r="242" spans="1:10" x14ac:dyDescent="0.25">
      <c r="A242" s="23">
        <v>64956417</v>
      </c>
      <c r="B242" s="23" t="s">
        <v>220</v>
      </c>
      <c r="C242" s="23">
        <v>2860</v>
      </c>
      <c r="D242" s="25">
        <v>46100</v>
      </c>
      <c r="E242" s="23" t="s">
        <v>832</v>
      </c>
      <c r="F242" s="23">
        <v>1419</v>
      </c>
      <c r="G242" t="s">
        <v>222</v>
      </c>
      <c r="H242" t="s">
        <v>831</v>
      </c>
      <c r="I242" t="s">
        <v>222</v>
      </c>
      <c r="J242" t="s">
        <v>831</v>
      </c>
    </row>
    <row r="243" spans="1:10" x14ac:dyDescent="0.25">
      <c r="A243" s="23">
        <v>64956417</v>
      </c>
      <c r="B243" s="23" t="s">
        <v>220</v>
      </c>
      <c r="C243" s="23">
        <v>2860</v>
      </c>
      <c r="D243" s="25">
        <v>46100</v>
      </c>
      <c r="E243" s="23" t="s">
        <v>832</v>
      </c>
      <c r="F243" s="23">
        <v>1419</v>
      </c>
      <c r="G243" t="s">
        <v>222</v>
      </c>
      <c r="H243" t="s">
        <v>831</v>
      </c>
      <c r="I243" t="s">
        <v>222</v>
      </c>
      <c r="J243" t="s">
        <v>831</v>
      </c>
    </row>
    <row r="244" spans="1:10" x14ac:dyDescent="0.25">
      <c r="A244" s="23">
        <v>64956417</v>
      </c>
      <c r="B244" s="23" t="s">
        <v>220</v>
      </c>
      <c r="C244" s="23">
        <v>2860</v>
      </c>
      <c r="D244" s="25">
        <v>46100</v>
      </c>
      <c r="E244" s="23" t="s">
        <v>832</v>
      </c>
      <c r="F244" s="23">
        <v>1419</v>
      </c>
      <c r="G244" t="s">
        <v>222</v>
      </c>
      <c r="H244" t="s">
        <v>831</v>
      </c>
      <c r="I244" t="s">
        <v>222</v>
      </c>
      <c r="J244" t="s">
        <v>831</v>
      </c>
    </row>
    <row r="245" spans="1:10" x14ac:dyDescent="0.25">
      <c r="A245" s="23">
        <v>64979444</v>
      </c>
      <c r="B245" s="23" t="s">
        <v>220</v>
      </c>
      <c r="C245" s="23">
        <v>3900</v>
      </c>
      <c r="D245" s="25">
        <v>46100</v>
      </c>
      <c r="E245" s="23" t="s">
        <v>836</v>
      </c>
      <c r="F245" s="23">
        <v>1419</v>
      </c>
      <c r="G245" t="s">
        <v>222</v>
      </c>
      <c r="H245" t="s">
        <v>831</v>
      </c>
      <c r="I245" t="s">
        <v>222</v>
      </c>
      <c r="J245" t="s">
        <v>831</v>
      </c>
    </row>
    <row r="246" spans="1:10" x14ac:dyDescent="0.25">
      <c r="A246" s="23">
        <v>64979444</v>
      </c>
      <c r="B246" s="23" t="s">
        <v>220</v>
      </c>
      <c r="C246" s="23">
        <v>3900</v>
      </c>
      <c r="D246" s="25">
        <v>46100</v>
      </c>
      <c r="E246" s="23" t="s">
        <v>836</v>
      </c>
      <c r="F246" s="23">
        <v>3989</v>
      </c>
      <c r="G246" t="s">
        <v>222</v>
      </c>
      <c r="H246" t="s">
        <v>831</v>
      </c>
      <c r="I246" t="s">
        <v>222</v>
      </c>
      <c r="J246" t="s">
        <v>831</v>
      </c>
    </row>
    <row r="247" spans="1:10" x14ac:dyDescent="0.25">
      <c r="A247" s="23">
        <v>64979444</v>
      </c>
      <c r="B247" s="23" t="s">
        <v>220</v>
      </c>
      <c r="C247" s="23">
        <v>3900</v>
      </c>
      <c r="D247" s="25">
        <v>46101</v>
      </c>
      <c r="E247" s="23" t="s">
        <v>836</v>
      </c>
      <c r="F247" s="23">
        <v>3989</v>
      </c>
      <c r="G247" t="s">
        <v>222</v>
      </c>
      <c r="H247" t="s">
        <v>831</v>
      </c>
      <c r="I247" t="s">
        <v>222</v>
      </c>
      <c r="J247" t="s">
        <v>831</v>
      </c>
    </row>
    <row r="248" spans="1:10" x14ac:dyDescent="0.25">
      <c r="A248" s="23">
        <v>64979444</v>
      </c>
      <c r="B248" s="23" t="s">
        <v>220</v>
      </c>
      <c r="C248" s="23">
        <v>3900</v>
      </c>
      <c r="D248" s="25">
        <v>46104</v>
      </c>
      <c r="E248" s="23" t="s">
        <v>836</v>
      </c>
      <c r="F248" s="23">
        <v>3989</v>
      </c>
      <c r="G248" t="s">
        <v>222</v>
      </c>
      <c r="H248" t="s">
        <v>831</v>
      </c>
      <c r="I248" t="s">
        <v>222</v>
      </c>
      <c r="J248" t="s">
        <v>831</v>
      </c>
    </row>
    <row r="249" spans="1:10" x14ac:dyDescent="0.25">
      <c r="A249" s="23">
        <v>64979444</v>
      </c>
      <c r="B249" s="23" t="s">
        <v>220</v>
      </c>
      <c r="C249" s="23">
        <v>3900</v>
      </c>
      <c r="D249" s="25">
        <v>46104</v>
      </c>
      <c r="E249" s="23" t="s">
        <v>836</v>
      </c>
      <c r="F249" s="23">
        <v>3989</v>
      </c>
      <c r="G249" t="s">
        <v>222</v>
      </c>
      <c r="H249" t="s">
        <v>831</v>
      </c>
      <c r="I249" t="s">
        <v>222</v>
      </c>
      <c r="J249" t="s">
        <v>831</v>
      </c>
    </row>
    <row r="250" spans="1:10" x14ac:dyDescent="0.25">
      <c r="A250" s="23">
        <v>64979444</v>
      </c>
      <c r="B250" s="23" t="s">
        <v>220</v>
      </c>
      <c r="C250" s="23">
        <v>3900</v>
      </c>
      <c r="D250" s="25">
        <v>46104</v>
      </c>
      <c r="E250" s="23" t="s">
        <v>836</v>
      </c>
      <c r="F250" s="23">
        <v>3989</v>
      </c>
      <c r="G250" t="s">
        <v>222</v>
      </c>
      <c r="H250" t="s">
        <v>831</v>
      </c>
      <c r="I250" t="s">
        <v>222</v>
      </c>
      <c r="J250" t="s">
        <v>831</v>
      </c>
    </row>
    <row r="251" spans="1:10" x14ac:dyDescent="0.25">
      <c r="A251" s="23">
        <v>64979444</v>
      </c>
      <c r="B251" s="23" t="s">
        <v>220</v>
      </c>
      <c r="C251" s="23">
        <v>3900</v>
      </c>
      <c r="D251" s="25">
        <v>46104</v>
      </c>
      <c r="E251" s="23" t="s">
        <v>836</v>
      </c>
      <c r="F251" s="23">
        <v>3989</v>
      </c>
      <c r="G251" t="s">
        <v>222</v>
      </c>
      <c r="H251" t="s">
        <v>831</v>
      </c>
      <c r="I251" t="s">
        <v>222</v>
      </c>
      <c r="J251" t="s">
        <v>831</v>
      </c>
    </row>
    <row r="252" spans="1:10" x14ac:dyDescent="0.25">
      <c r="A252" s="23">
        <v>64341109</v>
      </c>
      <c r="B252" s="23" t="s">
        <v>220</v>
      </c>
      <c r="C252" s="23">
        <v>4200</v>
      </c>
      <c r="D252" s="25">
        <v>46104</v>
      </c>
      <c r="E252" s="23" t="s">
        <v>276</v>
      </c>
      <c r="F252" s="23">
        <v>3989</v>
      </c>
      <c r="G252" t="s">
        <v>222</v>
      </c>
      <c r="H252" t="s">
        <v>831</v>
      </c>
      <c r="I252" t="s">
        <v>222</v>
      </c>
      <c r="J252" t="s">
        <v>831</v>
      </c>
    </row>
    <row r="253" spans="1:10" x14ac:dyDescent="0.25">
      <c r="A253" s="23">
        <v>64341109</v>
      </c>
      <c r="B253" s="23" t="s">
        <v>220</v>
      </c>
      <c r="C253" s="23">
        <v>4200</v>
      </c>
      <c r="D253" s="25">
        <v>46104</v>
      </c>
      <c r="E253" s="23" t="s">
        <v>276</v>
      </c>
      <c r="F253" s="23">
        <v>3989</v>
      </c>
      <c r="G253" t="s">
        <v>222</v>
      </c>
      <c r="H253" t="s">
        <v>831</v>
      </c>
      <c r="I253" t="s">
        <v>222</v>
      </c>
      <c r="J253" t="s">
        <v>831</v>
      </c>
    </row>
    <row r="254" spans="1:10" x14ac:dyDescent="0.25">
      <c r="A254" s="23">
        <v>64956417</v>
      </c>
      <c r="B254" s="23" t="s">
        <v>220</v>
      </c>
      <c r="C254" s="23">
        <v>2860</v>
      </c>
      <c r="D254" s="25">
        <v>46105</v>
      </c>
      <c r="E254" s="23" t="s">
        <v>832</v>
      </c>
      <c r="F254" s="23">
        <v>1419</v>
      </c>
      <c r="G254" t="s">
        <v>222</v>
      </c>
      <c r="H254" t="s">
        <v>831</v>
      </c>
      <c r="I254" t="s">
        <v>222</v>
      </c>
      <c r="J254" t="s">
        <v>831</v>
      </c>
    </row>
    <row r="255" spans="1:10" x14ac:dyDescent="0.25">
      <c r="A255" s="23">
        <v>64956417</v>
      </c>
      <c r="B255" s="23" t="s">
        <v>220</v>
      </c>
      <c r="C255" s="23">
        <v>2860</v>
      </c>
      <c r="D255" s="25">
        <v>46105</v>
      </c>
      <c r="E255" s="23" t="s">
        <v>832</v>
      </c>
      <c r="F255" s="23">
        <v>3989</v>
      </c>
      <c r="G255" t="s">
        <v>222</v>
      </c>
      <c r="H255" t="s">
        <v>831</v>
      </c>
      <c r="I255" t="s">
        <v>222</v>
      </c>
      <c r="J255" t="s">
        <v>831</v>
      </c>
    </row>
    <row r="256" spans="1:10" x14ac:dyDescent="0.25">
      <c r="A256" s="23">
        <v>64875812</v>
      </c>
      <c r="B256" s="23">
        <v>6757</v>
      </c>
      <c r="C256" s="23">
        <v>13540</v>
      </c>
      <c r="D256" s="25">
        <v>46078</v>
      </c>
      <c r="E256" s="23" t="s">
        <v>293</v>
      </c>
      <c r="F256" s="23">
        <v>6757</v>
      </c>
      <c r="G256" t="s">
        <v>450</v>
      </c>
      <c r="H256" t="s">
        <v>451</v>
      </c>
      <c r="I256" t="s">
        <v>450</v>
      </c>
      <c r="J256" t="s">
        <v>451</v>
      </c>
    </row>
    <row r="257" spans="1:10" x14ac:dyDescent="0.25">
      <c r="A257" s="23">
        <v>64875812</v>
      </c>
      <c r="B257" s="23">
        <v>6757</v>
      </c>
      <c r="C257" s="23">
        <v>11411</v>
      </c>
      <c r="D257" s="25">
        <v>46085</v>
      </c>
      <c r="E257" s="23" t="s">
        <v>293</v>
      </c>
      <c r="F257" s="23">
        <v>6757</v>
      </c>
      <c r="G257" t="s">
        <v>450</v>
      </c>
      <c r="H257" t="s">
        <v>451</v>
      </c>
      <c r="I257" t="s">
        <v>450</v>
      </c>
      <c r="J257" t="s">
        <v>451</v>
      </c>
    </row>
    <row r="258" spans="1:10" x14ac:dyDescent="0.25">
      <c r="A258" s="23">
        <v>64875812</v>
      </c>
      <c r="B258" s="23">
        <v>6757</v>
      </c>
      <c r="C258" s="23">
        <v>12922</v>
      </c>
      <c r="D258" s="25">
        <v>46090</v>
      </c>
      <c r="E258" s="23" t="s">
        <v>293</v>
      </c>
      <c r="F258" s="23">
        <v>6757</v>
      </c>
      <c r="G258" t="s">
        <v>450</v>
      </c>
      <c r="H258" t="s">
        <v>451</v>
      </c>
      <c r="I258" t="s">
        <v>450</v>
      </c>
      <c r="J258" t="s">
        <v>451</v>
      </c>
    </row>
    <row r="259" spans="1:10" x14ac:dyDescent="0.25">
      <c r="A259" s="23">
        <v>64957257</v>
      </c>
      <c r="B259" s="23">
        <v>6757</v>
      </c>
      <c r="C259" s="23">
        <v>34332</v>
      </c>
      <c r="D259" s="25">
        <v>46092</v>
      </c>
      <c r="E259" s="23" t="s">
        <v>826</v>
      </c>
      <c r="F259" s="23">
        <v>6757</v>
      </c>
      <c r="G259" t="s">
        <v>450</v>
      </c>
      <c r="H259" t="s">
        <v>451</v>
      </c>
      <c r="I259" t="s">
        <v>450</v>
      </c>
      <c r="J259" t="s">
        <v>451</v>
      </c>
    </row>
    <row r="260" spans="1:10" x14ac:dyDescent="0.25">
      <c r="A260" s="23">
        <v>64875812</v>
      </c>
      <c r="B260" s="23">
        <v>6757</v>
      </c>
      <c r="C260" s="23">
        <v>12174</v>
      </c>
      <c r="D260" s="25">
        <v>46098</v>
      </c>
      <c r="E260" s="23" t="s">
        <v>293</v>
      </c>
      <c r="F260" s="23">
        <v>6757</v>
      </c>
      <c r="G260" t="s">
        <v>450</v>
      </c>
      <c r="H260" t="s">
        <v>451</v>
      </c>
      <c r="I260" t="s">
        <v>450</v>
      </c>
      <c r="J260" t="s">
        <v>451</v>
      </c>
    </row>
    <row r="261" spans="1:10" x14ac:dyDescent="0.25">
      <c r="A261" s="23">
        <v>64875812</v>
      </c>
      <c r="B261" s="23">
        <v>6757</v>
      </c>
      <c r="C261" s="23">
        <v>8028</v>
      </c>
      <c r="D261" s="25">
        <v>46101</v>
      </c>
      <c r="E261" s="23" t="s">
        <v>293</v>
      </c>
      <c r="F261" s="23">
        <v>6757</v>
      </c>
      <c r="G261" t="s">
        <v>450</v>
      </c>
      <c r="H261" t="s">
        <v>451</v>
      </c>
      <c r="I261" t="s">
        <v>450</v>
      </c>
      <c r="J261" t="s">
        <v>451</v>
      </c>
    </row>
    <row r="262" spans="1:10" x14ac:dyDescent="0.25">
      <c r="A262" s="23">
        <v>65659999</v>
      </c>
      <c r="B262" s="23">
        <v>3985</v>
      </c>
      <c r="C262" s="23">
        <v>45150</v>
      </c>
      <c r="D262" s="25">
        <v>46093</v>
      </c>
      <c r="E262" s="23" t="s">
        <v>840</v>
      </c>
      <c r="F262" s="23">
        <v>3985</v>
      </c>
      <c r="G262" t="s">
        <v>373</v>
      </c>
      <c r="H262" t="s">
        <v>367</v>
      </c>
      <c r="I262" t="s">
        <v>366</v>
      </c>
      <c r="J262" t="s">
        <v>367</v>
      </c>
    </row>
    <row r="263" spans="1:10" x14ac:dyDescent="0.25">
      <c r="A263" s="23">
        <v>65542120</v>
      </c>
      <c r="B263" s="23">
        <v>3985</v>
      </c>
      <c r="C263" s="23">
        <v>80640</v>
      </c>
      <c r="D263" s="25">
        <v>46105</v>
      </c>
      <c r="E263" s="23" t="s">
        <v>1009</v>
      </c>
      <c r="F263" s="23">
        <v>3985</v>
      </c>
      <c r="G263" t="s">
        <v>373</v>
      </c>
      <c r="H263" t="s">
        <v>367</v>
      </c>
      <c r="I263" t="s">
        <v>366</v>
      </c>
      <c r="J263" t="s">
        <v>367</v>
      </c>
    </row>
    <row r="264" spans="1:10" x14ac:dyDescent="0.25">
      <c r="A264" s="23">
        <v>65542120</v>
      </c>
      <c r="B264" s="23">
        <v>3985</v>
      </c>
      <c r="C264" s="23">
        <v>86100</v>
      </c>
      <c r="D264" s="25">
        <v>46105</v>
      </c>
      <c r="E264" s="23" t="s">
        <v>1009</v>
      </c>
      <c r="F264" s="23">
        <v>3985</v>
      </c>
      <c r="G264" t="s">
        <v>373</v>
      </c>
      <c r="H264" t="s">
        <v>367</v>
      </c>
      <c r="I264" t="s">
        <v>366</v>
      </c>
      <c r="J264" t="s">
        <v>367</v>
      </c>
    </row>
    <row r="265" spans="1:10" x14ac:dyDescent="0.25">
      <c r="A265" s="23">
        <v>68654218</v>
      </c>
      <c r="B265" s="23" t="s">
        <v>189</v>
      </c>
      <c r="C265" s="23">
        <v>2048</v>
      </c>
      <c r="D265" s="25">
        <v>46080</v>
      </c>
      <c r="E265" s="23" t="s">
        <v>838</v>
      </c>
      <c r="F265" s="23">
        <v>1419</v>
      </c>
      <c r="G265" t="s">
        <v>191</v>
      </c>
      <c r="H265" t="s">
        <v>192</v>
      </c>
      <c r="I265" t="s">
        <v>191</v>
      </c>
      <c r="J265" t="s">
        <v>192</v>
      </c>
    </row>
    <row r="266" spans="1:10" x14ac:dyDescent="0.25">
      <c r="A266" s="23">
        <v>68264519</v>
      </c>
      <c r="B266" s="23" t="s">
        <v>189</v>
      </c>
      <c r="C266" s="23">
        <v>3072</v>
      </c>
      <c r="D266" s="25">
        <v>46080</v>
      </c>
      <c r="E266" s="23" t="s">
        <v>206</v>
      </c>
      <c r="F266" s="23">
        <v>1419</v>
      </c>
      <c r="G266" t="s">
        <v>191</v>
      </c>
      <c r="H266" t="s">
        <v>192</v>
      </c>
      <c r="I266" t="s">
        <v>191</v>
      </c>
      <c r="J266" t="s">
        <v>192</v>
      </c>
    </row>
    <row r="267" spans="1:10" x14ac:dyDescent="0.25">
      <c r="A267" s="23">
        <v>68654218</v>
      </c>
      <c r="B267" s="23" t="s">
        <v>189</v>
      </c>
      <c r="C267" s="23">
        <v>237</v>
      </c>
      <c r="D267" s="25">
        <v>46091</v>
      </c>
      <c r="E267" s="23" t="s">
        <v>838</v>
      </c>
      <c r="F267" s="23">
        <v>1419</v>
      </c>
      <c r="G267" t="s">
        <v>191</v>
      </c>
      <c r="H267" t="s">
        <v>192</v>
      </c>
      <c r="I267" t="s">
        <v>191</v>
      </c>
      <c r="J267" t="s">
        <v>192</v>
      </c>
    </row>
    <row r="268" spans="1:10" x14ac:dyDescent="0.25">
      <c r="A268" s="23">
        <v>69665113</v>
      </c>
      <c r="B268" s="23" t="s">
        <v>189</v>
      </c>
      <c r="C268" s="23">
        <v>5888</v>
      </c>
      <c r="D268" s="25">
        <v>46091</v>
      </c>
      <c r="E268" s="23" t="s">
        <v>190</v>
      </c>
      <c r="F268" s="23">
        <v>1419</v>
      </c>
      <c r="G268" t="s">
        <v>191</v>
      </c>
      <c r="H268" t="s">
        <v>192</v>
      </c>
      <c r="I268" t="s">
        <v>191</v>
      </c>
      <c r="J268" t="s">
        <v>192</v>
      </c>
    </row>
    <row r="269" spans="1:10" x14ac:dyDescent="0.25">
      <c r="A269" s="23">
        <v>68264519</v>
      </c>
      <c r="B269" s="23" t="s">
        <v>189</v>
      </c>
      <c r="C269" s="23">
        <v>8704</v>
      </c>
      <c r="D269" s="25">
        <v>46091</v>
      </c>
      <c r="E269" s="23" t="s">
        <v>206</v>
      </c>
      <c r="F269" s="23">
        <v>1419</v>
      </c>
      <c r="G269" t="s">
        <v>191</v>
      </c>
      <c r="H269" t="s">
        <v>192</v>
      </c>
      <c r="I269" t="s">
        <v>191</v>
      </c>
      <c r="J269" t="s">
        <v>192</v>
      </c>
    </row>
    <row r="270" spans="1:10" x14ac:dyDescent="0.25">
      <c r="A270" s="23">
        <v>69665113</v>
      </c>
      <c r="B270" s="23" t="s">
        <v>189</v>
      </c>
      <c r="C270" s="23">
        <v>2816</v>
      </c>
      <c r="D270" s="25">
        <v>46094</v>
      </c>
      <c r="E270" s="23" t="s">
        <v>190</v>
      </c>
      <c r="F270" s="23">
        <v>1419</v>
      </c>
      <c r="G270" t="s">
        <v>191</v>
      </c>
      <c r="H270" t="s">
        <v>192</v>
      </c>
      <c r="I270" t="s">
        <v>191</v>
      </c>
      <c r="J270" t="s">
        <v>192</v>
      </c>
    </row>
    <row r="271" spans="1:10" x14ac:dyDescent="0.25">
      <c r="A271" s="23">
        <v>68654232</v>
      </c>
      <c r="B271" s="23" t="s">
        <v>189</v>
      </c>
      <c r="C271" s="23">
        <v>5888</v>
      </c>
      <c r="D271" s="25">
        <v>46094</v>
      </c>
      <c r="E271" s="23" t="s">
        <v>241</v>
      </c>
      <c r="F271" s="23">
        <v>1419</v>
      </c>
      <c r="G271" t="s">
        <v>191</v>
      </c>
      <c r="H271" t="s">
        <v>192</v>
      </c>
      <c r="I271" t="s">
        <v>191</v>
      </c>
      <c r="J271" t="s">
        <v>192</v>
      </c>
    </row>
    <row r="272" spans="1:10" x14ac:dyDescent="0.25">
      <c r="A272" s="23">
        <v>69665113</v>
      </c>
      <c r="B272" s="23" t="s">
        <v>189</v>
      </c>
      <c r="C272" s="23">
        <v>3584</v>
      </c>
      <c r="D272" s="25">
        <v>46100</v>
      </c>
      <c r="E272" s="23" t="s">
        <v>190</v>
      </c>
      <c r="F272" s="23">
        <v>1419</v>
      </c>
      <c r="G272" t="s">
        <v>191</v>
      </c>
      <c r="H272" t="s">
        <v>192</v>
      </c>
      <c r="I272" t="s">
        <v>191</v>
      </c>
      <c r="J272" t="s">
        <v>192</v>
      </c>
    </row>
    <row r="273" spans="1:10" x14ac:dyDescent="0.25">
      <c r="A273" s="23">
        <v>64804365</v>
      </c>
      <c r="B273" s="23">
        <v>1712</v>
      </c>
      <c r="C273" s="23">
        <v>4702</v>
      </c>
      <c r="D273" s="25">
        <v>46083</v>
      </c>
      <c r="E273" s="23" t="s">
        <v>291</v>
      </c>
      <c r="F273" s="23">
        <v>1712</v>
      </c>
      <c r="G273" t="s">
        <v>284</v>
      </c>
      <c r="H273" t="s">
        <v>1010</v>
      </c>
      <c r="I273" t="s">
        <v>284</v>
      </c>
      <c r="J273" t="s">
        <v>1010</v>
      </c>
    </row>
    <row r="274" spans="1:10" x14ac:dyDescent="0.25">
      <c r="A274" s="23">
        <v>64804365</v>
      </c>
      <c r="B274" s="23">
        <v>1712</v>
      </c>
      <c r="C274" s="23">
        <v>8010</v>
      </c>
      <c r="D274" s="25">
        <v>46083</v>
      </c>
      <c r="E274" s="23" t="s">
        <v>291</v>
      </c>
      <c r="F274" s="23">
        <v>1712</v>
      </c>
      <c r="G274" t="s">
        <v>284</v>
      </c>
      <c r="H274" t="s">
        <v>1010</v>
      </c>
      <c r="I274" t="s">
        <v>284</v>
      </c>
      <c r="J274" t="s">
        <v>1010</v>
      </c>
    </row>
    <row r="275" spans="1:10" x14ac:dyDescent="0.25">
      <c r="A275" s="23">
        <v>64413477</v>
      </c>
      <c r="B275" s="23">
        <v>1712</v>
      </c>
      <c r="C275" s="23">
        <v>8284</v>
      </c>
      <c r="D275" s="25">
        <v>46083</v>
      </c>
      <c r="E275" s="23" t="s">
        <v>1011</v>
      </c>
      <c r="F275" s="23">
        <v>1712</v>
      </c>
      <c r="G275" t="s">
        <v>284</v>
      </c>
      <c r="H275" t="s">
        <v>1010</v>
      </c>
      <c r="I275" t="s">
        <v>284</v>
      </c>
      <c r="J275" t="s">
        <v>1010</v>
      </c>
    </row>
    <row r="276" spans="1:10" x14ac:dyDescent="0.25">
      <c r="A276" s="23">
        <v>64977494</v>
      </c>
      <c r="B276" s="23">
        <v>1712</v>
      </c>
      <c r="C276" s="23">
        <v>14336</v>
      </c>
      <c r="D276" s="25">
        <v>46083</v>
      </c>
      <c r="E276" s="23" t="s">
        <v>835</v>
      </c>
      <c r="F276" s="23">
        <v>1712</v>
      </c>
      <c r="G276" t="s">
        <v>284</v>
      </c>
      <c r="H276" t="s">
        <v>1010</v>
      </c>
      <c r="I276" t="s">
        <v>284</v>
      </c>
      <c r="J276" t="s">
        <v>1010</v>
      </c>
    </row>
    <row r="277" spans="1:10" x14ac:dyDescent="0.25">
      <c r="A277" s="23">
        <v>64978550</v>
      </c>
      <c r="B277" s="23">
        <v>1712</v>
      </c>
      <c r="C277" s="23">
        <v>26489</v>
      </c>
      <c r="D277" s="25">
        <v>46083</v>
      </c>
      <c r="E277" s="23" t="s">
        <v>283</v>
      </c>
      <c r="F277" s="23">
        <v>1712</v>
      </c>
      <c r="G277" t="s">
        <v>284</v>
      </c>
      <c r="H277" t="s">
        <v>1010</v>
      </c>
      <c r="I277" t="s">
        <v>284</v>
      </c>
      <c r="J277" t="s">
        <v>1010</v>
      </c>
    </row>
    <row r="278" spans="1:10" x14ac:dyDescent="0.25">
      <c r="A278" s="23">
        <v>64806251</v>
      </c>
      <c r="B278" s="23">
        <v>1712</v>
      </c>
      <c r="C278" s="23">
        <v>6060</v>
      </c>
      <c r="D278" s="25">
        <v>46084</v>
      </c>
      <c r="E278" s="23" t="s">
        <v>833</v>
      </c>
      <c r="F278" s="23">
        <v>1712</v>
      </c>
      <c r="G278" t="s">
        <v>284</v>
      </c>
      <c r="H278" t="s">
        <v>1010</v>
      </c>
      <c r="I278" t="s">
        <v>284</v>
      </c>
      <c r="J278" t="s">
        <v>1010</v>
      </c>
    </row>
    <row r="279" spans="1:10" x14ac:dyDescent="0.25">
      <c r="A279" s="23">
        <v>64875812</v>
      </c>
      <c r="B279" s="23">
        <v>1712</v>
      </c>
      <c r="C279" s="23">
        <v>9387</v>
      </c>
      <c r="D279" s="25">
        <v>46084</v>
      </c>
      <c r="E279" s="23" t="s">
        <v>293</v>
      </c>
      <c r="F279" s="23">
        <v>1712</v>
      </c>
      <c r="G279" t="s">
        <v>284</v>
      </c>
      <c r="H279" t="s">
        <v>1010</v>
      </c>
      <c r="I279" t="s">
        <v>284</v>
      </c>
      <c r="J279" t="s">
        <v>1010</v>
      </c>
    </row>
    <row r="280" spans="1:10" x14ac:dyDescent="0.25">
      <c r="A280" s="23">
        <v>64874636</v>
      </c>
      <c r="B280" s="23">
        <v>1712</v>
      </c>
      <c r="C280" s="23">
        <v>14946</v>
      </c>
      <c r="D280" s="25">
        <v>46091</v>
      </c>
      <c r="E280" s="23" t="s">
        <v>295</v>
      </c>
      <c r="F280" s="23">
        <v>1712</v>
      </c>
      <c r="G280" t="s">
        <v>284</v>
      </c>
      <c r="H280" t="s">
        <v>1010</v>
      </c>
      <c r="I280" t="s">
        <v>284</v>
      </c>
      <c r="J280" t="s">
        <v>1010</v>
      </c>
    </row>
    <row r="281" spans="1:10" x14ac:dyDescent="0.25">
      <c r="A281" s="23">
        <v>64875812</v>
      </c>
      <c r="B281" s="23">
        <v>1712</v>
      </c>
      <c r="C281" s="23">
        <v>15573</v>
      </c>
      <c r="D281" s="25">
        <v>46091</v>
      </c>
      <c r="E281" s="23" t="s">
        <v>293</v>
      </c>
      <c r="F281" s="23">
        <v>1712</v>
      </c>
      <c r="G281" t="s">
        <v>284</v>
      </c>
      <c r="H281" t="s">
        <v>1010</v>
      </c>
      <c r="I281" t="s">
        <v>284</v>
      </c>
      <c r="J281" t="s">
        <v>1010</v>
      </c>
    </row>
    <row r="282" spans="1:10" x14ac:dyDescent="0.25">
      <c r="A282" s="23">
        <v>64806254</v>
      </c>
      <c r="B282" s="23">
        <v>1712</v>
      </c>
      <c r="C282" s="23">
        <v>675</v>
      </c>
      <c r="D282" s="25">
        <v>46092</v>
      </c>
      <c r="E282" s="23" t="s">
        <v>1012</v>
      </c>
      <c r="F282" s="23">
        <v>1712</v>
      </c>
      <c r="G282" t="s">
        <v>284</v>
      </c>
      <c r="H282" t="s">
        <v>1010</v>
      </c>
      <c r="I282" t="s">
        <v>284</v>
      </c>
      <c r="J282" t="s">
        <v>1010</v>
      </c>
    </row>
    <row r="283" spans="1:10" x14ac:dyDescent="0.25">
      <c r="A283" s="23">
        <v>64804365</v>
      </c>
      <c r="B283" s="23">
        <v>1712</v>
      </c>
      <c r="C283" s="23">
        <v>8041</v>
      </c>
      <c r="D283" s="25">
        <v>46092</v>
      </c>
      <c r="E283" s="23" t="s">
        <v>291</v>
      </c>
      <c r="F283" s="23">
        <v>1712</v>
      </c>
      <c r="G283" t="s">
        <v>284</v>
      </c>
      <c r="H283" t="s">
        <v>1010</v>
      </c>
      <c r="I283" t="s">
        <v>284</v>
      </c>
      <c r="J283" t="s">
        <v>1010</v>
      </c>
    </row>
    <row r="284" spans="1:10" x14ac:dyDescent="0.25">
      <c r="A284" s="23">
        <v>64327161</v>
      </c>
      <c r="B284" s="23">
        <v>1712</v>
      </c>
      <c r="C284" s="23">
        <v>111293</v>
      </c>
      <c r="D284" s="25">
        <v>46093</v>
      </c>
      <c r="E284" s="23" t="s">
        <v>378</v>
      </c>
      <c r="F284" s="23">
        <v>1712</v>
      </c>
      <c r="G284" t="s">
        <v>284</v>
      </c>
      <c r="H284" t="s">
        <v>1010</v>
      </c>
      <c r="I284" t="s">
        <v>284</v>
      </c>
      <c r="J284" t="s">
        <v>1010</v>
      </c>
    </row>
    <row r="285" spans="1:10" x14ac:dyDescent="0.25">
      <c r="A285" s="23">
        <v>64327161</v>
      </c>
      <c r="B285" s="23">
        <v>1712</v>
      </c>
      <c r="C285" s="23">
        <v>128602</v>
      </c>
      <c r="D285" s="25">
        <v>46093</v>
      </c>
      <c r="E285" s="23" t="s">
        <v>378</v>
      </c>
      <c r="F285" s="23">
        <v>1712</v>
      </c>
      <c r="G285" t="s">
        <v>284</v>
      </c>
      <c r="H285" t="s">
        <v>1010</v>
      </c>
      <c r="I285" t="s">
        <v>284</v>
      </c>
      <c r="J285" t="s">
        <v>1010</v>
      </c>
    </row>
    <row r="286" spans="1:10" x14ac:dyDescent="0.25">
      <c r="A286" s="23">
        <v>64804365</v>
      </c>
      <c r="B286" s="23">
        <v>1712</v>
      </c>
      <c r="C286" s="23">
        <v>2880</v>
      </c>
      <c r="D286" s="25">
        <v>46095</v>
      </c>
      <c r="E286" s="23" t="s">
        <v>291</v>
      </c>
      <c r="F286" s="23">
        <v>1712</v>
      </c>
      <c r="G286" t="s">
        <v>284</v>
      </c>
      <c r="H286" t="s">
        <v>1010</v>
      </c>
      <c r="I286" t="s">
        <v>284</v>
      </c>
      <c r="J286" t="s">
        <v>1010</v>
      </c>
    </row>
    <row r="287" spans="1:10" x14ac:dyDescent="0.25">
      <c r="A287" s="23">
        <v>64806251</v>
      </c>
      <c r="B287" s="23">
        <v>1712</v>
      </c>
      <c r="C287" s="23">
        <v>4974</v>
      </c>
      <c r="D287" s="25">
        <v>46098</v>
      </c>
      <c r="E287" s="23" t="s">
        <v>833</v>
      </c>
      <c r="F287" s="23">
        <v>1712</v>
      </c>
      <c r="G287" t="s">
        <v>284</v>
      </c>
      <c r="H287" t="s">
        <v>1010</v>
      </c>
      <c r="I287" t="s">
        <v>284</v>
      </c>
      <c r="J287" t="s">
        <v>1010</v>
      </c>
    </row>
    <row r="288" spans="1:10" x14ac:dyDescent="0.25">
      <c r="A288" s="23">
        <v>64328806</v>
      </c>
      <c r="B288" s="23">
        <v>1712</v>
      </c>
      <c r="C288" s="23">
        <v>34611</v>
      </c>
      <c r="D288" s="25">
        <v>46098</v>
      </c>
      <c r="E288" s="23" t="s">
        <v>299</v>
      </c>
      <c r="F288" s="23">
        <v>1712</v>
      </c>
      <c r="G288" t="s">
        <v>284</v>
      </c>
      <c r="H288" t="s">
        <v>1010</v>
      </c>
      <c r="I288" t="s">
        <v>284</v>
      </c>
      <c r="J288" t="s">
        <v>1010</v>
      </c>
    </row>
    <row r="289" spans="1:10" x14ac:dyDescent="0.25">
      <c r="A289" s="23">
        <v>64376316</v>
      </c>
      <c r="B289" s="23">
        <v>1712</v>
      </c>
      <c r="C289" s="23">
        <v>118799</v>
      </c>
      <c r="D289" s="25">
        <v>46104</v>
      </c>
      <c r="E289" s="23" t="s">
        <v>297</v>
      </c>
      <c r="F289" s="23">
        <v>1712</v>
      </c>
      <c r="G289" t="s">
        <v>284</v>
      </c>
      <c r="H289" t="s">
        <v>1010</v>
      </c>
      <c r="I289" t="s">
        <v>284</v>
      </c>
      <c r="J289" t="s">
        <v>1010</v>
      </c>
    </row>
    <row r="290" spans="1:10" x14ac:dyDescent="0.25">
      <c r="A290" s="23">
        <v>64409241</v>
      </c>
      <c r="B290" s="23" t="s">
        <v>416</v>
      </c>
      <c r="C290" s="23">
        <v>1890</v>
      </c>
      <c r="D290" s="25">
        <v>46076</v>
      </c>
      <c r="E290" s="23" t="s">
        <v>425</v>
      </c>
      <c r="F290" s="23">
        <v>3989</v>
      </c>
      <c r="G290" t="s">
        <v>418</v>
      </c>
      <c r="H290" t="s">
        <v>419</v>
      </c>
      <c r="I290" t="s">
        <v>418</v>
      </c>
      <c r="J290" t="s">
        <v>419</v>
      </c>
    </row>
    <row r="291" spans="1:10" x14ac:dyDescent="0.25">
      <c r="A291" s="23">
        <v>64409244</v>
      </c>
      <c r="B291" s="23" t="s">
        <v>416</v>
      </c>
      <c r="C291" s="23">
        <v>1890</v>
      </c>
      <c r="D291" s="25">
        <v>46076</v>
      </c>
      <c r="E291" s="23" t="s">
        <v>421</v>
      </c>
      <c r="F291" s="23">
        <v>3989</v>
      </c>
      <c r="G291" t="s">
        <v>418</v>
      </c>
      <c r="H291" t="s">
        <v>419</v>
      </c>
      <c r="I291" t="s">
        <v>418</v>
      </c>
      <c r="J291" t="s">
        <v>419</v>
      </c>
    </row>
    <row r="292" spans="1:10" x14ac:dyDescent="0.25">
      <c r="A292" s="23">
        <v>64409244</v>
      </c>
      <c r="B292" s="23" t="s">
        <v>416</v>
      </c>
      <c r="C292" s="23">
        <v>3780</v>
      </c>
      <c r="D292" s="25">
        <v>46076</v>
      </c>
      <c r="E292" s="23" t="s">
        <v>421</v>
      </c>
      <c r="F292" s="23">
        <v>3989</v>
      </c>
      <c r="G292" t="s">
        <v>418</v>
      </c>
      <c r="H292" t="s">
        <v>419</v>
      </c>
      <c r="I292" t="s">
        <v>418</v>
      </c>
      <c r="J292" t="s">
        <v>419</v>
      </c>
    </row>
    <row r="293" spans="1:10" x14ac:dyDescent="0.25">
      <c r="A293" s="23">
        <v>64409244</v>
      </c>
      <c r="B293" s="23" t="s">
        <v>416</v>
      </c>
      <c r="C293" s="23">
        <v>3780</v>
      </c>
      <c r="D293" s="25">
        <v>46076</v>
      </c>
      <c r="E293" s="23" t="s">
        <v>421</v>
      </c>
      <c r="F293" s="23">
        <v>3989</v>
      </c>
      <c r="G293" t="s">
        <v>418</v>
      </c>
      <c r="H293" t="s">
        <v>419</v>
      </c>
      <c r="I293" t="s">
        <v>418</v>
      </c>
      <c r="J293" t="s">
        <v>419</v>
      </c>
    </row>
    <row r="294" spans="1:10" x14ac:dyDescent="0.25">
      <c r="A294" s="23">
        <v>64409241</v>
      </c>
      <c r="B294" s="23" t="s">
        <v>416</v>
      </c>
      <c r="C294" s="23">
        <v>135</v>
      </c>
      <c r="D294" s="25">
        <v>46077</v>
      </c>
      <c r="E294" s="23" t="s">
        <v>425</v>
      </c>
      <c r="F294" s="23">
        <v>3989</v>
      </c>
      <c r="G294" t="s">
        <v>418</v>
      </c>
      <c r="H294" t="s">
        <v>419</v>
      </c>
      <c r="I294" t="s">
        <v>418</v>
      </c>
      <c r="J294" t="s">
        <v>419</v>
      </c>
    </row>
    <row r="295" spans="1:10" x14ac:dyDescent="0.25">
      <c r="A295" s="23">
        <v>64409244</v>
      </c>
      <c r="B295" s="23" t="s">
        <v>416</v>
      </c>
      <c r="C295" s="23">
        <v>3645</v>
      </c>
      <c r="D295" s="25">
        <v>46077</v>
      </c>
      <c r="E295" s="23" t="s">
        <v>421</v>
      </c>
      <c r="F295" s="23">
        <v>3989</v>
      </c>
      <c r="G295" t="s">
        <v>418</v>
      </c>
      <c r="H295" t="s">
        <v>419</v>
      </c>
      <c r="I295" t="s">
        <v>418</v>
      </c>
      <c r="J295" t="s">
        <v>419</v>
      </c>
    </row>
    <row r="296" spans="1:10" x14ac:dyDescent="0.25">
      <c r="A296" s="23">
        <v>64409244</v>
      </c>
      <c r="B296" s="23" t="s">
        <v>416</v>
      </c>
      <c r="C296" s="23">
        <v>3645</v>
      </c>
      <c r="D296" s="25">
        <v>46078</v>
      </c>
      <c r="E296" s="23" t="s">
        <v>421</v>
      </c>
      <c r="F296" s="23">
        <v>3989</v>
      </c>
      <c r="G296" t="s">
        <v>418</v>
      </c>
      <c r="H296" t="s">
        <v>419</v>
      </c>
      <c r="I296" t="s">
        <v>418</v>
      </c>
      <c r="J296" t="s">
        <v>419</v>
      </c>
    </row>
    <row r="297" spans="1:10" x14ac:dyDescent="0.25">
      <c r="A297" s="23">
        <v>64409241</v>
      </c>
      <c r="B297" s="23" t="s">
        <v>416</v>
      </c>
      <c r="C297" s="23">
        <v>270</v>
      </c>
      <c r="D297" s="25">
        <v>46079</v>
      </c>
      <c r="E297" s="23" t="s">
        <v>425</v>
      </c>
      <c r="F297" s="23">
        <v>3989</v>
      </c>
      <c r="G297" t="s">
        <v>418</v>
      </c>
      <c r="H297" t="s">
        <v>419</v>
      </c>
      <c r="I297" t="s">
        <v>418</v>
      </c>
      <c r="J297" t="s">
        <v>419</v>
      </c>
    </row>
    <row r="298" spans="1:10" x14ac:dyDescent="0.25">
      <c r="A298" s="23">
        <v>64409244</v>
      </c>
      <c r="B298" s="23" t="s">
        <v>416</v>
      </c>
      <c r="C298" s="23">
        <v>3375</v>
      </c>
      <c r="D298" s="25">
        <v>46079</v>
      </c>
      <c r="E298" s="23" t="s">
        <v>421</v>
      </c>
      <c r="F298" s="23">
        <v>3989</v>
      </c>
      <c r="G298" t="s">
        <v>418</v>
      </c>
      <c r="H298" t="s">
        <v>419</v>
      </c>
      <c r="I298" t="s">
        <v>418</v>
      </c>
      <c r="J298" t="s">
        <v>419</v>
      </c>
    </row>
    <row r="299" spans="1:10" x14ac:dyDescent="0.25">
      <c r="A299" s="23">
        <v>64409244</v>
      </c>
      <c r="B299" s="23" t="s">
        <v>416</v>
      </c>
      <c r="C299" s="23">
        <v>3780</v>
      </c>
      <c r="D299" s="25">
        <v>46090</v>
      </c>
      <c r="E299" s="23" t="s">
        <v>421</v>
      </c>
      <c r="F299" s="23">
        <v>3989</v>
      </c>
      <c r="G299" t="s">
        <v>418</v>
      </c>
      <c r="H299" t="s">
        <v>419</v>
      </c>
      <c r="I299" t="s">
        <v>418</v>
      </c>
      <c r="J299" t="s">
        <v>419</v>
      </c>
    </row>
    <row r="300" spans="1:10" x14ac:dyDescent="0.25">
      <c r="A300" s="23">
        <v>64409244</v>
      </c>
      <c r="B300" s="23" t="s">
        <v>416</v>
      </c>
      <c r="C300" s="23">
        <v>2800</v>
      </c>
      <c r="D300" s="25">
        <v>46092</v>
      </c>
      <c r="E300" s="23" t="s">
        <v>421</v>
      </c>
      <c r="F300" s="23">
        <v>3989</v>
      </c>
      <c r="G300" t="s">
        <v>418</v>
      </c>
      <c r="H300" t="s">
        <v>419</v>
      </c>
      <c r="I300" t="s">
        <v>418</v>
      </c>
      <c r="J300" t="s">
        <v>419</v>
      </c>
    </row>
    <row r="301" spans="1:10" x14ac:dyDescent="0.25">
      <c r="A301" s="23">
        <v>64409241</v>
      </c>
      <c r="B301" s="23" t="s">
        <v>416</v>
      </c>
      <c r="C301" s="23">
        <v>3779</v>
      </c>
      <c r="D301" s="25">
        <v>46093</v>
      </c>
      <c r="E301" s="23" t="s">
        <v>425</v>
      </c>
      <c r="F301" s="23">
        <v>3989</v>
      </c>
      <c r="G301" t="s">
        <v>418</v>
      </c>
      <c r="H301" t="s">
        <v>419</v>
      </c>
      <c r="I301" t="s">
        <v>418</v>
      </c>
      <c r="J301" t="s">
        <v>419</v>
      </c>
    </row>
    <row r="302" spans="1:10" x14ac:dyDescent="0.25">
      <c r="A302" s="23">
        <v>64409244</v>
      </c>
      <c r="B302" s="23" t="s">
        <v>416</v>
      </c>
      <c r="C302" s="23">
        <v>270</v>
      </c>
      <c r="D302" s="25">
        <v>46097</v>
      </c>
      <c r="E302" s="23" t="s">
        <v>421</v>
      </c>
      <c r="F302" s="23">
        <v>3989</v>
      </c>
      <c r="G302" t="s">
        <v>418</v>
      </c>
      <c r="H302" t="s">
        <v>419</v>
      </c>
      <c r="I302" t="s">
        <v>418</v>
      </c>
      <c r="J302" t="s">
        <v>419</v>
      </c>
    </row>
    <row r="303" spans="1:10" x14ac:dyDescent="0.25">
      <c r="A303" s="23">
        <v>69629477</v>
      </c>
      <c r="B303" s="23" t="s">
        <v>416</v>
      </c>
      <c r="C303" s="23">
        <v>2347</v>
      </c>
      <c r="D303" s="25">
        <v>46097</v>
      </c>
      <c r="E303" s="23" t="s">
        <v>417</v>
      </c>
      <c r="F303" s="23">
        <v>3989</v>
      </c>
      <c r="G303" t="s">
        <v>418</v>
      </c>
      <c r="H303" t="s">
        <v>419</v>
      </c>
      <c r="I303" t="s">
        <v>418</v>
      </c>
      <c r="J303" t="s">
        <v>419</v>
      </c>
    </row>
    <row r="304" spans="1:10" x14ac:dyDescent="0.25">
      <c r="A304" s="23">
        <v>64409244</v>
      </c>
      <c r="B304" s="23" t="s">
        <v>416</v>
      </c>
      <c r="C304" s="23">
        <v>446</v>
      </c>
      <c r="D304" s="25">
        <v>46098</v>
      </c>
      <c r="E304" s="23" t="s">
        <v>421</v>
      </c>
      <c r="F304" s="23">
        <v>3989</v>
      </c>
      <c r="G304" t="s">
        <v>418</v>
      </c>
      <c r="H304" t="s">
        <v>419</v>
      </c>
      <c r="I304" t="s">
        <v>418</v>
      </c>
      <c r="J304" t="s">
        <v>419</v>
      </c>
    </row>
    <row r="305" spans="1:10" x14ac:dyDescent="0.25">
      <c r="A305" s="23">
        <v>64409241</v>
      </c>
      <c r="B305" s="23" t="s">
        <v>416</v>
      </c>
      <c r="C305" s="23">
        <v>2700</v>
      </c>
      <c r="D305" s="25">
        <v>46098</v>
      </c>
      <c r="E305" s="23" t="s">
        <v>425</v>
      </c>
      <c r="F305" s="23">
        <v>3989</v>
      </c>
      <c r="G305" t="s">
        <v>418</v>
      </c>
      <c r="H305" t="s">
        <v>419</v>
      </c>
      <c r="I305" t="s">
        <v>418</v>
      </c>
      <c r="J305" t="s">
        <v>419</v>
      </c>
    </row>
    <row r="306" spans="1:10" x14ac:dyDescent="0.25">
      <c r="A306" s="23">
        <v>64409241</v>
      </c>
      <c r="B306" s="23" t="s">
        <v>416</v>
      </c>
      <c r="C306" s="23">
        <v>405</v>
      </c>
      <c r="D306" s="25">
        <v>46104</v>
      </c>
      <c r="E306" s="23" t="s">
        <v>425</v>
      </c>
      <c r="F306" s="23">
        <v>3989</v>
      </c>
      <c r="G306" t="s">
        <v>418</v>
      </c>
      <c r="H306" t="s">
        <v>419</v>
      </c>
      <c r="I306" t="s">
        <v>418</v>
      </c>
      <c r="J306" t="s">
        <v>419</v>
      </c>
    </row>
    <row r="307" spans="1:10" x14ac:dyDescent="0.25">
      <c r="A307" s="23">
        <v>64409241</v>
      </c>
      <c r="B307" s="23" t="s">
        <v>416</v>
      </c>
      <c r="C307" s="23">
        <v>641</v>
      </c>
      <c r="D307" s="25">
        <v>46104</v>
      </c>
      <c r="E307" s="23" t="s">
        <v>425</v>
      </c>
      <c r="F307" s="23">
        <v>3989</v>
      </c>
      <c r="G307" t="s">
        <v>418</v>
      </c>
      <c r="H307" t="s">
        <v>419</v>
      </c>
      <c r="I307" t="s">
        <v>418</v>
      </c>
      <c r="J307" t="s">
        <v>419</v>
      </c>
    </row>
    <row r="308" spans="1:10" x14ac:dyDescent="0.25">
      <c r="A308" s="23">
        <v>64409244</v>
      </c>
      <c r="B308" s="23" t="s">
        <v>416</v>
      </c>
      <c r="C308" s="23">
        <v>2025</v>
      </c>
      <c r="D308" s="25">
        <v>46104</v>
      </c>
      <c r="E308" s="23" t="s">
        <v>421</v>
      </c>
      <c r="F308" s="23">
        <v>3989</v>
      </c>
      <c r="G308" t="s">
        <v>418</v>
      </c>
      <c r="H308" t="s">
        <v>419</v>
      </c>
      <c r="I308" t="s">
        <v>418</v>
      </c>
      <c r="J308" t="s">
        <v>419</v>
      </c>
    </row>
    <row r="309" spans="1:10" x14ac:dyDescent="0.25">
      <c r="A309" s="23">
        <v>69629477</v>
      </c>
      <c r="B309" s="23" t="s">
        <v>416</v>
      </c>
      <c r="C309" s="23">
        <v>2697</v>
      </c>
      <c r="D309" s="25">
        <v>46104</v>
      </c>
      <c r="E309" s="23" t="s">
        <v>417</v>
      </c>
      <c r="F309" s="23">
        <v>3989</v>
      </c>
      <c r="G309" t="s">
        <v>418</v>
      </c>
      <c r="H309" t="s">
        <v>419</v>
      </c>
      <c r="I309" t="s">
        <v>418</v>
      </c>
      <c r="J309" t="s">
        <v>419</v>
      </c>
    </row>
    <row r="310" spans="1:10" x14ac:dyDescent="0.25">
      <c r="A310" s="23">
        <v>69629477</v>
      </c>
      <c r="B310" s="23" t="s">
        <v>416</v>
      </c>
      <c r="C310" s="23">
        <v>36</v>
      </c>
      <c r="D310" s="25">
        <v>46105</v>
      </c>
      <c r="E310" s="23" t="s">
        <v>417</v>
      </c>
      <c r="F310" s="23">
        <v>3989</v>
      </c>
      <c r="G310" t="s">
        <v>418</v>
      </c>
      <c r="H310" t="s">
        <v>419</v>
      </c>
      <c r="I310" t="s">
        <v>418</v>
      </c>
      <c r="J310" t="s">
        <v>419</v>
      </c>
    </row>
    <row r="311" spans="1:10" x14ac:dyDescent="0.25">
      <c r="A311" s="23">
        <v>64409244</v>
      </c>
      <c r="B311" s="23" t="s">
        <v>416</v>
      </c>
      <c r="C311" s="23">
        <v>201</v>
      </c>
      <c r="D311" s="25">
        <v>46105</v>
      </c>
      <c r="E311" s="23" t="s">
        <v>421</v>
      </c>
      <c r="F311" s="23">
        <v>3989</v>
      </c>
      <c r="G311" t="s">
        <v>418</v>
      </c>
      <c r="H311" t="s">
        <v>419</v>
      </c>
      <c r="I311" t="s">
        <v>418</v>
      </c>
      <c r="J311" t="s">
        <v>419</v>
      </c>
    </row>
    <row r="312" spans="1:10" x14ac:dyDescent="0.25">
      <c r="A312" s="23">
        <v>64409241</v>
      </c>
      <c r="B312" s="23" t="s">
        <v>416</v>
      </c>
      <c r="C312" s="23">
        <v>2295</v>
      </c>
      <c r="D312" s="25">
        <v>46105</v>
      </c>
      <c r="E312" s="23" t="s">
        <v>425</v>
      </c>
      <c r="F312" s="23">
        <v>3989</v>
      </c>
      <c r="G312" t="s">
        <v>418</v>
      </c>
      <c r="H312" t="s">
        <v>419</v>
      </c>
      <c r="I312" t="s">
        <v>418</v>
      </c>
      <c r="J312" t="s">
        <v>419</v>
      </c>
    </row>
    <row r="313" spans="1:10" x14ac:dyDescent="0.25">
      <c r="A313" s="23">
        <v>64409244</v>
      </c>
      <c r="B313" s="23" t="s">
        <v>416</v>
      </c>
      <c r="C313" s="23">
        <v>3337</v>
      </c>
      <c r="D313" s="25">
        <v>46105</v>
      </c>
      <c r="E313" s="23" t="s">
        <v>421</v>
      </c>
      <c r="F313" s="23">
        <v>3989</v>
      </c>
      <c r="G313" t="s">
        <v>418</v>
      </c>
      <c r="H313" t="s">
        <v>419</v>
      </c>
      <c r="I313" t="s">
        <v>418</v>
      </c>
      <c r="J313" t="s">
        <v>419</v>
      </c>
    </row>
    <row r="314" spans="1:10" x14ac:dyDescent="0.25">
      <c r="A314" s="23">
        <v>64854330</v>
      </c>
      <c r="B314" s="23">
        <v>3985</v>
      </c>
      <c r="C314" s="23">
        <v>4991</v>
      </c>
      <c r="D314" s="25">
        <v>46076</v>
      </c>
      <c r="E314" s="23" t="s">
        <v>362</v>
      </c>
      <c r="F314" s="23">
        <v>3985</v>
      </c>
      <c r="G314" t="s">
        <v>359</v>
      </c>
      <c r="H314" t="s">
        <v>360</v>
      </c>
      <c r="I314" t="s">
        <v>359</v>
      </c>
      <c r="J314" t="s">
        <v>360</v>
      </c>
    </row>
    <row r="315" spans="1:10" x14ac:dyDescent="0.25">
      <c r="A315" s="23">
        <v>64997059</v>
      </c>
      <c r="B315" s="23">
        <v>3985</v>
      </c>
      <c r="C315" s="23">
        <v>14976</v>
      </c>
      <c r="D315" s="25">
        <v>46079</v>
      </c>
      <c r="E315" s="23" t="s">
        <v>827</v>
      </c>
      <c r="F315" s="23">
        <v>3985</v>
      </c>
      <c r="G315" t="s">
        <v>359</v>
      </c>
      <c r="H315" t="s">
        <v>360</v>
      </c>
      <c r="I315" t="s">
        <v>359</v>
      </c>
      <c r="J315" t="s">
        <v>360</v>
      </c>
    </row>
    <row r="316" spans="1:10" x14ac:dyDescent="0.25">
      <c r="A316" s="23">
        <v>64997059</v>
      </c>
      <c r="B316" s="23">
        <v>3985</v>
      </c>
      <c r="C316" s="23">
        <v>14976</v>
      </c>
      <c r="D316" s="25">
        <v>46086</v>
      </c>
      <c r="E316" s="23" t="s">
        <v>827</v>
      </c>
      <c r="F316" s="23">
        <v>3985</v>
      </c>
      <c r="G316" t="s">
        <v>359</v>
      </c>
      <c r="H316" t="s">
        <v>360</v>
      </c>
      <c r="I316" t="s">
        <v>359</v>
      </c>
      <c r="J316" t="s">
        <v>360</v>
      </c>
    </row>
    <row r="317" spans="1:10" x14ac:dyDescent="0.25">
      <c r="A317" s="23">
        <v>64830947</v>
      </c>
      <c r="B317" s="23">
        <v>3985</v>
      </c>
      <c r="C317" s="23">
        <v>20000</v>
      </c>
      <c r="D317" s="25">
        <v>46094</v>
      </c>
      <c r="E317" s="23" t="s">
        <v>1013</v>
      </c>
      <c r="F317" s="23">
        <v>3985</v>
      </c>
      <c r="G317" t="s">
        <v>359</v>
      </c>
      <c r="H317" t="s">
        <v>360</v>
      </c>
      <c r="I317" t="s">
        <v>359</v>
      </c>
      <c r="J317" t="s">
        <v>360</v>
      </c>
    </row>
    <row r="318" spans="1:10" x14ac:dyDescent="0.25">
      <c r="A318" s="23">
        <v>64830947</v>
      </c>
      <c r="B318" s="23">
        <v>3985</v>
      </c>
      <c r="C318" s="23">
        <v>60003</v>
      </c>
      <c r="D318" s="25">
        <v>46094</v>
      </c>
      <c r="E318" s="23" t="s">
        <v>1013</v>
      </c>
      <c r="F318" s="23">
        <v>3985</v>
      </c>
      <c r="G318" t="s">
        <v>359</v>
      </c>
      <c r="H318" t="s">
        <v>360</v>
      </c>
      <c r="I318" t="s">
        <v>359</v>
      </c>
      <c r="J318" t="s">
        <v>360</v>
      </c>
    </row>
    <row r="319" spans="1:10" x14ac:dyDescent="0.25">
      <c r="A319" s="23">
        <v>64830947</v>
      </c>
      <c r="B319" s="23">
        <v>3985</v>
      </c>
      <c r="C319" s="23">
        <v>1588</v>
      </c>
      <c r="D319" s="25">
        <v>46104</v>
      </c>
      <c r="E319" s="23" t="s">
        <v>1013</v>
      </c>
      <c r="F319" s="23">
        <v>3985</v>
      </c>
      <c r="G319" t="s">
        <v>359</v>
      </c>
      <c r="H319" t="s">
        <v>360</v>
      </c>
      <c r="I319" t="s">
        <v>359</v>
      </c>
      <c r="J319" t="s">
        <v>360</v>
      </c>
    </row>
    <row r="320" spans="1:10" x14ac:dyDescent="0.25">
      <c r="A320" s="23">
        <v>64997059</v>
      </c>
      <c r="B320" s="23">
        <v>3985</v>
      </c>
      <c r="C320" s="23">
        <v>19968</v>
      </c>
      <c r="D320" s="25">
        <v>46104</v>
      </c>
      <c r="E320" s="23" t="s">
        <v>827</v>
      </c>
      <c r="F320" s="23">
        <v>3985</v>
      </c>
      <c r="G320" t="s">
        <v>359</v>
      </c>
      <c r="H320" t="s">
        <v>360</v>
      </c>
      <c r="I320" t="s">
        <v>359</v>
      </c>
      <c r="J320" t="s">
        <v>360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9D2F7-3C16-41CA-AF57-8B7BA8BC038F}">
  <dimension ref="A1:J287"/>
  <sheetViews>
    <sheetView topLeftCell="A167" workbookViewId="0">
      <selection activeCell="A167" sqref="A1:A1048576"/>
    </sheetView>
  </sheetViews>
  <sheetFormatPr defaultRowHeight="15" x14ac:dyDescent="0.25"/>
  <cols>
    <col min="1" max="1" width="9" bestFit="1" customWidth="1"/>
    <col min="2" max="2" width="42.140625" bestFit="1" customWidth="1"/>
    <col min="3" max="3" width="12.85546875" bestFit="1" customWidth="1"/>
    <col min="4" max="4" width="12.7109375" bestFit="1" customWidth="1"/>
    <col min="5" max="5" width="15.28515625" bestFit="1" customWidth="1"/>
    <col min="6" max="6" width="10.42578125" bestFit="1" customWidth="1"/>
    <col min="7" max="7" width="15.140625" bestFit="1" customWidth="1"/>
    <col min="8" max="8" width="10.7109375" bestFit="1" customWidth="1"/>
    <col min="9" max="9" width="11.5703125" bestFit="1" customWidth="1"/>
    <col min="10" max="10" width="14.85546875" bestFit="1" customWidth="1"/>
  </cols>
  <sheetData>
    <row r="1" spans="1:10" x14ac:dyDescent="0.25">
      <c r="A1" s="1" t="s">
        <v>0</v>
      </c>
      <c r="B1" s="2" t="s">
        <v>4</v>
      </c>
      <c r="C1" s="2" t="s">
        <v>466</v>
      </c>
      <c r="D1" s="2" t="s">
        <v>467</v>
      </c>
      <c r="E1" s="2" t="s">
        <v>468</v>
      </c>
      <c r="F1" s="2" t="s">
        <v>469</v>
      </c>
      <c r="G1" s="2" t="s">
        <v>470</v>
      </c>
      <c r="H1" s="2" t="s">
        <v>471</v>
      </c>
      <c r="I1" s="2" t="s">
        <v>472</v>
      </c>
      <c r="J1" s="2" t="s">
        <v>473</v>
      </c>
    </row>
    <row r="2" spans="1:10" x14ac:dyDescent="0.25">
      <c r="A2" s="3">
        <v>62678148</v>
      </c>
      <c r="B2" s="5" t="s">
        <v>474</v>
      </c>
      <c r="C2" s="5" t="s">
        <v>475</v>
      </c>
      <c r="D2" s="5" t="s">
        <v>476</v>
      </c>
      <c r="E2" s="5" t="s">
        <v>477</v>
      </c>
      <c r="F2" s="4">
        <v>45273</v>
      </c>
      <c r="G2" s="5" t="s">
        <v>478</v>
      </c>
      <c r="H2" s="4">
        <v>45044</v>
      </c>
      <c r="I2" s="4">
        <v>46064</v>
      </c>
      <c r="J2" s="5" t="s">
        <v>479</v>
      </c>
    </row>
    <row r="3" spans="1:10" x14ac:dyDescent="0.25">
      <c r="A3" s="3">
        <v>62678153</v>
      </c>
      <c r="B3" s="5" t="s">
        <v>480</v>
      </c>
      <c r="C3" s="5" t="s">
        <v>475</v>
      </c>
      <c r="D3" s="5" t="s">
        <v>476</v>
      </c>
      <c r="E3" s="5" t="s">
        <v>477</v>
      </c>
      <c r="F3" s="4">
        <v>45273</v>
      </c>
      <c r="G3" s="5" t="s">
        <v>481</v>
      </c>
      <c r="H3" s="4">
        <v>45044</v>
      </c>
      <c r="I3" s="4">
        <v>46061</v>
      </c>
      <c r="J3" s="5" t="s">
        <v>479</v>
      </c>
    </row>
    <row r="4" spans="1:10" x14ac:dyDescent="0.25">
      <c r="A4" s="3">
        <v>62697528</v>
      </c>
      <c r="B4" s="5" t="s">
        <v>482</v>
      </c>
      <c r="C4" s="5" t="s">
        <v>475</v>
      </c>
      <c r="D4" s="5" t="s">
        <v>476</v>
      </c>
      <c r="E4" s="5" t="s">
        <v>477</v>
      </c>
      <c r="F4" s="4">
        <v>45328</v>
      </c>
      <c r="G4" s="5" t="s">
        <v>483</v>
      </c>
      <c r="H4" s="4">
        <v>45078</v>
      </c>
      <c r="I4" s="4">
        <v>46064</v>
      </c>
      <c r="J4" s="5" t="s">
        <v>479</v>
      </c>
    </row>
    <row r="5" spans="1:10" x14ac:dyDescent="0.25">
      <c r="A5" s="3">
        <v>62697529</v>
      </c>
      <c r="B5" s="5" t="s">
        <v>484</v>
      </c>
      <c r="C5" s="5" t="s">
        <v>475</v>
      </c>
      <c r="D5" s="5" t="s">
        <v>476</v>
      </c>
      <c r="E5" s="5" t="s">
        <v>477</v>
      </c>
      <c r="F5" s="4">
        <v>45414</v>
      </c>
      <c r="G5" s="5" t="s">
        <v>485</v>
      </c>
      <c r="H5" s="4">
        <v>45078</v>
      </c>
      <c r="I5" s="4">
        <v>46055</v>
      </c>
      <c r="J5" s="5" t="s">
        <v>479</v>
      </c>
    </row>
    <row r="6" spans="1:10" x14ac:dyDescent="0.25">
      <c r="A6" s="3">
        <v>62697531</v>
      </c>
      <c r="B6" s="5" t="s">
        <v>486</v>
      </c>
      <c r="C6" s="5" t="s">
        <v>475</v>
      </c>
      <c r="D6" s="5" t="s">
        <v>476</v>
      </c>
      <c r="E6" s="5" t="s">
        <v>477</v>
      </c>
      <c r="F6" s="4">
        <v>45435</v>
      </c>
      <c r="G6" s="5" t="s">
        <v>487</v>
      </c>
      <c r="H6" s="4">
        <v>45078</v>
      </c>
      <c r="I6" s="4">
        <v>46023</v>
      </c>
      <c r="J6" s="5" t="s">
        <v>488</v>
      </c>
    </row>
    <row r="7" spans="1:10" x14ac:dyDescent="0.25">
      <c r="A7" s="3">
        <v>62711311</v>
      </c>
      <c r="B7" s="5" t="s">
        <v>489</v>
      </c>
      <c r="C7" s="5" t="s">
        <v>475</v>
      </c>
      <c r="D7" s="5" t="s">
        <v>476</v>
      </c>
      <c r="E7" s="5" t="s">
        <v>477</v>
      </c>
      <c r="F7" s="4">
        <v>45471</v>
      </c>
      <c r="G7" s="5" t="s">
        <v>490</v>
      </c>
      <c r="H7" s="4">
        <v>45085</v>
      </c>
      <c r="I7" s="4">
        <v>46041</v>
      </c>
      <c r="J7" s="5" t="s">
        <v>491</v>
      </c>
    </row>
    <row r="8" spans="1:10" x14ac:dyDescent="0.25">
      <c r="A8" s="3">
        <v>62711316</v>
      </c>
      <c r="B8" s="5" t="s">
        <v>492</v>
      </c>
      <c r="C8" s="5" t="s">
        <v>475</v>
      </c>
      <c r="D8" s="5" t="s">
        <v>476</v>
      </c>
      <c r="E8" s="5" t="s">
        <v>477</v>
      </c>
      <c r="F8" s="4">
        <v>45348</v>
      </c>
      <c r="G8" s="5" t="s">
        <v>493</v>
      </c>
      <c r="H8" s="4">
        <v>45085</v>
      </c>
      <c r="I8" s="4">
        <v>46041</v>
      </c>
      <c r="J8" s="5" t="s">
        <v>491</v>
      </c>
    </row>
    <row r="9" spans="1:10" x14ac:dyDescent="0.25">
      <c r="A9" s="3">
        <v>62711330</v>
      </c>
      <c r="B9" s="5" t="s">
        <v>494</v>
      </c>
      <c r="C9" s="5" t="s">
        <v>475</v>
      </c>
      <c r="D9" s="5" t="s">
        <v>476</v>
      </c>
      <c r="E9" s="5" t="s">
        <v>477</v>
      </c>
      <c r="F9" s="4">
        <v>45348</v>
      </c>
      <c r="G9" s="5" t="s">
        <v>495</v>
      </c>
      <c r="H9" s="4">
        <v>45085</v>
      </c>
      <c r="I9" s="4">
        <v>46041</v>
      </c>
      <c r="J9" s="5" t="s">
        <v>491</v>
      </c>
    </row>
    <row r="10" spans="1:10" x14ac:dyDescent="0.25">
      <c r="A10" s="3">
        <v>62711372</v>
      </c>
      <c r="B10" s="5" t="s">
        <v>496</v>
      </c>
      <c r="C10" s="5" t="s">
        <v>475</v>
      </c>
      <c r="D10" s="5" t="s">
        <v>476</v>
      </c>
      <c r="E10" s="5" t="s">
        <v>477</v>
      </c>
      <c r="F10" s="4">
        <v>45418</v>
      </c>
      <c r="G10" s="5" t="s">
        <v>497</v>
      </c>
      <c r="H10" s="4">
        <v>45085</v>
      </c>
      <c r="I10" s="4">
        <v>46042</v>
      </c>
      <c r="J10" s="5" t="s">
        <v>491</v>
      </c>
    </row>
    <row r="11" spans="1:10" x14ac:dyDescent="0.25">
      <c r="A11" s="3">
        <v>62711373</v>
      </c>
      <c r="B11" s="5" t="s">
        <v>498</v>
      </c>
      <c r="C11" s="5" t="s">
        <v>475</v>
      </c>
      <c r="D11" s="5" t="s">
        <v>476</v>
      </c>
      <c r="E11" s="5" t="s">
        <v>477</v>
      </c>
      <c r="F11" s="4">
        <v>45446</v>
      </c>
      <c r="G11" s="5" t="s">
        <v>499</v>
      </c>
      <c r="H11" s="4">
        <v>45085</v>
      </c>
      <c r="I11" s="4">
        <v>46041</v>
      </c>
      <c r="J11" s="5" t="s">
        <v>491</v>
      </c>
    </row>
    <row r="12" spans="1:10" x14ac:dyDescent="0.25">
      <c r="A12" s="3">
        <v>62712615</v>
      </c>
      <c r="B12" s="5" t="s">
        <v>500</v>
      </c>
      <c r="C12" s="5" t="s">
        <v>475</v>
      </c>
      <c r="D12" s="5" t="s">
        <v>476</v>
      </c>
      <c r="E12" s="5" t="s">
        <v>477</v>
      </c>
      <c r="F12" s="4">
        <v>45379</v>
      </c>
      <c r="G12" s="5" t="s">
        <v>501</v>
      </c>
      <c r="H12" s="4">
        <v>45086</v>
      </c>
      <c r="I12" s="4">
        <v>46042</v>
      </c>
      <c r="J12" s="5" t="s">
        <v>491</v>
      </c>
    </row>
    <row r="13" spans="1:10" x14ac:dyDescent="0.25">
      <c r="A13" s="3">
        <v>62712623</v>
      </c>
      <c r="B13" s="5" t="s">
        <v>502</v>
      </c>
      <c r="C13" s="5" t="s">
        <v>475</v>
      </c>
      <c r="D13" s="5" t="s">
        <v>476</v>
      </c>
      <c r="E13" s="5" t="s">
        <v>477</v>
      </c>
      <c r="F13" s="4">
        <v>45446</v>
      </c>
      <c r="G13" s="5" t="s">
        <v>503</v>
      </c>
      <c r="H13" s="4">
        <v>45086</v>
      </c>
      <c r="I13" s="4">
        <v>46041</v>
      </c>
      <c r="J13" s="5" t="s">
        <v>491</v>
      </c>
    </row>
    <row r="14" spans="1:10" x14ac:dyDescent="0.25">
      <c r="A14" s="3">
        <v>62712624</v>
      </c>
      <c r="B14" s="5" t="s">
        <v>504</v>
      </c>
      <c r="C14" s="5" t="s">
        <v>475</v>
      </c>
      <c r="D14" s="5" t="s">
        <v>476</v>
      </c>
      <c r="E14" s="5" t="s">
        <v>477</v>
      </c>
      <c r="F14" s="4">
        <v>45719</v>
      </c>
      <c r="G14" s="5" t="s">
        <v>505</v>
      </c>
      <c r="H14" s="4">
        <v>45086</v>
      </c>
      <c r="I14" s="4">
        <v>46023</v>
      </c>
      <c r="J14" s="5" t="s">
        <v>488</v>
      </c>
    </row>
    <row r="15" spans="1:10" x14ac:dyDescent="0.25">
      <c r="A15" s="3">
        <v>62715600</v>
      </c>
      <c r="B15" s="5" t="s">
        <v>506</v>
      </c>
      <c r="C15" s="5" t="s">
        <v>475</v>
      </c>
      <c r="D15" s="5" t="s">
        <v>476</v>
      </c>
      <c r="E15" s="5" t="s">
        <v>10</v>
      </c>
      <c r="F15" s="4">
        <v>45275</v>
      </c>
      <c r="G15" s="5" t="s">
        <v>507</v>
      </c>
      <c r="H15" s="4">
        <v>45092</v>
      </c>
      <c r="I15" s="4">
        <v>46023</v>
      </c>
      <c r="J15" s="5" t="s">
        <v>488</v>
      </c>
    </row>
    <row r="16" spans="1:10" x14ac:dyDescent="0.25">
      <c r="A16" s="3">
        <v>62722055</v>
      </c>
      <c r="B16" s="5" t="s">
        <v>508</v>
      </c>
      <c r="C16" s="5" t="s">
        <v>475</v>
      </c>
      <c r="D16" s="5" t="s">
        <v>476</v>
      </c>
      <c r="E16" s="5" t="s">
        <v>477</v>
      </c>
      <c r="F16" s="4">
        <v>45460</v>
      </c>
      <c r="G16" s="5" t="s">
        <v>509</v>
      </c>
      <c r="H16" s="4">
        <v>45112</v>
      </c>
      <c r="I16" s="4">
        <v>46041</v>
      </c>
      <c r="J16" s="5" t="s">
        <v>491</v>
      </c>
    </row>
    <row r="17" spans="1:10" x14ac:dyDescent="0.25">
      <c r="A17" s="3">
        <v>62735647</v>
      </c>
      <c r="B17" s="5" t="s">
        <v>510</v>
      </c>
      <c r="C17" s="5" t="s">
        <v>475</v>
      </c>
      <c r="D17" s="5" t="s">
        <v>476</v>
      </c>
      <c r="E17" s="5" t="s">
        <v>477</v>
      </c>
      <c r="F17" s="4">
        <v>45275</v>
      </c>
      <c r="G17" s="5" t="s">
        <v>511</v>
      </c>
      <c r="H17" s="4">
        <v>45125</v>
      </c>
      <c r="I17" s="4">
        <v>46029</v>
      </c>
      <c r="J17" s="5" t="s">
        <v>491</v>
      </c>
    </row>
    <row r="18" spans="1:10" x14ac:dyDescent="0.25">
      <c r="A18" s="3">
        <v>64315721</v>
      </c>
      <c r="B18" s="5" t="s">
        <v>512</v>
      </c>
      <c r="C18" s="5" t="s">
        <v>475</v>
      </c>
      <c r="D18" s="5" t="s">
        <v>476</v>
      </c>
      <c r="E18" s="5" t="s">
        <v>477</v>
      </c>
      <c r="F18" s="4">
        <v>45667</v>
      </c>
      <c r="G18" s="5" t="s">
        <v>513</v>
      </c>
      <c r="H18" s="4">
        <v>45210</v>
      </c>
      <c r="I18" s="4">
        <v>46064</v>
      </c>
      <c r="J18" s="5" t="s">
        <v>479</v>
      </c>
    </row>
    <row r="19" spans="1:10" x14ac:dyDescent="0.25">
      <c r="A19" s="3">
        <v>64315722</v>
      </c>
      <c r="B19" s="5" t="s">
        <v>514</v>
      </c>
      <c r="C19" s="5" t="s">
        <v>475</v>
      </c>
      <c r="D19" s="5" t="s">
        <v>476</v>
      </c>
      <c r="E19" s="5" t="s">
        <v>477</v>
      </c>
      <c r="F19" s="4">
        <v>45384</v>
      </c>
      <c r="G19" s="5" t="s">
        <v>515</v>
      </c>
      <c r="H19" s="4">
        <v>45210</v>
      </c>
      <c r="I19" s="4">
        <v>46023</v>
      </c>
      <c r="J19" s="5" t="s">
        <v>488</v>
      </c>
    </row>
    <row r="20" spans="1:10" x14ac:dyDescent="0.25">
      <c r="A20" s="3">
        <v>64330596</v>
      </c>
      <c r="B20" s="5" t="s">
        <v>55</v>
      </c>
      <c r="C20" s="5" t="s">
        <v>475</v>
      </c>
      <c r="D20" s="5" t="s">
        <v>476</v>
      </c>
      <c r="E20" s="5" t="s">
        <v>477</v>
      </c>
      <c r="F20" s="4">
        <v>45609</v>
      </c>
      <c r="G20" s="5" t="s">
        <v>516</v>
      </c>
      <c r="H20" s="4">
        <v>45233</v>
      </c>
      <c r="I20" s="4">
        <v>46055</v>
      </c>
      <c r="J20" s="5" t="s">
        <v>517</v>
      </c>
    </row>
    <row r="21" spans="1:10" x14ac:dyDescent="0.25">
      <c r="A21" s="3">
        <v>64330611</v>
      </c>
      <c r="B21" s="5" t="s">
        <v>85</v>
      </c>
      <c r="C21" s="5" t="s">
        <v>475</v>
      </c>
      <c r="D21" s="5" t="s">
        <v>476</v>
      </c>
      <c r="E21" s="5" t="s">
        <v>477</v>
      </c>
      <c r="F21" s="4">
        <v>45590</v>
      </c>
      <c r="G21" s="5" t="s">
        <v>518</v>
      </c>
      <c r="H21" s="4">
        <v>45233</v>
      </c>
      <c r="I21" s="4">
        <v>46076</v>
      </c>
      <c r="J21" s="5" t="s">
        <v>519</v>
      </c>
    </row>
    <row r="22" spans="1:10" x14ac:dyDescent="0.25">
      <c r="A22" s="3">
        <v>64331550</v>
      </c>
      <c r="B22" s="5" t="s">
        <v>520</v>
      </c>
      <c r="C22" s="5" t="s">
        <v>475</v>
      </c>
      <c r="D22" s="5" t="s">
        <v>476</v>
      </c>
      <c r="E22" s="5" t="s">
        <v>477</v>
      </c>
      <c r="F22" s="4">
        <v>45797</v>
      </c>
      <c r="G22" s="5" t="s">
        <v>521</v>
      </c>
      <c r="H22" s="4">
        <v>45233</v>
      </c>
      <c r="I22" s="4">
        <v>46063</v>
      </c>
      <c r="J22" s="5" t="s">
        <v>522</v>
      </c>
    </row>
    <row r="23" spans="1:10" x14ac:dyDescent="0.25">
      <c r="A23" s="3">
        <v>64341106</v>
      </c>
      <c r="B23" s="5" t="s">
        <v>42</v>
      </c>
      <c r="C23" s="5" t="s">
        <v>475</v>
      </c>
      <c r="D23" s="5" t="s">
        <v>476</v>
      </c>
      <c r="E23" s="5" t="s">
        <v>477</v>
      </c>
      <c r="F23" s="4">
        <v>45362</v>
      </c>
      <c r="G23" s="5" t="s">
        <v>523</v>
      </c>
      <c r="H23" s="4">
        <v>45250</v>
      </c>
      <c r="I23" s="4">
        <v>46055</v>
      </c>
      <c r="J23" s="5" t="s">
        <v>517</v>
      </c>
    </row>
    <row r="24" spans="1:10" x14ac:dyDescent="0.25">
      <c r="A24" s="3">
        <v>64341967</v>
      </c>
      <c r="B24" s="5" t="s">
        <v>115</v>
      </c>
      <c r="C24" s="5" t="s">
        <v>475</v>
      </c>
      <c r="D24" s="5" t="s">
        <v>476</v>
      </c>
      <c r="E24" s="5" t="s">
        <v>477</v>
      </c>
      <c r="F24" s="4">
        <v>45481</v>
      </c>
      <c r="G24" s="5" t="s">
        <v>524</v>
      </c>
      <c r="H24" s="4">
        <v>45251</v>
      </c>
      <c r="I24" s="4">
        <v>46058</v>
      </c>
      <c r="J24" s="5" t="s">
        <v>525</v>
      </c>
    </row>
    <row r="25" spans="1:10" x14ac:dyDescent="0.25">
      <c r="A25" s="3">
        <v>64341968</v>
      </c>
      <c r="B25" s="5" t="s">
        <v>132</v>
      </c>
      <c r="C25" s="5" t="s">
        <v>475</v>
      </c>
      <c r="D25" s="5" t="s">
        <v>476</v>
      </c>
      <c r="E25" s="5" t="s">
        <v>477</v>
      </c>
      <c r="F25" s="4">
        <v>45608</v>
      </c>
      <c r="G25" s="5" t="s">
        <v>526</v>
      </c>
      <c r="H25" s="4">
        <v>45251</v>
      </c>
      <c r="I25" s="4">
        <v>46023</v>
      </c>
      <c r="J25" s="5" t="s">
        <v>488</v>
      </c>
    </row>
    <row r="26" spans="1:10" x14ac:dyDescent="0.25">
      <c r="A26" s="3">
        <v>64354009</v>
      </c>
      <c r="B26" s="5" t="s">
        <v>527</v>
      </c>
      <c r="C26" s="5" t="s">
        <v>475</v>
      </c>
      <c r="D26" s="5" t="s">
        <v>476</v>
      </c>
      <c r="E26" s="5" t="s">
        <v>477</v>
      </c>
      <c r="F26" s="4">
        <v>45516</v>
      </c>
      <c r="G26" s="5" t="s">
        <v>528</v>
      </c>
      <c r="H26" s="4">
        <v>45271</v>
      </c>
      <c r="I26" s="4">
        <v>46038</v>
      </c>
      <c r="J26" s="5" t="s">
        <v>529</v>
      </c>
    </row>
    <row r="27" spans="1:10" x14ac:dyDescent="0.25">
      <c r="A27" s="3">
        <v>64361163</v>
      </c>
      <c r="B27" s="5" t="s">
        <v>530</v>
      </c>
      <c r="C27" s="5" t="s">
        <v>475</v>
      </c>
      <c r="D27" s="5" t="s">
        <v>476</v>
      </c>
      <c r="E27" s="5" t="s">
        <v>531</v>
      </c>
      <c r="F27" s="4">
        <v>45618</v>
      </c>
      <c r="G27" s="5" t="s">
        <v>532</v>
      </c>
      <c r="H27" s="4">
        <v>45281</v>
      </c>
      <c r="I27" s="4">
        <v>46030</v>
      </c>
      <c r="J27" s="5" t="s">
        <v>491</v>
      </c>
    </row>
    <row r="28" spans="1:10" x14ac:dyDescent="0.25">
      <c r="A28" s="3">
        <v>64367657</v>
      </c>
      <c r="B28" s="5" t="s">
        <v>533</v>
      </c>
      <c r="C28" s="5" t="s">
        <v>475</v>
      </c>
      <c r="D28" s="5" t="s">
        <v>476</v>
      </c>
      <c r="E28" s="5" t="s">
        <v>477</v>
      </c>
      <c r="F28" s="4">
        <v>45627</v>
      </c>
      <c r="G28" s="5" t="s">
        <v>534</v>
      </c>
      <c r="H28" s="4">
        <v>45303</v>
      </c>
      <c r="I28" s="4">
        <v>46064</v>
      </c>
      <c r="J28" s="5" t="s">
        <v>479</v>
      </c>
    </row>
    <row r="29" spans="1:10" x14ac:dyDescent="0.25">
      <c r="A29" s="3">
        <v>64369026</v>
      </c>
      <c r="B29" s="5" t="s">
        <v>535</v>
      </c>
      <c r="C29" s="5" t="s">
        <v>475</v>
      </c>
      <c r="D29" s="5" t="s">
        <v>476</v>
      </c>
      <c r="E29" s="5" t="s">
        <v>477</v>
      </c>
      <c r="F29" s="4">
        <v>45635</v>
      </c>
      <c r="G29" s="5" t="s">
        <v>536</v>
      </c>
      <c r="H29" s="4">
        <v>45307</v>
      </c>
      <c r="I29" s="4">
        <v>46064</v>
      </c>
      <c r="J29" s="5" t="s">
        <v>479</v>
      </c>
    </row>
    <row r="30" spans="1:10" x14ac:dyDescent="0.25">
      <c r="A30" s="3">
        <v>64369035</v>
      </c>
      <c r="B30" s="5" t="s">
        <v>537</v>
      </c>
      <c r="C30" s="5" t="s">
        <v>475</v>
      </c>
      <c r="D30" s="5" t="s">
        <v>476</v>
      </c>
      <c r="E30" s="5" t="s">
        <v>477</v>
      </c>
      <c r="F30" s="4">
        <v>45692</v>
      </c>
      <c r="G30" s="5" t="s">
        <v>538</v>
      </c>
      <c r="H30" s="4">
        <v>45307</v>
      </c>
      <c r="I30" s="4">
        <v>46064</v>
      </c>
      <c r="J30" s="5" t="s">
        <v>479</v>
      </c>
    </row>
    <row r="31" spans="1:10" x14ac:dyDescent="0.25">
      <c r="A31" s="3">
        <v>64373718</v>
      </c>
      <c r="B31" s="5" t="s">
        <v>95</v>
      </c>
      <c r="C31" s="5" t="s">
        <v>475</v>
      </c>
      <c r="D31" s="5" t="s">
        <v>476</v>
      </c>
      <c r="E31" s="5" t="s">
        <v>477</v>
      </c>
      <c r="F31" s="4">
        <v>45649</v>
      </c>
      <c r="G31" s="5" t="s">
        <v>539</v>
      </c>
      <c r="H31" s="4">
        <v>45309</v>
      </c>
      <c r="I31" s="4">
        <v>46064</v>
      </c>
      <c r="J31" s="5" t="s">
        <v>479</v>
      </c>
    </row>
    <row r="32" spans="1:10" x14ac:dyDescent="0.25">
      <c r="A32" s="3">
        <v>64393722</v>
      </c>
      <c r="B32" s="5" t="s">
        <v>60</v>
      </c>
      <c r="C32" s="5" t="s">
        <v>475</v>
      </c>
      <c r="D32" s="5" t="s">
        <v>476</v>
      </c>
      <c r="E32" s="5" t="s">
        <v>477</v>
      </c>
      <c r="F32" s="4">
        <v>45594</v>
      </c>
      <c r="G32" s="5" t="s">
        <v>540</v>
      </c>
      <c r="H32" s="4">
        <v>45344</v>
      </c>
      <c r="I32" s="4">
        <v>46076</v>
      </c>
      <c r="J32" s="5" t="s">
        <v>519</v>
      </c>
    </row>
    <row r="33" spans="1:10" x14ac:dyDescent="0.25">
      <c r="A33" s="3">
        <v>64393723</v>
      </c>
      <c r="B33" s="5" t="s">
        <v>97</v>
      </c>
      <c r="C33" s="5" t="s">
        <v>475</v>
      </c>
      <c r="D33" s="5" t="s">
        <v>476</v>
      </c>
      <c r="E33" s="5" t="s">
        <v>477</v>
      </c>
      <c r="F33" s="4">
        <v>45692</v>
      </c>
      <c r="G33" s="5" t="s">
        <v>541</v>
      </c>
      <c r="H33" s="4">
        <v>45344</v>
      </c>
      <c r="I33" s="4">
        <v>46076</v>
      </c>
      <c r="J33" s="5" t="s">
        <v>519</v>
      </c>
    </row>
    <row r="34" spans="1:10" x14ac:dyDescent="0.25">
      <c r="A34" s="3">
        <v>64394583</v>
      </c>
      <c r="B34" s="5" t="s">
        <v>542</v>
      </c>
      <c r="C34" s="5" t="s">
        <v>475</v>
      </c>
      <c r="D34" s="5" t="s">
        <v>476</v>
      </c>
      <c r="E34" s="5" t="s">
        <v>477</v>
      </c>
      <c r="F34" s="4">
        <v>45649</v>
      </c>
      <c r="G34" s="5" t="s">
        <v>543</v>
      </c>
      <c r="H34" s="4">
        <v>45345</v>
      </c>
      <c r="I34" s="4">
        <v>46064</v>
      </c>
      <c r="J34" s="5" t="s">
        <v>479</v>
      </c>
    </row>
    <row r="35" spans="1:10" x14ac:dyDescent="0.25">
      <c r="A35" s="3">
        <v>64411068</v>
      </c>
      <c r="B35" s="5" t="s">
        <v>544</v>
      </c>
      <c r="C35" s="5" t="s">
        <v>475</v>
      </c>
      <c r="D35" s="5" t="s">
        <v>476</v>
      </c>
      <c r="E35" s="5" t="s">
        <v>13</v>
      </c>
      <c r="F35" s="4">
        <v>45915</v>
      </c>
      <c r="G35" s="5" t="s">
        <v>545</v>
      </c>
      <c r="H35" s="4">
        <v>45365</v>
      </c>
      <c r="I35" s="4">
        <v>45995</v>
      </c>
      <c r="J35" s="5" t="s">
        <v>546</v>
      </c>
    </row>
    <row r="36" spans="1:10" x14ac:dyDescent="0.25">
      <c r="A36" s="3">
        <v>64775327</v>
      </c>
      <c r="B36" s="5" t="s">
        <v>63</v>
      </c>
      <c r="C36" s="5" t="s">
        <v>475</v>
      </c>
      <c r="D36" s="5" t="s">
        <v>476</v>
      </c>
      <c r="E36" s="5" t="s">
        <v>477</v>
      </c>
      <c r="F36" s="4">
        <v>45741</v>
      </c>
      <c r="G36" s="5" t="s">
        <v>547</v>
      </c>
      <c r="H36" s="4">
        <v>45397</v>
      </c>
      <c r="I36" s="4">
        <v>46064</v>
      </c>
      <c r="J36" s="5" t="s">
        <v>479</v>
      </c>
    </row>
    <row r="37" spans="1:10" x14ac:dyDescent="0.25">
      <c r="A37" s="3">
        <v>64776954</v>
      </c>
      <c r="B37" s="5" t="s">
        <v>75</v>
      </c>
      <c r="C37" s="5" t="s">
        <v>475</v>
      </c>
      <c r="D37" s="5" t="s">
        <v>476</v>
      </c>
      <c r="E37" s="5" t="s">
        <v>477</v>
      </c>
      <c r="F37" s="4">
        <v>45692</v>
      </c>
      <c r="G37" s="5" t="s">
        <v>548</v>
      </c>
      <c r="H37" s="4">
        <v>45400</v>
      </c>
      <c r="I37" s="4">
        <v>46064</v>
      </c>
      <c r="J37" s="5" t="s">
        <v>479</v>
      </c>
    </row>
    <row r="38" spans="1:10" x14ac:dyDescent="0.25">
      <c r="A38" s="3">
        <v>64782365</v>
      </c>
      <c r="B38" s="5" t="s">
        <v>549</v>
      </c>
      <c r="C38" s="5" t="s">
        <v>475</v>
      </c>
      <c r="D38" s="5" t="s">
        <v>476</v>
      </c>
      <c r="E38" s="5" t="s">
        <v>477</v>
      </c>
      <c r="F38" s="4">
        <v>45649</v>
      </c>
      <c r="G38" s="5" t="s">
        <v>550</v>
      </c>
      <c r="H38" s="4">
        <v>45406</v>
      </c>
      <c r="I38" s="4">
        <v>46076</v>
      </c>
      <c r="J38" s="5" t="s">
        <v>519</v>
      </c>
    </row>
    <row r="39" spans="1:10" x14ac:dyDescent="0.25">
      <c r="A39" s="3">
        <v>64786654</v>
      </c>
      <c r="B39" s="5" t="s">
        <v>551</v>
      </c>
      <c r="C39" s="5" t="s">
        <v>475</v>
      </c>
      <c r="D39" s="5" t="s">
        <v>476</v>
      </c>
      <c r="E39" s="5" t="s">
        <v>477</v>
      </c>
      <c r="F39" s="4">
        <v>45761</v>
      </c>
      <c r="G39" s="5" t="s">
        <v>552</v>
      </c>
      <c r="H39" s="4">
        <v>45413</v>
      </c>
      <c r="I39" s="4">
        <v>46075</v>
      </c>
      <c r="J39" s="5" t="s">
        <v>553</v>
      </c>
    </row>
    <row r="40" spans="1:10" x14ac:dyDescent="0.25">
      <c r="A40" s="3">
        <v>64786666</v>
      </c>
      <c r="B40" s="5" t="s">
        <v>554</v>
      </c>
      <c r="C40" s="5" t="s">
        <v>475</v>
      </c>
      <c r="D40" s="5" t="s">
        <v>476</v>
      </c>
      <c r="E40" s="5" t="s">
        <v>477</v>
      </c>
      <c r="F40" s="4">
        <v>45789</v>
      </c>
      <c r="G40" s="5" t="s">
        <v>555</v>
      </c>
      <c r="H40" s="4">
        <v>45413</v>
      </c>
      <c r="I40" s="4">
        <v>46075</v>
      </c>
      <c r="J40" s="5" t="s">
        <v>553</v>
      </c>
    </row>
    <row r="41" spans="1:10" x14ac:dyDescent="0.25">
      <c r="A41" s="3">
        <v>64789262</v>
      </c>
      <c r="B41" s="5" t="s">
        <v>556</v>
      </c>
      <c r="C41" s="5" t="s">
        <v>475</v>
      </c>
      <c r="D41" s="5" t="s">
        <v>476</v>
      </c>
      <c r="E41" s="5" t="s">
        <v>477</v>
      </c>
      <c r="F41" s="4">
        <v>45776</v>
      </c>
      <c r="G41" s="5" t="s">
        <v>557</v>
      </c>
      <c r="H41" s="4">
        <v>45419</v>
      </c>
      <c r="I41" s="4">
        <v>46064</v>
      </c>
      <c r="J41" s="5" t="s">
        <v>479</v>
      </c>
    </row>
    <row r="42" spans="1:10" x14ac:dyDescent="0.25">
      <c r="A42" s="3">
        <v>64797747</v>
      </c>
      <c r="B42" s="5" t="s">
        <v>558</v>
      </c>
      <c r="C42" s="5" t="s">
        <v>475</v>
      </c>
      <c r="D42" s="5" t="s">
        <v>476</v>
      </c>
      <c r="E42" s="5" t="s">
        <v>477</v>
      </c>
      <c r="F42" s="4">
        <v>46058</v>
      </c>
      <c r="G42" s="5" t="s">
        <v>559</v>
      </c>
      <c r="H42" s="4">
        <v>45432</v>
      </c>
      <c r="I42" s="4">
        <v>46058</v>
      </c>
      <c r="J42" s="5" t="s">
        <v>491</v>
      </c>
    </row>
    <row r="43" spans="1:10" x14ac:dyDescent="0.25">
      <c r="A43" s="3">
        <v>64797751</v>
      </c>
      <c r="B43" s="5" t="s">
        <v>560</v>
      </c>
      <c r="C43" s="5" t="s">
        <v>475</v>
      </c>
      <c r="D43" s="5" t="s">
        <v>476</v>
      </c>
      <c r="E43" s="5" t="s">
        <v>477</v>
      </c>
      <c r="F43" s="4">
        <v>45901</v>
      </c>
      <c r="G43" s="5" t="s">
        <v>561</v>
      </c>
      <c r="H43" s="4">
        <v>45432</v>
      </c>
      <c r="I43" s="4">
        <v>46045</v>
      </c>
      <c r="J43" s="5" t="s">
        <v>491</v>
      </c>
    </row>
    <row r="44" spans="1:10" x14ac:dyDescent="0.25">
      <c r="A44" s="3">
        <v>64797759</v>
      </c>
      <c r="B44" s="5" t="s">
        <v>562</v>
      </c>
      <c r="C44" s="5" t="s">
        <v>475</v>
      </c>
      <c r="D44" s="5" t="s">
        <v>476</v>
      </c>
      <c r="E44" s="5" t="s">
        <v>13</v>
      </c>
      <c r="F44" s="4">
        <v>45922</v>
      </c>
      <c r="G44" s="5" t="s">
        <v>563</v>
      </c>
      <c r="H44" s="4">
        <v>45432</v>
      </c>
      <c r="I44" s="4">
        <v>45995</v>
      </c>
      <c r="J44" s="5" t="s">
        <v>546</v>
      </c>
    </row>
    <row r="45" spans="1:10" x14ac:dyDescent="0.25">
      <c r="A45" s="3">
        <v>64797762</v>
      </c>
      <c r="B45" s="5" t="s">
        <v>564</v>
      </c>
      <c r="C45" s="5" t="s">
        <v>475</v>
      </c>
      <c r="D45" s="5" t="s">
        <v>476</v>
      </c>
      <c r="E45" s="5" t="s">
        <v>477</v>
      </c>
      <c r="F45" s="4">
        <v>45915</v>
      </c>
      <c r="G45" s="5" t="s">
        <v>565</v>
      </c>
      <c r="H45" s="4">
        <v>45432</v>
      </c>
      <c r="I45" s="4">
        <v>45995</v>
      </c>
      <c r="J45" s="5" t="s">
        <v>546</v>
      </c>
    </row>
    <row r="46" spans="1:10" x14ac:dyDescent="0.25">
      <c r="A46" s="3">
        <v>64798432</v>
      </c>
      <c r="B46" s="5" t="s">
        <v>566</v>
      </c>
      <c r="C46" s="5" t="s">
        <v>475</v>
      </c>
      <c r="D46" s="5" t="s">
        <v>476</v>
      </c>
      <c r="E46" s="5" t="s">
        <v>477</v>
      </c>
      <c r="F46" s="4">
        <v>45687</v>
      </c>
      <c r="G46" s="5" t="s">
        <v>567</v>
      </c>
      <c r="H46" s="4">
        <v>45434</v>
      </c>
      <c r="I46" s="4">
        <v>46030</v>
      </c>
      <c r="J46" s="5" t="s">
        <v>491</v>
      </c>
    </row>
    <row r="47" spans="1:10" x14ac:dyDescent="0.25">
      <c r="A47" s="3">
        <v>64798434</v>
      </c>
      <c r="B47" s="5" t="s">
        <v>71</v>
      </c>
      <c r="C47" s="5" t="s">
        <v>475</v>
      </c>
      <c r="D47" s="5" t="s">
        <v>476</v>
      </c>
      <c r="E47" s="5" t="s">
        <v>477</v>
      </c>
      <c r="F47" s="4">
        <v>45680</v>
      </c>
      <c r="G47" s="5" t="s">
        <v>568</v>
      </c>
      <c r="H47" s="4">
        <v>45434</v>
      </c>
      <c r="I47" s="4">
        <v>46030</v>
      </c>
      <c r="J47" s="5" t="s">
        <v>491</v>
      </c>
    </row>
    <row r="48" spans="1:10" x14ac:dyDescent="0.25">
      <c r="A48" s="3">
        <v>64799252</v>
      </c>
      <c r="B48" s="5" t="s">
        <v>569</v>
      </c>
      <c r="C48" s="5" t="s">
        <v>475</v>
      </c>
      <c r="D48" s="5" t="s">
        <v>476</v>
      </c>
      <c r="E48" s="5" t="s">
        <v>477</v>
      </c>
      <c r="F48" s="4">
        <v>45719</v>
      </c>
      <c r="G48" s="5" t="s">
        <v>570</v>
      </c>
      <c r="H48" s="4">
        <v>45434</v>
      </c>
      <c r="I48" s="4">
        <v>46064</v>
      </c>
      <c r="J48" s="5" t="s">
        <v>479</v>
      </c>
    </row>
    <row r="49" spans="1:10" x14ac:dyDescent="0.25">
      <c r="A49" s="3">
        <v>64799253</v>
      </c>
      <c r="B49" s="5" t="s">
        <v>571</v>
      </c>
      <c r="C49" s="5" t="s">
        <v>475</v>
      </c>
      <c r="D49" s="5" t="s">
        <v>476</v>
      </c>
      <c r="E49" s="5" t="s">
        <v>477</v>
      </c>
      <c r="F49" s="4">
        <v>45719</v>
      </c>
      <c r="G49" s="5" t="s">
        <v>572</v>
      </c>
      <c r="H49" s="4">
        <v>45434</v>
      </c>
      <c r="I49" s="4">
        <v>46064</v>
      </c>
      <c r="J49" s="5" t="s">
        <v>479</v>
      </c>
    </row>
    <row r="50" spans="1:10" x14ac:dyDescent="0.25">
      <c r="A50" s="3">
        <v>64803348</v>
      </c>
      <c r="B50" s="5" t="s">
        <v>573</v>
      </c>
      <c r="C50" s="5" t="s">
        <v>475</v>
      </c>
      <c r="D50" s="5" t="s">
        <v>476</v>
      </c>
      <c r="E50" s="5" t="s">
        <v>477</v>
      </c>
      <c r="F50" s="4">
        <v>45680</v>
      </c>
      <c r="G50" s="5" t="s">
        <v>574</v>
      </c>
      <c r="H50" s="4">
        <v>45441</v>
      </c>
      <c r="I50" s="4">
        <v>46030</v>
      </c>
      <c r="J50" s="5" t="s">
        <v>491</v>
      </c>
    </row>
    <row r="51" spans="1:10" x14ac:dyDescent="0.25">
      <c r="A51" s="3">
        <v>64803354</v>
      </c>
      <c r="B51" s="5" t="s">
        <v>575</v>
      </c>
      <c r="C51" s="5" t="s">
        <v>475</v>
      </c>
      <c r="D51" s="5" t="s">
        <v>476</v>
      </c>
      <c r="E51" s="5" t="s">
        <v>477</v>
      </c>
      <c r="F51" s="4">
        <v>45908</v>
      </c>
      <c r="G51" s="5" t="s">
        <v>576</v>
      </c>
      <c r="H51" s="4">
        <v>45441</v>
      </c>
      <c r="I51" s="4">
        <v>46045</v>
      </c>
      <c r="J51" s="5" t="s">
        <v>491</v>
      </c>
    </row>
    <row r="52" spans="1:10" x14ac:dyDescent="0.25">
      <c r="A52" s="3">
        <v>64803355</v>
      </c>
      <c r="B52" s="5" t="s">
        <v>577</v>
      </c>
      <c r="C52" s="5" t="s">
        <v>475</v>
      </c>
      <c r="D52" s="5" t="s">
        <v>476</v>
      </c>
      <c r="E52" s="5" t="s">
        <v>477</v>
      </c>
      <c r="F52" s="4">
        <v>46065</v>
      </c>
      <c r="G52" s="5" t="s">
        <v>578</v>
      </c>
      <c r="H52" s="4">
        <v>45441</v>
      </c>
      <c r="I52" s="4">
        <v>46065</v>
      </c>
      <c r="J52" s="5" t="s">
        <v>491</v>
      </c>
    </row>
    <row r="53" spans="1:10" x14ac:dyDescent="0.25">
      <c r="A53" s="3">
        <v>64804345</v>
      </c>
      <c r="B53" s="5" t="s">
        <v>579</v>
      </c>
      <c r="C53" s="5" t="s">
        <v>475</v>
      </c>
      <c r="D53" s="5" t="s">
        <v>476</v>
      </c>
      <c r="E53" s="5" t="s">
        <v>477</v>
      </c>
      <c r="F53" s="4">
        <v>45670</v>
      </c>
      <c r="G53" s="5" t="s">
        <v>580</v>
      </c>
      <c r="H53" s="4">
        <v>45450</v>
      </c>
      <c r="I53" s="4">
        <v>46023</v>
      </c>
      <c r="J53" s="5" t="s">
        <v>488</v>
      </c>
    </row>
    <row r="54" spans="1:10" x14ac:dyDescent="0.25">
      <c r="A54" s="3">
        <v>64804368</v>
      </c>
      <c r="B54" s="5" t="s">
        <v>581</v>
      </c>
      <c r="C54" s="5" t="s">
        <v>475</v>
      </c>
      <c r="D54" s="5" t="s">
        <v>476</v>
      </c>
      <c r="E54" s="5" t="s">
        <v>477</v>
      </c>
      <c r="F54" s="4">
        <v>45666</v>
      </c>
      <c r="G54" s="5" t="s">
        <v>582</v>
      </c>
      <c r="H54" s="4">
        <v>45442</v>
      </c>
      <c r="I54" s="4">
        <v>46036</v>
      </c>
      <c r="J54" s="5" t="s">
        <v>491</v>
      </c>
    </row>
    <row r="55" spans="1:10" x14ac:dyDescent="0.25">
      <c r="A55" s="3">
        <v>64804369</v>
      </c>
      <c r="B55" s="5" t="s">
        <v>583</v>
      </c>
      <c r="C55" s="5" t="s">
        <v>475</v>
      </c>
      <c r="D55" s="5" t="s">
        <v>476</v>
      </c>
      <c r="E55" s="5" t="s">
        <v>477</v>
      </c>
      <c r="F55" s="4">
        <v>45617</v>
      </c>
      <c r="G55" s="5" t="s">
        <v>584</v>
      </c>
      <c r="H55" s="4">
        <v>45442</v>
      </c>
      <c r="I55" s="4">
        <v>46042</v>
      </c>
      <c r="J55" s="5" t="s">
        <v>491</v>
      </c>
    </row>
    <row r="56" spans="1:10" x14ac:dyDescent="0.25">
      <c r="A56" s="3">
        <v>64804370</v>
      </c>
      <c r="B56" s="5" t="s">
        <v>585</v>
      </c>
      <c r="C56" s="5" t="s">
        <v>475</v>
      </c>
      <c r="D56" s="5" t="s">
        <v>476</v>
      </c>
      <c r="E56" s="5" t="s">
        <v>477</v>
      </c>
      <c r="F56" s="4">
        <v>45608</v>
      </c>
      <c r="G56" s="5" t="s">
        <v>586</v>
      </c>
      <c r="H56" s="4">
        <v>45442</v>
      </c>
      <c r="I56" s="4">
        <v>46042</v>
      </c>
      <c r="J56" s="5" t="s">
        <v>491</v>
      </c>
    </row>
    <row r="57" spans="1:10" x14ac:dyDescent="0.25">
      <c r="A57" s="3">
        <v>64804375</v>
      </c>
      <c r="B57" s="5" t="s">
        <v>587</v>
      </c>
      <c r="C57" s="5" t="s">
        <v>475</v>
      </c>
      <c r="D57" s="5" t="s">
        <v>476</v>
      </c>
      <c r="E57" s="5" t="s">
        <v>477</v>
      </c>
      <c r="F57" s="4">
        <v>45617</v>
      </c>
      <c r="G57" s="5" t="s">
        <v>588</v>
      </c>
      <c r="H57" s="4">
        <v>45442</v>
      </c>
      <c r="I57" s="4">
        <v>46042</v>
      </c>
      <c r="J57" s="5" t="s">
        <v>491</v>
      </c>
    </row>
    <row r="58" spans="1:10" x14ac:dyDescent="0.25">
      <c r="A58" s="3">
        <v>64804376</v>
      </c>
      <c r="B58" s="5" t="s">
        <v>589</v>
      </c>
      <c r="C58" s="5" t="s">
        <v>475</v>
      </c>
      <c r="D58" s="5" t="s">
        <v>476</v>
      </c>
      <c r="E58" s="5" t="s">
        <v>477</v>
      </c>
      <c r="F58" s="4">
        <v>45624</v>
      </c>
      <c r="G58" s="5" t="s">
        <v>590</v>
      </c>
      <c r="H58" s="4">
        <v>45442</v>
      </c>
      <c r="I58" s="4">
        <v>46042</v>
      </c>
      <c r="J58" s="5" t="s">
        <v>491</v>
      </c>
    </row>
    <row r="59" spans="1:10" x14ac:dyDescent="0.25">
      <c r="A59" s="3">
        <v>64804395</v>
      </c>
      <c r="B59" s="5" t="s">
        <v>591</v>
      </c>
      <c r="C59" s="5" t="s">
        <v>475</v>
      </c>
      <c r="D59" s="5" t="s">
        <v>476</v>
      </c>
      <c r="E59" s="5" t="s">
        <v>477</v>
      </c>
      <c r="F59" s="4">
        <v>45601</v>
      </c>
      <c r="G59" s="5" t="s">
        <v>592</v>
      </c>
      <c r="H59" s="4">
        <v>45442</v>
      </c>
      <c r="I59" s="4">
        <v>46042</v>
      </c>
      <c r="J59" s="5" t="s">
        <v>491</v>
      </c>
    </row>
    <row r="60" spans="1:10" x14ac:dyDescent="0.25">
      <c r="A60" s="3">
        <v>64804397</v>
      </c>
      <c r="B60" s="5" t="s">
        <v>593</v>
      </c>
      <c r="C60" s="5" t="s">
        <v>475</v>
      </c>
      <c r="D60" s="5" t="s">
        <v>476</v>
      </c>
      <c r="E60" s="5" t="s">
        <v>477</v>
      </c>
      <c r="F60" s="4">
        <v>45672</v>
      </c>
      <c r="G60" s="5" t="s">
        <v>594</v>
      </c>
      <c r="H60" s="4">
        <v>45442</v>
      </c>
      <c r="I60" s="4">
        <v>46042</v>
      </c>
      <c r="J60" s="5" t="s">
        <v>491</v>
      </c>
    </row>
    <row r="61" spans="1:10" x14ac:dyDescent="0.25">
      <c r="A61" s="3">
        <v>64804399</v>
      </c>
      <c r="B61" s="5" t="s">
        <v>595</v>
      </c>
      <c r="C61" s="5" t="s">
        <v>475</v>
      </c>
      <c r="D61" s="5" t="s">
        <v>476</v>
      </c>
      <c r="E61" s="5" t="s">
        <v>477</v>
      </c>
      <c r="F61" s="4">
        <v>45608</v>
      </c>
      <c r="G61" s="5" t="s">
        <v>596</v>
      </c>
      <c r="H61" s="4">
        <v>45442</v>
      </c>
      <c r="I61" s="4">
        <v>46042</v>
      </c>
      <c r="J61" s="5" t="s">
        <v>491</v>
      </c>
    </row>
    <row r="62" spans="1:10" x14ac:dyDescent="0.25">
      <c r="A62" s="3">
        <v>64874631</v>
      </c>
      <c r="B62" s="5" t="s">
        <v>597</v>
      </c>
      <c r="C62" s="5" t="s">
        <v>475</v>
      </c>
      <c r="D62" s="5" t="s">
        <v>476</v>
      </c>
      <c r="E62" s="5" t="s">
        <v>477</v>
      </c>
      <c r="F62" s="4">
        <v>45751</v>
      </c>
      <c r="G62" s="5" t="s">
        <v>598</v>
      </c>
      <c r="H62" s="4">
        <v>45544</v>
      </c>
      <c r="I62" s="4">
        <v>46064</v>
      </c>
      <c r="J62" s="5" t="s">
        <v>479</v>
      </c>
    </row>
    <row r="63" spans="1:10" x14ac:dyDescent="0.25">
      <c r="A63" s="3">
        <v>64874633</v>
      </c>
      <c r="B63" s="5" t="s">
        <v>105</v>
      </c>
      <c r="C63" s="5" t="s">
        <v>475</v>
      </c>
      <c r="D63" s="5" t="s">
        <v>476</v>
      </c>
      <c r="E63" s="5" t="s">
        <v>477</v>
      </c>
      <c r="F63" s="4">
        <v>45817</v>
      </c>
      <c r="G63" s="5" t="s">
        <v>599</v>
      </c>
      <c r="H63" s="4">
        <v>45545</v>
      </c>
      <c r="I63" s="4">
        <v>46064</v>
      </c>
      <c r="J63" s="5" t="s">
        <v>479</v>
      </c>
    </row>
    <row r="64" spans="1:10" x14ac:dyDescent="0.25">
      <c r="A64" s="3">
        <v>64958122</v>
      </c>
      <c r="B64" s="5" t="s">
        <v>94</v>
      </c>
      <c r="C64" s="5" t="s">
        <v>475</v>
      </c>
      <c r="D64" s="5" t="s">
        <v>476</v>
      </c>
      <c r="E64" s="5" t="s">
        <v>477</v>
      </c>
      <c r="F64" s="4">
        <v>45859</v>
      </c>
      <c r="G64" s="5" t="s">
        <v>600</v>
      </c>
      <c r="H64" s="4">
        <v>45667</v>
      </c>
      <c r="I64" s="4">
        <v>46076</v>
      </c>
      <c r="J64" s="5" t="s">
        <v>519</v>
      </c>
    </row>
    <row r="65" spans="1:10" x14ac:dyDescent="0.25">
      <c r="A65" s="3">
        <v>64958125</v>
      </c>
      <c r="B65" s="5" t="s">
        <v>32</v>
      </c>
      <c r="C65" s="5" t="s">
        <v>475</v>
      </c>
      <c r="D65" s="5" t="s">
        <v>476</v>
      </c>
      <c r="E65" s="5" t="s">
        <v>477</v>
      </c>
      <c r="F65" s="4">
        <v>45862</v>
      </c>
      <c r="G65" s="5" t="s">
        <v>601</v>
      </c>
      <c r="H65" s="4">
        <v>45667</v>
      </c>
      <c r="I65" s="4">
        <v>46076</v>
      </c>
      <c r="J65" s="5" t="s">
        <v>519</v>
      </c>
    </row>
    <row r="66" spans="1:10" x14ac:dyDescent="0.25">
      <c r="A66" s="3">
        <v>64958127</v>
      </c>
      <c r="B66" s="5" t="s">
        <v>159</v>
      </c>
      <c r="C66" s="5" t="s">
        <v>475</v>
      </c>
      <c r="D66" s="5" t="s">
        <v>476</v>
      </c>
      <c r="E66" s="5" t="s">
        <v>477</v>
      </c>
      <c r="F66" s="4">
        <v>45859</v>
      </c>
      <c r="G66" s="5" t="s">
        <v>602</v>
      </c>
      <c r="H66" s="4">
        <v>45667</v>
      </c>
      <c r="I66" s="4">
        <v>46076</v>
      </c>
      <c r="J66" s="5" t="s">
        <v>519</v>
      </c>
    </row>
    <row r="67" spans="1:10" x14ac:dyDescent="0.25">
      <c r="A67" s="3">
        <v>64958128</v>
      </c>
      <c r="B67" s="5" t="s">
        <v>64</v>
      </c>
      <c r="C67" s="5" t="s">
        <v>475</v>
      </c>
      <c r="D67" s="5" t="s">
        <v>476</v>
      </c>
      <c r="E67" s="5" t="s">
        <v>477</v>
      </c>
      <c r="F67" s="4">
        <v>45810</v>
      </c>
      <c r="G67" s="5" t="s">
        <v>603</v>
      </c>
      <c r="H67" s="4">
        <v>45667</v>
      </c>
      <c r="I67" s="4">
        <v>46076</v>
      </c>
      <c r="J67" s="5" t="s">
        <v>519</v>
      </c>
    </row>
    <row r="68" spans="1:10" x14ac:dyDescent="0.25">
      <c r="A68" s="3">
        <v>64967950</v>
      </c>
      <c r="B68" s="5" t="s">
        <v>604</v>
      </c>
      <c r="C68" s="5" t="s">
        <v>475</v>
      </c>
      <c r="D68" s="5" t="s">
        <v>476</v>
      </c>
      <c r="E68" s="5" t="s">
        <v>477</v>
      </c>
      <c r="F68" s="4">
        <v>46065</v>
      </c>
      <c r="G68" s="5" t="s">
        <v>605</v>
      </c>
      <c r="H68" s="4">
        <v>45686</v>
      </c>
      <c r="I68" s="4">
        <v>46065</v>
      </c>
      <c r="J68" s="5" t="s">
        <v>491</v>
      </c>
    </row>
    <row r="69" spans="1:10" x14ac:dyDescent="0.25">
      <c r="A69" s="3">
        <v>64967951</v>
      </c>
      <c r="B69" s="5" t="s">
        <v>606</v>
      </c>
      <c r="C69" s="5" t="s">
        <v>475</v>
      </c>
      <c r="D69" s="5" t="s">
        <v>476</v>
      </c>
      <c r="E69" s="5" t="s">
        <v>477</v>
      </c>
      <c r="F69" s="4">
        <v>46058</v>
      </c>
      <c r="G69" s="5" t="s">
        <v>607</v>
      </c>
      <c r="H69" s="4">
        <v>45686</v>
      </c>
      <c r="I69" s="4">
        <v>46065</v>
      </c>
      <c r="J69" s="5" t="s">
        <v>491</v>
      </c>
    </row>
    <row r="70" spans="1:10" x14ac:dyDescent="0.25">
      <c r="A70" s="3">
        <v>64967952</v>
      </c>
      <c r="B70" s="5" t="s">
        <v>608</v>
      </c>
      <c r="C70" s="5" t="s">
        <v>475</v>
      </c>
      <c r="D70" s="5" t="s">
        <v>476</v>
      </c>
      <c r="E70" s="5" t="s">
        <v>477</v>
      </c>
      <c r="F70" s="4">
        <v>46071</v>
      </c>
      <c r="G70" s="5" t="s">
        <v>609</v>
      </c>
      <c r="H70" s="4">
        <v>45686</v>
      </c>
      <c r="I70" s="4">
        <v>46071</v>
      </c>
      <c r="J70" s="5" t="s">
        <v>491</v>
      </c>
    </row>
    <row r="71" spans="1:10" x14ac:dyDescent="0.25">
      <c r="A71" s="3">
        <v>64971623</v>
      </c>
      <c r="B71" s="5" t="s">
        <v>610</v>
      </c>
      <c r="C71" s="5" t="s">
        <v>475</v>
      </c>
      <c r="D71" s="5" t="s">
        <v>476</v>
      </c>
      <c r="E71" s="5" t="s">
        <v>477</v>
      </c>
      <c r="F71" s="4">
        <v>46065</v>
      </c>
      <c r="G71" s="5" t="s">
        <v>611</v>
      </c>
      <c r="H71" s="4">
        <v>45692</v>
      </c>
      <c r="I71" s="4">
        <v>46064</v>
      </c>
      <c r="J71" s="5" t="s">
        <v>491</v>
      </c>
    </row>
    <row r="72" spans="1:10" x14ac:dyDescent="0.25">
      <c r="A72" s="3">
        <v>64971624</v>
      </c>
      <c r="B72" s="5" t="s">
        <v>612</v>
      </c>
      <c r="C72" s="5" t="s">
        <v>475</v>
      </c>
      <c r="D72" s="5" t="s">
        <v>476</v>
      </c>
      <c r="E72" s="5" t="s">
        <v>477</v>
      </c>
      <c r="F72" s="4">
        <v>46065</v>
      </c>
      <c r="G72" s="5" t="s">
        <v>613</v>
      </c>
      <c r="H72" s="4">
        <v>45692</v>
      </c>
      <c r="I72" s="4">
        <v>46064</v>
      </c>
      <c r="J72" s="5" t="s">
        <v>491</v>
      </c>
    </row>
    <row r="73" spans="1:10" x14ac:dyDescent="0.25">
      <c r="A73" s="3">
        <v>64975616</v>
      </c>
      <c r="B73" s="5" t="s">
        <v>91</v>
      </c>
      <c r="C73" s="5" t="s">
        <v>475</v>
      </c>
      <c r="D73" s="5" t="s">
        <v>476</v>
      </c>
      <c r="E73" s="5" t="s">
        <v>477</v>
      </c>
      <c r="F73" s="4">
        <v>45908</v>
      </c>
      <c r="G73" s="5" t="s">
        <v>614</v>
      </c>
      <c r="H73" s="4">
        <v>45706</v>
      </c>
      <c r="I73" s="4">
        <v>46076</v>
      </c>
      <c r="J73" s="5" t="s">
        <v>519</v>
      </c>
    </row>
    <row r="74" spans="1:10" x14ac:dyDescent="0.25">
      <c r="A74" s="3">
        <v>64976848</v>
      </c>
      <c r="B74" s="5" t="s">
        <v>307</v>
      </c>
      <c r="C74" s="5" t="s">
        <v>475</v>
      </c>
      <c r="D74" s="5" t="s">
        <v>476</v>
      </c>
      <c r="E74" s="5" t="s">
        <v>477</v>
      </c>
      <c r="F74" s="4">
        <v>45894</v>
      </c>
      <c r="G74" s="5" t="s">
        <v>615</v>
      </c>
      <c r="H74" s="4">
        <v>45701</v>
      </c>
      <c r="I74" s="4">
        <v>46076</v>
      </c>
      <c r="J74" s="5" t="s">
        <v>519</v>
      </c>
    </row>
    <row r="75" spans="1:10" x14ac:dyDescent="0.25">
      <c r="A75" s="3">
        <v>64977526</v>
      </c>
      <c r="B75" s="5" t="s">
        <v>107</v>
      </c>
      <c r="C75" s="5" t="s">
        <v>475</v>
      </c>
      <c r="D75" s="5" t="s">
        <v>476</v>
      </c>
      <c r="E75" s="5" t="s">
        <v>477</v>
      </c>
      <c r="F75" s="4">
        <v>46014</v>
      </c>
      <c r="G75" s="5" t="s">
        <v>616</v>
      </c>
      <c r="H75" s="4">
        <v>45700</v>
      </c>
      <c r="I75" s="4">
        <v>46072</v>
      </c>
      <c r="J75" s="5" t="s">
        <v>479</v>
      </c>
    </row>
    <row r="76" spans="1:10" x14ac:dyDescent="0.25">
      <c r="A76" s="3">
        <v>64977529</v>
      </c>
      <c r="B76" s="5" t="s">
        <v>617</v>
      </c>
      <c r="C76" s="5" t="s">
        <v>475</v>
      </c>
      <c r="D76" s="5" t="s">
        <v>476</v>
      </c>
      <c r="E76" s="5" t="s">
        <v>477</v>
      </c>
      <c r="F76" s="4">
        <v>46014</v>
      </c>
      <c r="G76" s="5" t="s">
        <v>618</v>
      </c>
      <c r="H76" s="4">
        <v>45700</v>
      </c>
      <c r="I76" s="4">
        <v>46072</v>
      </c>
      <c r="J76" s="5" t="s">
        <v>479</v>
      </c>
    </row>
    <row r="77" spans="1:10" x14ac:dyDescent="0.25">
      <c r="A77" s="3">
        <v>64977530</v>
      </c>
      <c r="B77" s="5" t="s">
        <v>93</v>
      </c>
      <c r="C77" s="5" t="s">
        <v>475</v>
      </c>
      <c r="D77" s="5" t="s">
        <v>476</v>
      </c>
      <c r="E77" s="5" t="s">
        <v>477</v>
      </c>
      <c r="F77" s="4">
        <v>46021</v>
      </c>
      <c r="G77" s="5" t="s">
        <v>619</v>
      </c>
      <c r="H77" s="4">
        <v>45700</v>
      </c>
      <c r="I77" s="4">
        <v>46072</v>
      </c>
      <c r="J77" s="5" t="s">
        <v>479</v>
      </c>
    </row>
    <row r="78" spans="1:10" x14ac:dyDescent="0.25">
      <c r="A78" s="3">
        <v>64984152</v>
      </c>
      <c r="B78" s="5" t="s">
        <v>620</v>
      </c>
      <c r="C78" s="5" t="s">
        <v>475</v>
      </c>
      <c r="D78" s="5" t="s">
        <v>476</v>
      </c>
      <c r="E78" s="5" t="s">
        <v>477</v>
      </c>
      <c r="F78" s="4">
        <v>46014</v>
      </c>
      <c r="G78" s="5" t="s">
        <v>621</v>
      </c>
      <c r="H78" s="4">
        <v>45712</v>
      </c>
      <c r="I78" s="4">
        <v>46072</v>
      </c>
      <c r="J78" s="5" t="s">
        <v>479</v>
      </c>
    </row>
    <row r="79" spans="1:10" x14ac:dyDescent="0.25">
      <c r="A79" s="3">
        <v>64984153</v>
      </c>
      <c r="B79" s="5" t="s">
        <v>161</v>
      </c>
      <c r="C79" s="5" t="s">
        <v>475</v>
      </c>
      <c r="D79" s="5" t="s">
        <v>476</v>
      </c>
      <c r="E79" s="5" t="s">
        <v>477</v>
      </c>
      <c r="F79" s="4">
        <v>46014</v>
      </c>
      <c r="G79" s="5" t="s">
        <v>622</v>
      </c>
      <c r="H79" s="4">
        <v>45712</v>
      </c>
      <c r="I79" s="4">
        <v>46072</v>
      </c>
      <c r="J79" s="5" t="s">
        <v>479</v>
      </c>
    </row>
    <row r="80" spans="1:10" x14ac:dyDescent="0.25">
      <c r="A80" s="3">
        <v>64988055</v>
      </c>
      <c r="B80" s="5" t="s">
        <v>138</v>
      </c>
      <c r="C80" s="5" t="s">
        <v>475</v>
      </c>
      <c r="D80" s="5" t="s">
        <v>476</v>
      </c>
      <c r="E80" s="5" t="s">
        <v>477</v>
      </c>
      <c r="F80" s="4">
        <v>45948</v>
      </c>
      <c r="G80" s="5" t="s">
        <v>623</v>
      </c>
      <c r="H80" s="4">
        <v>45722</v>
      </c>
      <c r="I80" s="4">
        <v>46072</v>
      </c>
      <c r="J80" s="5" t="s">
        <v>624</v>
      </c>
    </row>
    <row r="81" spans="1:10" x14ac:dyDescent="0.25">
      <c r="A81" s="3">
        <v>64988056</v>
      </c>
      <c r="B81" s="5" t="s">
        <v>20</v>
      </c>
      <c r="C81" s="5" t="s">
        <v>475</v>
      </c>
      <c r="D81" s="5" t="s">
        <v>476</v>
      </c>
      <c r="E81" s="5" t="s">
        <v>477</v>
      </c>
      <c r="F81" s="4">
        <v>45930</v>
      </c>
      <c r="G81" s="5" t="s">
        <v>625</v>
      </c>
      <c r="H81" s="4">
        <v>45722</v>
      </c>
      <c r="I81" s="4">
        <v>46070</v>
      </c>
      <c r="J81" s="5" t="s">
        <v>479</v>
      </c>
    </row>
    <row r="82" spans="1:10" x14ac:dyDescent="0.25">
      <c r="A82" s="3">
        <v>64988927</v>
      </c>
      <c r="B82" s="5" t="s">
        <v>626</v>
      </c>
      <c r="C82" s="5" t="s">
        <v>475</v>
      </c>
      <c r="D82" s="5" t="s">
        <v>476</v>
      </c>
      <c r="E82" s="5" t="s">
        <v>531</v>
      </c>
      <c r="F82" s="4">
        <v>45840</v>
      </c>
      <c r="G82" s="5" t="s">
        <v>627</v>
      </c>
      <c r="H82" s="4">
        <v>45717</v>
      </c>
      <c r="I82" s="4">
        <v>46070</v>
      </c>
      <c r="J82" s="5" t="s">
        <v>479</v>
      </c>
    </row>
    <row r="83" spans="1:10" x14ac:dyDescent="0.25">
      <c r="A83" s="3">
        <v>64999042</v>
      </c>
      <c r="B83" s="5" t="s">
        <v>337</v>
      </c>
      <c r="C83" s="5" t="s">
        <v>475</v>
      </c>
      <c r="D83" s="5" t="s">
        <v>476</v>
      </c>
      <c r="E83" s="5" t="s">
        <v>477</v>
      </c>
      <c r="F83" s="4">
        <v>45908</v>
      </c>
      <c r="G83" s="5" t="s">
        <v>628</v>
      </c>
      <c r="H83" s="4">
        <v>45736</v>
      </c>
      <c r="I83" s="4">
        <v>46076</v>
      </c>
      <c r="J83" s="5" t="s">
        <v>519</v>
      </c>
    </row>
    <row r="84" spans="1:10" x14ac:dyDescent="0.25">
      <c r="A84" s="3">
        <v>65222183</v>
      </c>
      <c r="B84" s="5" t="s">
        <v>629</v>
      </c>
      <c r="C84" s="5" t="s">
        <v>475</v>
      </c>
      <c r="D84" s="5" t="s">
        <v>476</v>
      </c>
      <c r="E84" s="5" t="s">
        <v>477</v>
      </c>
      <c r="F84" s="4">
        <v>46066</v>
      </c>
      <c r="G84" s="5" t="s">
        <v>630</v>
      </c>
      <c r="H84" s="4">
        <v>45786</v>
      </c>
      <c r="I84" s="4">
        <v>46066</v>
      </c>
      <c r="J84" s="5" t="s">
        <v>491</v>
      </c>
    </row>
    <row r="85" spans="1:10" x14ac:dyDescent="0.25">
      <c r="A85" s="3">
        <v>65222190</v>
      </c>
      <c r="B85" s="5" t="s">
        <v>631</v>
      </c>
      <c r="C85" s="5" t="s">
        <v>475</v>
      </c>
      <c r="D85" s="5" t="s">
        <v>476</v>
      </c>
      <c r="E85" s="5" t="s">
        <v>477</v>
      </c>
      <c r="F85" s="4">
        <v>46064</v>
      </c>
      <c r="G85" s="5" t="s">
        <v>632</v>
      </c>
      <c r="H85" s="4">
        <v>45786</v>
      </c>
      <c r="I85" s="4">
        <v>46063</v>
      </c>
      <c r="J85" s="5" t="s">
        <v>546</v>
      </c>
    </row>
    <row r="86" spans="1:10" x14ac:dyDescent="0.25">
      <c r="A86" s="3">
        <v>65222191</v>
      </c>
      <c r="B86" s="5" t="s">
        <v>633</v>
      </c>
      <c r="C86" s="5" t="s">
        <v>475</v>
      </c>
      <c r="D86" s="5" t="s">
        <v>476</v>
      </c>
      <c r="E86" s="5" t="s">
        <v>477</v>
      </c>
      <c r="F86" s="4">
        <v>46066</v>
      </c>
      <c r="G86" s="5" t="s">
        <v>634</v>
      </c>
      <c r="H86" s="4">
        <v>45786</v>
      </c>
      <c r="I86" s="4">
        <v>46066</v>
      </c>
      <c r="J86" s="5" t="s">
        <v>491</v>
      </c>
    </row>
    <row r="87" spans="1:10" x14ac:dyDescent="0.25">
      <c r="A87" s="3">
        <v>65431089</v>
      </c>
      <c r="B87" s="5" t="s">
        <v>139</v>
      </c>
      <c r="C87" s="5" t="s">
        <v>475</v>
      </c>
      <c r="D87" s="5" t="s">
        <v>476</v>
      </c>
      <c r="E87" s="5" t="s">
        <v>477</v>
      </c>
      <c r="F87" s="4">
        <v>46014</v>
      </c>
      <c r="G87" s="5" t="s">
        <v>635</v>
      </c>
      <c r="H87" s="4">
        <v>45855</v>
      </c>
      <c r="I87" s="4">
        <v>46072</v>
      </c>
      <c r="J87" s="5" t="s">
        <v>479</v>
      </c>
    </row>
    <row r="88" spans="1:10" x14ac:dyDescent="0.25">
      <c r="A88" s="3">
        <v>65431090</v>
      </c>
      <c r="B88" s="5" t="s">
        <v>146</v>
      </c>
      <c r="C88" s="5" t="s">
        <v>475</v>
      </c>
      <c r="D88" s="5" t="s">
        <v>476</v>
      </c>
      <c r="E88" s="5" t="s">
        <v>477</v>
      </c>
      <c r="F88" s="4">
        <v>46014</v>
      </c>
      <c r="G88" s="5" t="s">
        <v>636</v>
      </c>
      <c r="H88" s="4">
        <v>45855</v>
      </c>
      <c r="I88" s="4">
        <v>46072</v>
      </c>
      <c r="J88" s="5" t="s">
        <v>479</v>
      </c>
    </row>
    <row r="89" spans="1:10" x14ac:dyDescent="0.25">
      <c r="A89" s="3">
        <v>65451821</v>
      </c>
      <c r="B89" s="5" t="s">
        <v>637</v>
      </c>
      <c r="C89" s="5" t="s">
        <v>475</v>
      </c>
      <c r="D89" s="5" t="s">
        <v>476</v>
      </c>
      <c r="E89" s="5" t="s">
        <v>13</v>
      </c>
      <c r="F89" s="4">
        <v>46025</v>
      </c>
      <c r="G89" s="5" t="s">
        <v>638</v>
      </c>
      <c r="H89" s="4">
        <v>45891</v>
      </c>
      <c r="I89" s="4">
        <v>46072</v>
      </c>
      <c r="J89" s="5" t="s">
        <v>479</v>
      </c>
    </row>
    <row r="90" spans="1:10" x14ac:dyDescent="0.25">
      <c r="A90" s="3">
        <v>65459033</v>
      </c>
      <c r="B90" s="5" t="s">
        <v>639</v>
      </c>
      <c r="C90" s="5" t="s">
        <v>475</v>
      </c>
      <c r="D90" s="5" t="s">
        <v>476</v>
      </c>
      <c r="E90" s="5" t="s">
        <v>477</v>
      </c>
      <c r="F90" s="4">
        <v>46065</v>
      </c>
      <c r="G90" s="5" t="s">
        <v>640</v>
      </c>
      <c r="H90" s="4">
        <v>45898</v>
      </c>
      <c r="I90" s="4">
        <v>46076</v>
      </c>
      <c r="J90" s="5" t="s">
        <v>491</v>
      </c>
    </row>
    <row r="91" spans="1:10" x14ac:dyDescent="0.25">
      <c r="A91" s="3">
        <v>65459388</v>
      </c>
      <c r="B91" s="5" t="s">
        <v>641</v>
      </c>
      <c r="C91" s="5" t="s">
        <v>475</v>
      </c>
      <c r="D91" s="5" t="s">
        <v>476</v>
      </c>
      <c r="E91" s="5" t="s">
        <v>477</v>
      </c>
      <c r="F91" s="4">
        <v>46082</v>
      </c>
      <c r="G91" s="5" t="s">
        <v>642</v>
      </c>
      <c r="H91" s="4">
        <v>45898</v>
      </c>
      <c r="I91" s="4">
        <v>46073</v>
      </c>
      <c r="J91" s="5" t="s">
        <v>491</v>
      </c>
    </row>
    <row r="92" spans="1:10" x14ac:dyDescent="0.25">
      <c r="A92" s="3">
        <v>65471855</v>
      </c>
      <c r="B92" s="5" t="s">
        <v>643</v>
      </c>
      <c r="C92" s="5" t="s">
        <v>475</v>
      </c>
      <c r="D92" s="5" t="s">
        <v>476</v>
      </c>
      <c r="E92" s="5" t="s">
        <v>477</v>
      </c>
      <c r="F92" s="4">
        <v>46073</v>
      </c>
      <c r="G92" s="5" t="s">
        <v>644</v>
      </c>
      <c r="H92" s="4">
        <v>45911</v>
      </c>
      <c r="I92" s="4">
        <v>46076</v>
      </c>
      <c r="J92" s="5" t="s">
        <v>491</v>
      </c>
    </row>
    <row r="93" spans="1:10" x14ac:dyDescent="0.25">
      <c r="A93" s="3">
        <v>65490430</v>
      </c>
      <c r="B93" s="5" t="s">
        <v>645</v>
      </c>
      <c r="C93" s="5" t="s">
        <v>475</v>
      </c>
      <c r="D93" s="5" t="s">
        <v>476</v>
      </c>
      <c r="E93" s="5" t="s">
        <v>477</v>
      </c>
      <c r="F93" s="4">
        <v>46065</v>
      </c>
      <c r="G93" s="5" t="s">
        <v>646</v>
      </c>
      <c r="H93" s="4">
        <v>45929</v>
      </c>
      <c r="I93" s="4">
        <v>46075</v>
      </c>
      <c r="J93" s="5" t="s">
        <v>553</v>
      </c>
    </row>
    <row r="94" spans="1:10" x14ac:dyDescent="0.25">
      <c r="A94" s="3">
        <v>65498063</v>
      </c>
      <c r="B94" s="5" t="s">
        <v>647</v>
      </c>
      <c r="C94" s="5" t="s">
        <v>475</v>
      </c>
      <c r="D94" s="5" t="s">
        <v>476</v>
      </c>
      <c r="E94" s="5" t="s">
        <v>13</v>
      </c>
      <c r="F94" s="4">
        <v>46082</v>
      </c>
      <c r="G94" s="5" t="s">
        <v>648</v>
      </c>
      <c r="H94" s="4">
        <v>45945</v>
      </c>
      <c r="I94" s="4">
        <v>46052</v>
      </c>
      <c r="J94" s="5" t="s">
        <v>624</v>
      </c>
    </row>
    <row r="95" spans="1:10" x14ac:dyDescent="0.25">
      <c r="A95" s="3">
        <v>67789314</v>
      </c>
      <c r="B95" s="5" t="s">
        <v>118</v>
      </c>
      <c r="C95" s="5" t="s">
        <v>475</v>
      </c>
      <c r="D95" s="5" t="s">
        <v>476</v>
      </c>
      <c r="E95" s="5" t="s">
        <v>477</v>
      </c>
      <c r="F95" s="4">
        <v>43801</v>
      </c>
      <c r="G95" s="5" t="s">
        <v>649</v>
      </c>
      <c r="H95" s="4">
        <v>43453</v>
      </c>
      <c r="I95" s="4">
        <v>46072</v>
      </c>
      <c r="J95" s="5" t="s">
        <v>522</v>
      </c>
    </row>
    <row r="96" spans="1:10" x14ac:dyDescent="0.25">
      <c r="A96" s="3">
        <v>67794169</v>
      </c>
      <c r="B96" s="5" t="s">
        <v>123</v>
      </c>
      <c r="C96" s="5" t="s">
        <v>475</v>
      </c>
      <c r="D96" s="5" t="s">
        <v>476</v>
      </c>
      <c r="E96" s="5" t="s">
        <v>477</v>
      </c>
      <c r="F96" s="4">
        <v>43814</v>
      </c>
      <c r="G96" s="5" t="s">
        <v>650</v>
      </c>
      <c r="H96" s="4">
        <v>43458</v>
      </c>
      <c r="I96" s="4">
        <v>46062</v>
      </c>
      <c r="J96" s="5" t="s">
        <v>651</v>
      </c>
    </row>
    <row r="97" spans="1:10" x14ac:dyDescent="0.25">
      <c r="A97" s="3">
        <v>67825198</v>
      </c>
      <c r="B97" s="5" t="s">
        <v>652</v>
      </c>
      <c r="C97" s="5" t="s">
        <v>475</v>
      </c>
      <c r="D97" s="5" t="s">
        <v>476</v>
      </c>
      <c r="E97" s="5" t="s">
        <v>477</v>
      </c>
      <c r="F97" s="4">
        <v>43876</v>
      </c>
      <c r="G97" s="5" t="s">
        <v>653</v>
      </c>
      <c r="H97" s="4">
        <v>43496</v>
      </c>
      <c r="I97" s="4">
        <v>46023</v>
      </c>
      <c r="J97" s="5" t="s">
        <v>488</v>
      </c>
    </row>
    <row r="98" spans="1:10" x14ac:dyDescent="0.25">
      <c r="A98" s="3">
        <v>67826412</v>
      </c>
      <c r="B98" s="5" t="s">
        <v>83</v>
      </c>
      <c r="C98" s="5" t="s">
        <v>475</v>
      </c>
      <c r="D98" s="5" t="s">
        <v>476</v>
      </c>
      <c r="E98" s="5" t="s">
        <v>477</v>
      </c>
      <c r="F98" s="4">
        <v>43800</v>
      </c>
      <c r="G98" s="5" t="s">
        <v>654</v>
      </c>
      <c r="H98" s="4">
        <v>43500</v>
      </c>
      <c r="I98" s="4">
        <v>46030</v>
      </c>
      <c r="J98" s="5" t="s">
        <v>491</v>
      </c>
    </row>
    <row r="99" spans="1:10" x14ac:dyDescent="0.25">
      <c r="A99" s="3">
        <v>67881628</v>
      </c>
      <c r="B99" s="5" t="s">
        <v>124</v>
      </c>
      <c r="C99" s="5" t="s">
        <v>475</v>
      </c>
      <c r="D99" s="5" t="s">
        <v>476</v>
      </c>
      <c r="E99" s="5" t="s">
        <v>477</v>
      </c>
      <c r="F99" s="4">
        <v>43862</v>
      </c>
      <c r="G99" s="5" t="s">
        <v>655</v>
      </c>
      <c r="H99" s="4">
        <v>43552</v>
      </c>
      <c r="I99" s="4">
        <v>46061</v>
      </c>
      <c r="J99" s="5" t="s">
        <v>479</v>
      </c>
    </row>
    <row r="100" spans="1:10" x14ac:dyDescent="0.25">
      <c r="A100" s="3">
        <v>67881629</v>
      </c>
      <c r="B100" s="5" t="s">
        <v>113</v>
      </c>
      <c r="C100" s="5" t="s">
        <v>475</v>
      </c>
      <c r="D100" s="5" t="s">
        <v>476</v>
      </c>
      <c r="E100" s="5" t="s">
        <v>477</v>
      </c>
      <c r="F100" s="4">
        <v>43874</v>
      </c>
      <c r="G100" s="5" t="s">
        <v>656</v>
      </c>
      <c r="H100" s="4">
        <v>43552</v>
      </c>
      <c r="I100" s="4">
        <v>46023</v>
      </c>
      <c r="J100" s="5" t="s">
        <v>488</v>
      </c>
    </row>
    <row r="101" spans="1:10" x14ac:dyDescent="0.25">
      <c r="A101" s="3">
        <v>67916890</v>
      </c>
      <c r="B101" s="5" t="s">
        <v>657</v>
      </c>
      <c r="C101" s="5" t="s">
        <v>475</v>
      </c>
      <c r="D101" s="5" t="s">
        <v>476</v>
      </c>
      <c r="E101" s="5" t="s">
        <v>531</v>
      </c>
      <c r="F101" s="4">
        <v>44013</v>
      </c>
      <c r="G101" s="5" t="s">
        <v>658</v>
      </c>
      <c r="H101" s="4">
        <v>43592</v>
      </c>
      <c r="I101" s="4">
        <v>46062</v>
      </c>
      <c r="J101" s="5" t="s">
        <v>659</v>
      </c>
    </row>
    <row r="102" spans="1:10" x14ac:dyDescent="0.25">
      <c r="A102" s="3">
        <v>68300738</v>
      </c>
      <c r="B102" s="5" t="s">
        <v>103</v>
      </c>
      <c r="C102" s="5" t="s">
        <v>475</v>
      </c>
      <c r="D102" s="5" t="s">
        <v>476</v>
      </c>
      <c r="E102" s="5" t="s">
        <v>477</v>
      </c>
      <c r="F102" s="4">
        <v>44603</v>
      </c>
      <c r="G102" s="5" t="s">
        <v>660</v>
      </c>
      <c r="H102" s="4">
        <v>43860</v>
      </c>
      <c r="I102" s="4">
        <v>46072</v>
      </c>
      <c r="J102" s="5" t="s">
        <v>553</v>
      </c>
    </row>
    <row r="103" spans="1:10" x14ac:dyDescent="0.25">
      <c r="A103" s="3">
        <v>68354578</v>
      </c>
      <c r="B103" s="5" t="s">
        <v>661</v>
      </c>
      <c r="C103" s="5" t="s">
        <v>475</v>
      </c>
      <c r="D103" s="5" t="s">
        <v>476</v>
      </c>
      <c r="E103" s="5" t="s">
        <v>477</v>
      </c>
      <c r="F103" s="4">
        <v>43994</v>
      </c>
      <c r="G103" s="5" t="s">
        <v>662</v>
      </c>
      <c r="H103" s="4">
        <v>43888</v>
      </c>
      <c r="I103" s="4">
        <v>46023</v>
      </c>
      <c r="J103" s="5" t="s">
        <v>488</v>
      </c>
    </row>
    <row r="104" spans="1:10" x14ac:dyDescent="0.25">
      <c r="A104" s="3">
        <v>68354586</v>
      </c>
      <c r="B104" s="5" t="s">
        <v>133</v>
      </c>
      <c r="C104" s="5" t="s">
        <v>475</v>
      </c>
      <c r="D104" s="5" t="s">
        <v>476</v>
      </c>
      <c r="E104" s="5" t="s">
        <v>477</v>
      </c>
      <c r="F104" s="4">
        <v>44197</v>
      </c>
      <c r="G104" s="5" t="s">
        <v>663</v>
      </c>
      <c r="H104" s="4">
        <v>43887</v>
      </c>
      <c r="I104" s="4">
        <v>46064</v>
      </c>
      <c r="J104" s="5" t="s">
        <v>479</v>
      </c>
    </row>
    <row r="105" spans="1:10" x14ac:dyDescent="0.25">
      <c r="A105" s="3">
        <v>68354588</v>
      </c>
      <c r="B105" s="5" t="s">
        <v>122</v>
      </c>
      <c r="C105" s="5" t="s">
        <v>475</v>
      </c>
      <c r="D105" s="5" t="s">
        <v>476</v>
      </c>
      <c r="E105" s="5" t="s">
        <v>477</v>
      </c>
      <c r="F105" s="4">
        <v>44197</v>
      </c>
      <c r="G105" s="5" t="s">
        <v>664</v>
      </c>
      <c r="H105" s="4">
        <v>43887</v>
      </c>
      <c r="I105" s="4">
        <v>46063</v>
      </c>
      <c r="J105" s="5" t="s">
        <v>522</v>
      </c>
    </row>
    <row r="106" spans="1:10" x14ac:dyDescent="0.25">
      <c r="A106" s="3">
        <v>68499787</v>
      </c>
      <c r="B106" s="5" t="s">
        <v>665</v>
      </c>
      <c r="C106" s="5" t="s">
        <v>475</v>
      </c>
      <c r="D106" s="5" t="s">
        <v>476</v>
      </c>
      <c r="E106" s="5" t="s">
        <v>477</v>
      </c>
      <c r="F106" s="4">
        <v>44235</v>
      </c>
      <c r="G106" s="5" t="s">
        <v>666</v>
      </c>
      <c r="H106" s="4">
        <v>44048</v>
      </c>
      <c r="I106" s="4">
        <v>46023</v>
      </c>
      <c r="J106" s="5" t="s">
        <v>488</v>
      </c>
    </row>
    <row r="107" spans="1:10" x14ac:dyDescent="0.25">
      <c r="A107" s="3">
        <v>68649095</v>
      </c>
      <c r="B107" s="5" t="s">
        <v>45</v>
      </c>
      <c r="C107" s="5" t="s">
        <v>475</v>
      </c>
      <c r="D107" s="5" t="s">
        <v>476</v>
      </c>
      <c r="E107" s="5" t="s">
        <v>477</v>
      </c>
      <c r="F107" s="4">
        <v>44552</v>
      </c>
      <c r="G107" s="5" t="s">
        <v>667</v>
      </c>
      <c r="H107" s="4">
        <v>44235</v>
      </c>
      <c r="I107" s="4">
        <v>46023</v>
      </c>
      <c r="J107" s="5" t="s">
        <v>488</v>
      </c>
    </row>
    <row r="108" spans="1:10" x14ac:dyDescent="0.25">
      <c r="A108" s="3">
        <v>68654238</v>
      </c>
      <c r="B108" s="5" t="s">
        <v>668</v>
      </c>
      <c r="C108" s="5" t="s">
        <v>475</v>
      </c>
      <c r="D108" s="5" t="s">
        <v>476</v>
      </c>
      <c r="E108" s="5" t="s">
        <v>477</v>
      </c>
      <c r="F108" s="4">
        <v>44552</v>
      </c>
      <c r="G108" s="5" t="s">
        <v>669</v>
      </c>
      <c r="H108" s="4">
        <v>44241</v>
      </c>
      <c r="I108" s="4">
        <v>46070</v>
      </c>
      <c r="J108" s="5" t="s">
        <v>479</v>
      </c>
    </row>
    <row r="109" spans="1:10" x14ac:dyDescent="0.25">
      <c r="A109" s="3">
        <v>68689251</v>
      </c>
      <c r="B109" s="5" t="s">
        <v>14</v>
      </c>
      <c r="C109" s="5" t="s">
        <v>475</v>
      </c>
      <c r="D109" s="5" t="s">
        <v>476</v>
      </c>
      <c r="E109" s="5" t="s">
        <v>477</v>
      </c>
      <c r="F109" s="4">
        <v>44508</v>
      </c>
      <c r="G109" s="5" t="s">
        <v>670</v>
      </c>
      <c r="H109" s="4">
        <v>44292</v>
      </c>
      <c r="I109" s="4">
        <v>46072</v>
      </c>
      <c r="J109" s="5" t="s">
        <v>553</v>
      </c>
    </row>
    <row r="110" spans="1:10" x14ac:dyDescent="0.25">
      <c r="A110" s="3">
        <v>68709233</v>
      </c>
      <c r="B110" s="5" t="s">
        <v>671</v>
      </c>
      <c r="C110" s="5" t="s">
        <v>475</v>
      </c>
      <c r="D110" s="5" t="s">
        <v>476</v>
      </c>
      <c r="E110" s="5" t="s">
        <v>477</v>
      </c>
      <c r="F110" s="4">
        <v>44575</v>
      </c>
      <c r="G110" s="5" t="s">
        <v>672</v>
      </c>
      <c r="H110" s="4">
        <v>44318</v>
      </c>
      <c r="I110" s="4">
        <v>46072</v>
      </c>
      <c r="J110" s="5" t="s">
        <v>553</v>
      </c>
    </row>
    <row r="111" spans="1:10" x14ac:dyDescent="0.25">
      <c r="A111" s="3">
        <v>68709237</v>
      </c>
      <c r="B111" s="5" t="s">
        <v>673</v>
      </c>
      <c r="C111" s="5" t="s">
        <v>475</v>
      </c>
      <c r="D111" s="5" t="s">
        <v>476</v>
      </c>
      <c r="E111" s="5" t="s">
        <v>477</v>
      </c>
      <c r="F111" s="4">
        <v>44578</v>
      </c>
      <c r="G111" s="5" t="s">
        <v>674</v>
      </c>
      <c r="H111" s="4">
        <v>44318</v>
      </c>
      <c r="I111" s="4">
        <v>46072</v>
      </c>
      <c r="J111" s="5" t="s">
        <v>553</v>
      </c>
    </row>
    <row r="112" spans="1:10" x14ac:dyDescent="0.25">
      <c r="A112" s="3">
        <v>68710285</v>
      </c>
      <c r="B112" s="5" t="s">
        <v>136</v>
      </c>
      <c r="C112" s="5" t="s">
        <v>475</v>
      </c>
      <c r="D112" s="5" t="s">
        <v>476</v>
      </c>
      <c r="E112" s="5" t="s">
        <v>477</v>
      </c>
      <c r="F112" s="4">
        <v>44606</v>
      </c>
      <c r="G112" s="5" t="s">
        <v>675</v>
      </c>
      <c r="H112" s="4">
        <v>44318</v>
      </c>
      <c r="I112" s="4">
        <v>46072</v>
      </c>
      <c r="J112" s="5" t="s">
        <v>553</v>
      </c>
    </row>
    <row r="113" spans="1:10" x14ac:dyDescent="0.25">
      <c r="A113" s="3">
        <v>68737750</v>
      </c>
      <c r="B113" s="5" t="s">
        <v>34</v>
      </c>
      <c r="C113" s="5" t="s">
        <v>475</v>
      </c>
      <c r="D113" s="5" t="s">
        <v>476</v>
      </c>
      <c r="E113" s="5" t="s">
        <v>477</v>
      </c>
      <c r="F113" s="4">
        <v>44851</v>
      </c>
      <c r="G113" s="5" t="s">
        <v>676</v>
      </c>
      <c r="H113" s="4">
        <v>44361</v>
      </c>
      <c r="I113" s="4">
        <v>46034</v>
      </c>
      <c r="J113" s="5" t="s">
        <v>677</v>
      </c>
    </row>
    <row r="114" spans="1:10" x14ac:dyDescent="0.25">
      <c r="A114" s="3">
        <v>68741714</v>
      </c>
      <c r="B114" s="5" t="s">
        <v>47</v>
      </c>
      <c r="C114" s="5" t="s">
        <v>475</v>
      </c>
      <c r="D114" s="5" t="s">
        <v>476</v>
      </c>
      <c r="E114" s="5" t="s">
        <v>477</v>
      </c>
      <c r="F114" s="4">
        <v>44582</v>
      </c>
      <c r="G114" s="5" t="s">
        <v>678</v>
      </c>
      <c r="H114" s="4">
        <v>44363</v>
      </c>
      <c r="I114" s="4">
        <v>46055</v>
      </c>
      <c r="J114" s="5" t="s">
        <v>517</v>
      </c>
    </row>
    <row r="115" spans="1:10" x14ac:dyDescent="0.25">
      <c r="A115" s="3">
        <v>68741742</v>
      </c>
      <c r="B115" s="5" t="s">
        <v>40</v>
      </c>
      <c r="C115" s="5" t="s">
        <v>679</v>
      </c>
      <c r="D115" s="5" t="s">
        <v>476</v>
      </c>
      <c r="E115" s="5" t="s">
        <v>477</v>
      </c>
      <c r="F115" s="4">
        <v>44563</v>
      </c>
      <c r="G115" s="5" t="s">
        <v>680</v>
      </c>
      <c r="H115" s="4">
        <v>44363</v>
      </c>
      <c r="I115" s="4">
        <v>46075</v>
      </c>
      <c r="J115" s="5" t="s">
        <v>553</v>
      </c>
    </row>
    <row r="116" spans="1:10" x14ac:dyDescent="0.25">
      <c r="A116" s="3">
        <v>68746232</v>
      </c>
      <c r="B116" s="5" t="s">
        <v>51</v>
      </c>
      <c r="C116" s="5" t="s">
        <v>475</v>
      </c>
      <c r="D116" s="5" t="s">
        <v>476</v>
      </c>
      <c r="E116" s="5" t="s">
        <v>477</v>
      </c>
      <c r="F116" s="4">
        <v>44929</v>
      </c>
      <c r="G116" s="5" t="s">
        <v>681</v>
      </c>
      <c r="H116" s="4">
        <v>44368</v>
      </c>
      <c r="I116" s="4">
        <v>46072</v>
      </c>
      <c r="J116" s="5" t="s">
        <v>553</v>
      </c>
    </row>
    <row r="117" spans="1:10" x14ac:dyDescent="0.25">
      <c r="A117" s="3">
        <v>68769685</v>
      </c>
      <c r="B117" s="5" t="s">
        <v>682</v>
      </c>
      <c r="C117" s="5" t="s">
        <v>475</v>
      </c>
      <c r="D117" s="5" t="s">
        <v>476</v>
      </c>
      <c r="E117" s="5" t="s">
        <v>477</v>
      </c>
      <c r="F117" s="4">
        <v>44929</v>
      </c>
      <c r="G117" s="5" t="s">
        <v>683</v>
      </c>
      <c r="H117" s="4">
        <v>44441</v>
      </c>
      <c r="I117" s="4">
        <v>46028</v>
      </c>
      <c r="J117" s="5" t="s">
        <v>684</v>
      </c>
    </row>
    <row r="118" spans="1:10" x14ac:dyDescent="0.25">
      <c r="A118" s="3">
        <v>68775642</v>
      </c>
      <c r="B118" s="5" t="s">
        <v>685</v>
      </c>
      <c r="C118" s="5" t="s">
        <v>475</v>
      </c>
      <c r="D118" s="5" t="s">
        <v>476</v>
      </c>
      <c r="E118" s="5" t="s">
        <v>477</v>
      </c>
      <c r="F118" s="4">
        <v>45148</v>
      </c>
      <c r="G118" s="5" t="s">
        <v>686</v>
      </c>
      <c r="H118" s="4">
        <v>44417</v>
      </c>
      <c r="I118" s="4">
        <v>46023</v>
      </c>
      <c r="J118" s="5" t="s">
        <v>488</v>
      </c>
    </row>
    <row r="119" spans="1:10" x14ac:dyDescent="0.25">
      <c r="A119" s="3">
        <v>68817793</v>
      </c>
      <c r="B119" s="5" t="s">
        <v>131</v>
      </c>
      <c r="C119" s="5" t="s">
        <v>475</v>
      </c>
      <c r="D119" s="5" t="s">
        <v>476</v>
      </c>
      <c r="E119" s="5" t="s">
        <v>477</v>
      </c>
      <c r="F119" s="4">
        <v>45075</v>
      </c>
      <c r="G119" s="5" t="s">
        <v>687</v>
      </c>
      <c r="H119" s="4">
        <v>44481</v>
      </c>
      <c r="I119" s="4">
        <v>46076</v>
      </c>
      <c r="J119" s="5" t="s">
        <v>519</v>
      </c>
    </row>
    <row r="120" spans="1:10" x14ac:dyDescent="0.25">
      <c r="A120" s="3">
        <v>68817796</v>
      </c>
      <c r="B120" s="5" t="s">
        <v>7</v>
      </c>
      <c r="C120" s="5" t="s">
        <v>475</v>
      </c>
      <c r="D120" s="5" t="s">
        <v>476</v>
      </c>
      <c r="E120" s="5" t="s">
        <v>477</v>
      </c>
      <c r="F120" s="4">
        <v>45156</v>
      </c>
      <c r="G120" s="5" t="s">
        <v>688</v>
      </c>
      <c r="H120" s="4">
        <v>44481</v>
      </c>
      <c r="I120" s="4">
        <v>46076</v>
      </c>
      <c r="J120" s="5" t="s">
        <v>519</v>
      </c>
    </row>
    <row r="121" spans="1:10" x14ac:dyDescent="0.25">
      <c r="A121" s="3">
        <v>68817797</v>
      </c>
      <c r="B121" s="5" t="s">
        <v>689</v>
      </c>
      <c r="C121" s="5" t="s">
        <v>475</v>
      </c>
      <c r="D121" s="5" t="s">
        <v>476</v>
      </c>
      <c r="E121" s="5" t="s">
        <v>477</v>
      </c>
      <c r="F121" s="4">
        <v>45159</v>
      </c>
      <c r="G121" s="5" t="s">
        <v>690</v>
      </c>
      <c r="H121" s="4">
        <v>44481</v>
      </c>
      <c r="I121" s="4">
        <v>46076</v>
      </c>
      <c r="J121" s="5" t="s">
        <v>519</v>
      </c>
    </row>
    <row r="122" spans="1:10" x14ac:dyDescent="0.25">
      <c r="A122" s="3">
        <v>68817799</v>
      </c>
      <c r="B122" s="5" t="s">
        <v>691</v>
      </c>
      <c r="C122" s="5" t="s">
        <v>475</v>
      </c>
      <c r="D122" s="5" t="s">
        <v>476</v>
      </c>
      <c r="E122" s="5" t="s">
        <v>477</v>
      </c>
      <c r="F122" s="4">
        <v>45134</v>
      </c>
      <c r="G122" s="5" t="s">
        <v>692</v>
      </c>
      <c r="H122" s="4">
        <v>44481</v>
      </c>
      <c r="I122" s="4">
        <v>46076</v>
      </c>
      <c r="J122" s="5" t="s">
        <v>519</v>
      </c>
    </row>
    <row r="123" spans="1:10" x14ac:dyDescent="0.25">
      <c r="A123" s="3">
        <v>68817800</v>
      </c>
      <c r="B123" s="5" t="s">
        <v>693</v>
      </c>
      <c r="C123" s="5" t="s">
        <v>475</v>
      </c>
      <c r="D123" s="5" t="s">
        <v>476</v>
      </c>
      <c r="E123" s="5" t="s">
        <v>477</v>
      </c>
      <c r="F123" s="4">
        <v>45250</v>
      </c>
      <c r="G123" s="5" t="s">
        <v>694</v>
      </c>
      <c r="H123" s="4">
        <v>44481</v>
      </c>
      <c r="I123" s="4">
        <v>46076</v>
      </c>
      <c r="J123" s="5" t="s">
        <v>519</v>
      </c>
    </row>
    <row r="124" spans="1:10" x14ac:dyDescent="0.25">
      <c r="A124" s="3">
        <v>68821728</v>
      </c>
      <c r="B124" s="5" t="s">
        <v>695</v>
      </c>
      <c r="C124" s="5" t="s">
        <v>475</v>
      </c>
      <c r="D124" s="5" t="s">
        <v>476</v>
      </c>
      <c r="E124" s="5" t="s">
        <v>477</v>
      </c>
      <c r="F124" s="4">
        <v>44929</v>
      </c>
      <c r="G124" s="5" t="s">
        <v>696</v>
      </c>
      <c r="H124" s="4">
        <v>44467</v>
      </c>
      <c r="I124" s="4">
        <v>46055</v>
      </c>
      <c r="J124" s="5" t="s">
        <v>517</v>
      </c>
    </row>
    <row r="125" spans="1:10" x14ac:dyDescent="0.25">
      <c r="A125" s="3">
        <v>68821734</v>
      </c>
      <c r="B125" s="5" t="s">
        <v>144</v>
      </c>
      <c r="C125" s="5" t="s">
        <v>475</v>
      </c>
      <c r="D125" s="5" t="s">
        <v>476</v>
      </c>
      <c r="E125" s="5" t="s">
        <v>477</v>
      </c>
      <c r="F125" s="4">
        <v>45151</v>
      </c>
      <c r="G125" s="5" t="s">
        <v>697</v>
      </c>
      <c r="H125" s="4">
        <v>44467</v>
      </c>
      <c r="I125" s="4">
        <v>46076</v>
      </c>
      <c r="J125" s="5" t="s">
        <v>519</v>
      </c>
    </row>
    <row r="126" spans="1:10" x14ac:dyDescent="0.25">
      <c r="A126" s="3">
        <v>68821735</v>
      </c>
      <c r="B126" s="5" t="s">
        <v>84</v>
      </c>
      <c r="C126" s="5" t="s">
        <v>475</v>
      </c>
      <c r="D126" s="5" t="s">
        <v>476</v>
      </c>
      <c r="E126" s="5" t="s">
        <v>477</v>
      </c>
      <c r="F126" s="4">
        <v>45159</v>
      </c>
      <c r="G126" s="5" t="s">
        <v>698</v>
      </c>
      <c r="H126" s="4">
        <v>44467</v>
      </c>
      <c r="I126" s="4">
        <v>46076</v>
      </c>
      <c r="J126" s="5" t="s">
        <v>519</v>
      </c>
    </row>
    <row r="127" spans="1:10" x14ac:dyDescent="0.25">
      <c r="A127" s="3">
        <v>68850683</v>
      </c>
      <c r="B127" s="5" t="s">
        <v>87</v>
      </c>
      <c r="C127" s="5" t="s">
        <v>475</v>
      </c>
      <c r="D127" s="5" t="s">
        <v>476</v>
      </c>
      <c r="E127" s="5" t="s">
        <v>477</v>
      </c>
      <c r="F127" s="4">
        <v>45049</v>
      </c>
      <c r="G127" s="5" t="s">
        <v>699</v>
      </c>
      <c r="H127" s="4">
        <v>44509</v>
      </c>
      <c r="I127" s="4">
        <v>46076</v>
      </c>
      <c r="J127" s="5" t="s">
        <v>519</v>
      </c>
    </row>
    <row r="128" spans="1:10" x14ac:dyDescent="0.25">
      <c r="A128" s="3">
        <v>68850684</v>
      </c>
      <c r="B128" s="5" t="s">
        <v>151</v>
      </c>
      <c r="C128" s="5" t="s">
        <v>475</v>
      </c>
      <c r="D128" s="5" t="s">
        <v>476</v>
      </c>
      <c r="E128" s="5" t="s">
        <v>477</v>
      </c>
      <c r="F128" s="4">
        <v>45108</v>
      </c>
      <c r="G128" s="5" t="s">
        <v>690</v>
      </c>
      <c r="H128" s="4">
        <v>44509</v>
      </c>
      <c r="I128" s="4">
        <v>46076</v>
      </c>
      <c r="J128" s="5" t="s">
        <v>519</v>
      </c>
    </row>
    <row r="129" spans="1:10" x14ac:dyDescent="0.25">
      <c r="A129" s="3">
        <v>68851104</v>
      </c>
      <c r="B129" s="5" t="s">
        <v>16</v>
      </c>
      <c r="C129" s="5" t="s">
        <v>475</v>
      </c>
      <c r="D129" s="5" t="s">
        <v>476</v>
      </c>
      <c r="E129" s="5" t="s">
        <v>477</v>
      </c>
      <c r="F129" s="4">
        <v>45108</v>
      </c>
      <c r="G129" s="5" t="s">
        <v>700</v>
      </c>
      <c r="H129" s="4">
        <v>44509</v>
      </c>
      <c r="I129" s="4">
        <v>46076</v>
      </c>
      <c r="J129" s="5" t="s">
        <v>519</v>
      </c>
    </row>
    <row r="130" spans="1:10" x14ac:dyDescent="0.25">
      <c r="A130" s="3">
        <v>68851105</v>
      </c>
      <c r="B130" s="5" t="s">
        <v>701</v>
      </c>
      <c r="C130" s="5" t="s">
        <v>475</v>
      </c>
      <c r="D130" s="5" t="s">
        <v>476</v>
      </c>
      <c r="E130" s="5" t="s">
        <v>477</v>
      </c>
      <c r="F130" s="4">
        <v>45078</v>
      </c>
      <c r="G130" s="5" t="s">
        <v>702</v>
      </c>
      <c r="H130" s="4">
        <v>44509</v>
      </c>
      <c r="I130" s="4">
        <v>46076</v>
      </c>
      <c r="J130" s="5" t="s">
        <v>519</v>
      </c>
    </row>
    <row r="131" spans="1:10" x14ac:dyDescent="0.25">
      <c r="A131" s="3">
        <v>68851106</v>
      </c>
      <c r="B131" s="5" t="s">
        <v>129</v>
      </c>
      <c r="C131" s="5" t="s">
        <v>475</v>
      </c>
      <c r="D131" s="5" t="s">
        <v>476</v>
      </c>
      <c r="E131" s="5" t="s">
        <v>477</v>
      </c>
      <c r="F131" s="4">
        <v>45134</v>
      </c>
      <c r="G131" s="5" t="s">
        <v>703</v>
      </c>
      <c r="H131" s="4">
        <v>44509</v>
      </c>
      <c r="I131" s="4">
        <v>46076</v>
      </c>
      <c r="J131" s="5" t="s">
        <v>519</v>
      </c>
    </row>
    <row r="132" spans="1:10" x14ac:dyDescent="0.25">
      <c r="A132" s="3">
        <v>68851107</v>
      </c>
      <c r="B132" s="5" t="s">
        <v>11</v>
      </c>
      <c r="C132" s="5" t="s">
        <v>475</v>
      </c>
      <c r="D132" s="5" t="s">
        <v>476</v>
      </c>
      <c r="E132" s="5" t="s">
        <v>477</v>
      </c>
      <c r="F132" s="4">
        <v>45108</v>
      </c>
      <c r="G132" s="5" t="s">
        <v>703</v>
      </c>
      <c r="H132" s="4">
        <v>44509</v>
      </c>
      <c r="I132" s="4">
        <v>46076</v>
      </c>
      <c r="J132" s="5" t="s">
        <v>519</v>
      </c>
    </row>
    <row r="133" spans="1:10" x14ac:dyDescent="0.25">
      <c r="A133" s="3">
        <v>68851108</v>
      </c>
      <c r="B133" s="5" t="s">
        <v>74</v>
      </c>
      <c r="C133" s="5" t="s">
        <v>475</v>
      </c>
      <c r="D133" s="5" t="s">
        <v>476</v>
      </c>
      <c r="E133" s="5" t="s">
        <v>477</v>
      </c>
      <c r="F133" s="4">
        <v>45134</v>
      </c>
      <c r="G133" s="5" t="s">
        <v>702</v>
      </c>
      <c r="H133" s="4">
        <v>44509</v>
      </c>
      <c r="I133" s="4">
        <v>46076</v>
      </c>
      <c r="J133" s="5" t="s">
        <v>519</v>
      </c>
    </row>
    <row r="134" spans="1:10" x14ac:dyDescent="0.25">
      <c r="A134" s="3">
        <v>68851109</v>
      </c>
      <c r="B134" s="5" t="s">
        <v>22</v>
      </c>
      <c r="C134" s="5" t="s">
        <v>475</v>
      </c>
      <c r="D134" s="5" t="s">
        <v>476</v>
      </c>
      <c r="E134" s="5" t="s">
        <v>477</v>
      </c>
      <c r="F134" s="4">
        <v>45215</v>
      </c>
      <c r="G134" s="5" t="s">
        <v>700</v>
      </c>
      <c r="H134" s="4">
        <v>44509</v>
      </c>
      <c r="I134" s="4">
        <v>46076</v>
      </c>
      <c r="J134" s="5" t="s">
        <v>519</v>
      </c>
    </row>
    <row r="135" spans="1:10" x14ac:dyDescent="0.25">
      <c r="A135" s="3">
        <v>68852583</v>
      </c>
      <c r="B135" s="5" t="s">
        <v>704</v>
      </c>
      <c r="C135" s="5" t="s">
        <v>475</v>
      </c>
      <c r="D135" s="5" t="s">
        <v>476</v>
      </c>
      <c r="E135" s="5" t="s">
        <v>477</v>
      </c>
      <c r="F135" s="4">
        <v>44753</v>
      </c>
      <c r="G135" s="5" t="s">
        <v>705</v>
      </c>
      <c r="H135" s="4">
        <v>44531</v>
      </c>
      <c r="I135" s="4">
        <v>46072</v>
      </c>
      <c r="J135" s="5" t="s">
        <v>553</v>
      </c>
    </row>
    <row r="136" spans="1:10" x14ac:dyDescent="0.25">
      <c r="A136" s="3">
        <v>68852591</v>
      </c>
      <c r="B136" s="5" t="s">
        <v>68</v>
      </c>
      <c r="C136" s="5" t="s">
        <v>475</v>
      </c>
      <c r="D136" s="5" t="s">
        <v>476</v>
      </c>
      <c r="E136" s="5" t="s">
        <v>477</v>
      </c>
      <c r="F136" s="4">
        <v>44694</v>
      </c>
      <c r="G136" s="5" t="s">
        <v>706</v>
      </c>
      <c r="H136" s="4">
        <v>44531</v>
      </c>
      <c r="I136" s="4">
        <v>46072</v>
      </c>
      <c r="J136" s="5" t="s">
        <v>553</v>
      </c>
    </row>
    <row r="137" spans="1:10" x14ac:dyDescent="0.25">
      <c r="A137" s="3">
        <v>68860061</v>
      </c>
      <c r="B137" s="5" t="s">
        <v>707</v>
      </c>
      <c r="C137" s="5" t="s">
        <v>475</v>
      </c>
      <c r="D137" s="5" t="s">
        <v>476</v>
      </c>
      <c r="E137" s="5" t="s">
        <v>477</v>
      </c>
      <c r="F137" s="4">
        <v>45649</v>
      </c>
      <c r="G137" s="5" t="s">
        <v>708</v>
      </c>
      <c r="H137" s="4">
        <v>44511</v>
      </c>
      <c r="I137" s="4">
        <v>46055</v>
      </c>
      <c r="J137" s="5" t="s">
        <v>517</v>
      </c>
    </row>
    <row r="138" spans="1:10" x14ac:dyDescent="0.25">
      <c r="A138" s="3">
        <v>68860585</v>
      </c>
      <c r="B138" s="5" t="s">
        <v>709</v>
      </c>
      <c r="C138" s="5" t="s">
        <v>475</v>
      </c>
      <c r="D138" s="5" t="s">
        <v>476</v>
      </c>
      <c r="E138" s="5" t="s">
        <v>477</v>
      </c>
      <c r="F138" s="4">
        <v>45719</v>
      </c>
      <c r="G138" s="5" t="s">
        <v>710</v>
      </c>
      <c r="H138" s="4">
        <v>44512</v>
      </c>
      <c r="I138" s="4">
        <v>46023</v>
      </c>
      <c r="J138" s="5" t="s">
        <v>488</v>
      </c>
    </row>
    <row r="139" spans="1:10" x14ac:dyDescent="0.25">
      <c r="A139" s="3">
        <v>68860657</v>
      </c>
      <c r="B139" s="5" t="s">
        <v>711</v>
      </c>
      <c r="C139" s="5" t="s">
        <v>475</v>
      </c>
      <c r="D139" s="5" t="s">
        <v>476</v>
      </c>
      <c r="E139" s="5" t="s">
        <v>477</v>
      </c>
      <c r="F139" s="4">
        <v>45646</v>
      </c>
      <c r="G139" s="5" t="s">
        <v>712</v>
      </c>
      <c r="H139" s="4">
        <v>44512</v>
      </c>
      <c r="I139" s="4">
        <v>46064</v>
      </c>
      <c r="J139" s="5" t="s">
        <v>479</v>
      </c>
    </row>
    <row r="140" spans="1:10" x14ac:dyDescent="0.25">
      <c r="A140" s="3">
        <v>68860659</v>
      </c>
      <c r="B140" s="5" t="s">
        <v>158</v>
      </c>
      <c r="C140" s="5" t="s">
        <v>475</v>
      </c>
      <c r="D140" s="5" t="s">
        <v>476</v>
      </c>
      <c r="E140" s="5" t="s">
        <v>477</v>
      </c>
      <c r="F140" s="4">
        <v>45645</v>
      </c>
      <c r="G140" s="5" t="s">
        <v>713</v>
      </c>
      <c r="H140" s="4">
        <v>44512</v>
      </c>
      <c r="I140" s="4">
        <v>46064</v>
      </c>
      <c r="J140" s="5" t="s">
        <v>479</v>
      </c>
    </row>
    <row r="141" spans="1:10" x14ac:dyDescent="0.25">
      <c r="A141" s="3">
        <v>68860662</v>
      </c>
      <c r="B141" s="5" t="s">
        <v>153</v>
      </c>
      <c r="C141" s="5" t="s">
        <v>475</v>
      </c>
      <c r="D141" s="5" t="s">
        <v>476</v>
      </c>
      <c r="E141" s="5" t="s">
        <v>477</v>
      </c>
      <c r="F141" s="4">
        <v>45742</v>
      </c>
      <c r="G141" s="5" t="s">
        <v>714</v>
      </c>
      <c r="H141" s="4">
        <v>44512</v>
      </c>
      <c r="I141" s="4">
        <v>46064</v>
      </c>
      <c r="J141" s="5" t="s">
        <v>479</v>
      </c>
    </row>
    <row r="142" spans="1:10" x14ac:dyDescent="0.25">
      <c r="A142" s="3">
        <v>68860663</v>
      </c>
      <c r="B142" s="5" t="s">
        <v>715</v>
      </c>
      <c r="C142" s="5" t="s">
        <v>475</v>
      </c>
      <c r="D142" s="5" t="s">
        <v>476</v>
      </c>
      <c r="E142" s="5" t="s">
        <v>477</v>
      </c>
      <c r="F142" s="4">
        <v>45762</v>
      </c>
      <c r="G142" s="5" t="s">
        <v>716</v>
      </c>
      <c r="H142" s="4">
        <v>44512</v>
      </c>
      <c r="I142" s="4">
        <v>46023</v>
      </c>
      <c r="J142" s="5" t="s">
        <v>488</v>
      </c>
    </row>
    <row r="143" spans="1:10" x14ac:dyDescent="0.25">
      <c r="A143" s="3">
        <v>68860671</v>
      </c>
      <c r="B143" s="5" t="s">
        <v>717</v>
      </c>
      <c r="C143" s="5" t="s">
        <v>475</v>
      </c>
      <c r="D143" s="5" t="s">
        <v>476</v>
      </c>
      <c r="E143" s="5" t="s">
        <v>477</v>
      </c>
      <c r="F143" s="4">
        <v>45889</v>
      </c>
      <c r="G143" s="5" t="s">
        <v>718</v>
      </c>
      <c r="H143" s="4">
        <v>44512</v>
      </c>
      <c r="I143" s="4">
        <v>46064</v>
      </c>
      <c r="J143" s="5" t="s">
        <v>479</v>
      </c>
    </row>
    <row r="144" spans="1:10" x14ac:dyDescent="0.25">
      <c r="A144" s="3">
        <v>68862399</v>
      </c>
      <c r="B144" s="5" t="s">
        <v>719</v>
      </c>
      <c r="C144" s="5" t="s">
        <v>475</v>
      </c>
      <c r="D144" s="5" t="s">
        <v>476</v>
      </c>
      <c r="E144" s="5" t="s">
        <v>477</v>
      </c>
      <c r="F144" s="4">
        <v>45646</v>
      </c>
      <c r="G144" s="5" t="s">
        <v>720</v>
      </c>
      <c r="H144" s="4">
        <v>44512</v>
      </c>
      <c r="I144" s="4">
        <v>46062</v>
      </c>
      <c r="J144" s="5" t="s">
        <v>651</v>
      </c>
    </row>
    <row r="145" spans="1:10" x14ac:dyDescent="0.25">
      <c r="A145" s="3">
        <v>68862402</v>
      </c>
      <c r="B145" s="5" t="s">
        <v>721</v>
      </c>
      <c r="C145" s="5" t="s">
        <v>475</v>
      </c>
      <c r="D145" s="5" t="s">
        <v>476</v>
      </c>
      <c r="E145" s="5" t="s">
        <v>477</v>
      </c>
      <c r="F145" s="4">
        <v>45713</v>
      </c>
      <c r="G145" s="5" t="s">
        <v>722</v>
      </c>
      <c r="H145" s="4">
        <v>44512</v>
      </c>
      <c r="I145" s="4">
        <v>46064</v>
      </c>
      <c r="J145" s="5" t="s">
        <v>479</v>
      </c>
    </row>
    <row r="146" spans="1:10" x14ac:dyDescent="0.25">
      <c r="A146" s="3">
        <v>68862511</v>
      </c>
      <c r="B146" s="5" t="s">
        <v>723</v>
      </c>
      <c r="C146" s="5" t="s">
        <v>475</v>
      </c>
      <c r="D146" s="5" t="s">
        <v>476</v>
      </c>
      <c r="E146" s="5" t="s">
        <v>477</v>
      </c>
      <c r="F146" s="4">
        <v>45744</v>
      </c>
      <c r="G146" s="5" t="s">
        <v>724</v>
      </c>
      <c r="H146" s="4">
        <v>44512</v>
      </c>
      <c r="I146" s="4">
        <v>46023</v>
      </c>
      <c r="J146" s="5" t="s">
        <v>488</v>
      </c>
    </row>
    <row r="147" spans="1:10" x14ac:dyDescent="0.25">
      <c r="A147" s="3">
        <v>68867744</v>
      </c>
      <c r="B147" s="5" t="s">
        <v>80</v>
      </c>
      <c r="C147" s="5" t="s">
        <v>475</v>
      </c>
      <c r="D147" s="5" t="s">
        <v>476</v>
      </c>
      <c r="E147" s="5" t="s">
        <v>477</v>
      </c>
      <c r="F147" s="4">
        <v>45698</v>
      </c>
      <c r="G147" s="5" t="s">
        <v>725</v>
      </c>
      <c r="H147" s="4">
        <v>44518</v>
      </c>
      <c r="I147" s="4">
        <v>46055</v>
      </c>
      <c r="J147" s="5" t="s">
        <v>517</v>
      </c>
    </row>
    <row r="148" spans="1:10" x14ac:dyDescent="0.25">
      <c r="A148" s="3">
        <v>68867755</v>
      </c>
      <c r="B148" s="5" t="s">
        <v>28</v>
      </c>
      <c r="C148" s="5" t="s">
        <v>475</v>
      </c>
      <c r="D148" s="5" t="s">
        <v>476</v>
      </c>
      <c r="E148" s="5" t="s">
        <v>477</v>
      </c>
      <c r="F148" s="4">
        <v>45670</v>
      </c>
      <c r="G148" s="5" t="s">
        <v>726</v>
      </c>
      <c r="H148" s="4">
        <v>44518</v>
      </c>
      <c r="I148" s="4">
        <v>46023</v>
      </c>
      <c r="J148" s="5" t="s">
        <v>488</v>
      </c>
    </row>
    <row r="149" spans="1:10" x14ac:dyDescent="0.25">
      <c r="A149" s="3">
        <v>68881265</v>
      </c>
      <c r="B149" s="5" t="s">
        <v>727</v>
      </c>
      <c r="C149" s="5" t="s">
        <v>475</v>
      </c>
      <c r="D149" s="5" t="s">
        <v>476</v>
      </c>
      <c r="E149" s="5" t="s">
        <v>477</v>
      </c>
      <c r="F149" s="4">
        <v>45061</v>
      </c>
      <c r="G149" s="5" t="s">
        <v>728</v>
      </c>
      <c r="H149" s="4">
        <v>44547</v>
      </c>
      <c r="I149" s="4">
        <v>46023</v>
      </c>
      <c r="J149" s="5" t="s">
        <v>488</v>
      </c>
    </row>
    <row r="150" spans="1:10" x14ac:dyDescent="0.25">
      <c r="A150" s="3">
        <v>68881270</v>
      </c>
      <c r="B150" s="5" t="s">
        <v>729</v>
      </c>
      <c r="C150" s="5" t="s">
        <v>475</v>
      </c>
      <c r="D150" s="5" t="s">
        <v>476</v>
      </c>
      <c r="E150" s="5" t="s">
        <v>477</v>
      </c>
      <c r="F150" s="4">
        <v>45037</v>
      </c>
      <c r="G150" s="5" t="s">
        <v>730</v>
      </c>
      <c r="H150" s="4">
        <v>44547</v>
      </c>
      <c r="I150" s="4">
        <v>46023</v>
      </c>
      <c r="J150" s="5" t="s">
        <v>488</v>
      </c>
    </row>
    <row r="151" spans="1:10" x14ac:dyDescent="0.25">
      <c r="A151" s="3">
        <v>68899825</v>
      </c>
      <c r="B151" s="5" t="s">
        <v>157</v>
      </c>
      <c r="C151" s="5" t="s">
        <v>475</v>
      </c>
      <c r="D151" s="5" t="s">
        <v>476</v>
      </c>
      <c r="E151" s="5" t="s">
        <v>477</v>
      </c>
      <c r="F151" s="4">
        <v>44832</v>
      </c>
      <c r="G151" s="5" t="s">
        <v>731</v>
      </c>
      <c r="H151" s="4">
        <v>44594</v>
      </c>
      <c r="I151" s="4">
        <v>46076</v>
      </c>
      <c r="J151" s="5" t="s">
        <v>519</v>
      </c>
    </row>
    <row r="152" spans="1:10" x14ac:dyDescent="0.25">
      <c r="A152" s="3">
        <v>68921994</v>
      </c>
      <c r="B152" s="5" t="s">
        <v>18</v>
      </c>
      <c r="C152" s="5" t="s">
        <v>475</v>
      </c>
      <c r="D152" s="5" t="s">
        <v>476</v>
      </c>
      <c r="E152" s="5" t="s">
        <v>477</v>
      </c>
      <c r="F152" s="4">
        <v>44984</v>
      </c>
      <c r="G152" s="5" t="s">
        <v>732</v>
      </c>
      <c r="H152" s="4">
        <v>44621</v>
      </c>
      <c r="I152" s="4">
        <v>46072</v>
      </c>
      <c r="J152" s="5" t="s">
        <v>553</v>
      </c>
    </row>
    <row r="153" spans="1:10" x14ac:dyDescent="0.25">
      <c r="A153" s="3">
        <v>68922108</v>
      </c>
      <c r="B153" s="5" t="s">
        <v>26</v>
      </c>
      <c r="C153" s="5" t="s">
        <v>475</v>
      </c>
      <c r="D153" s="5" t="s">
        <v>476</v>
      </c>
      <c r="E153" s="5" t="s">
        <v>477</v>
      </c>
      <c r="F153" s="4">
        <v>44678</v>
      </c>
      <c r="G153" s="5" t="s">
        <v>733</v>
      </c>
      <c r="H153" s="4">
        <v>44615</v>
      </c>
      <c r="I153" s="4">
        <v>46023</v>
      </c>
      <c r="J153" s="5" t="s">
        <v>488</v>
      </c>
    </row>
    <row r="154" spans="1:10" x14ac:dyDescent="0.25">
      <c r="A154" s="3">
        <v>69551489</v>
      </c>
      <c r="B154" s="5" t="s">
        <v>734</v>
      </c>
      <c r="C154" s="5" t="s">
        <v>475</v>
      </c>
      <c r="D154" s="5" t="s">
        <v>476</v>
      </c>
      <c r="E154" s="5" t="s">
        <v>477</v>
      </c>
      <c r="F154" s="4">
        <v>44929</v>
      </c>
      <c r="G154" s="5" t="s">
        <v>735</v>
      </c>
      <c r="H154" s="4">
        <v>44627</v>
      </c>
      <c r="I154" s="4">
        <v>46075</v>
      </c>
      <c r="J154" s="5" t="s">
        <v>553</v>
      </c>
    </row>
    <row r="155" spans="1:10" x14ac:dyDescent="0.25">
      <c r="A155" s="3">
        <v>69564623</v>
      </c>
      <c r="B155" s="5" t="s">
        <v>150</v>
      </c>
      <c r="C155" s="5" t="s">
        <v>475</v>
      </c>
      <c r="D155" s="5" t="s">
        <v>476</v>
      </c>
      <c r="E155" s="5" t="s">
        <v>477</v>
      </c>
      <c r="F155" s="4">
        <v>44929</v>
      </c>
      <c r="G155" s="5" t="s">
        <v>736</v>
      </c>
      <c r="H155" s="4">
        <v>44645</v>
      </c>
      <c r="I155" s="4">
        <v>46061</v>
      </c>
      <c r="J155" s="5" t="s">
        <v>479</v>
      </c>
    </row>
    <row r="156" spans="1:10" x14ac:dyDescent="0.25">
      <c r="A156" s="3">
        <v>69568828</v>
      </c>
      <c r="B156" s="5" t="s">
        <v>98</v>
      </c>
      <c r="C156" s="5" t="s">
        <v>475</v>
      </c>
      <c r="D156" s="5" t="s">
        <v>476</v>
      </c>
      <c r="E156" s="5" t="s">
        <v>477</v>
      </c>
      <c r="F156" s="4">
        <v>45039</v>
      </c>
      <c r="G156" s="5" t="s">
        <v>737</v>
      </c>
      <c r="H156" s="4">
        <v>44650</v>
      </c>
      <c r="I156" s="4">
        <v>46076</v>
      </c>
      <c r="J156" s="5" t="s">
        <v>519</v>
      </c>
    </row>
    <row r="157" spans="1:10" x14ac:dyDescent="0.25">
      <c r="A157" s="3">
        <v>69568964</v>
      </c>
      <c r="B157" s="5" t="s">
        <v>738</v>
      </c>
      <c r="C157" s="5" t="s">
        <v>475</v>
      </c>
      <c r="D157" s="5" t="s">
        <v>476</v>
      </c>
      <c r="E157" s="5" t="s">
        <v>477</v>
      </c>
      <c r="F157" s="4">
        <v>45009</v>
      </c>
      <c r="G157" s="5" t="s">
        <v>739</v>
      </c>
      <c r="H157" s="4">
        <v>44659</v>
      </c>
      <c r="I157" s="4">
        <v>46076</v>
      </c>
      <c r="J157" s="5" t="s">
        <v>519</v>
      </c>
    </row>
    <row r="158" spans="1:10" x14ac:dyDescent="0.25">
      <c r="A158" s="3">
        <v>69600846</v>
      </c>
      <c r="B158" s="5" t="s">
        <v>740</v>
      </c>
      <c r="C158" s="5" t="s">
        <v>475</v>
      </c>
      <c r="D158" s="5" t="s">
        <v>476</v>
      </c>
      <c r="E158" s="5" t="s">
        <v>477</v>
      </c>
      <c r="F158" s="4">
        <v>45037</v>
      </c>
      <c r="G158" s="5" t="s">
        <v>676</v>
      </c>
      <c r="H158" s="4">
        <v>44694</v>
      </c>
      <c r="I158" s="4">
        <v>46034</v>
      </c>
      <c r="J158" s="5" t="s">
        <v>677</v>
      </c>
    </row>
    <row r="159" spans="1:10" x14ac:dyDescent="0.25">
      <c r="A159" s="3">
        <v>69600859</v>
      </c>
      <c r="B159" s="5" t="s">
        <v>741</v>
      </c>
      <c r="C159" s="5" t="s">
        <v>475</v>
      </c>
      <c r="D159" s="5" t="s">
        <v>476</v>
      </c>
      <c r="E159" s="5" t="s">
        <v>477</v>
      </c>
      <c r="F159" s="4">
        <v>44993</v>
      </c>
      <c r="G159" s="5" t="s">
        <v>742</v>
      </c>
      <c r="H159" s="4">
        <v>44693</v>
      </c>
      <c r="I159" s="4">
        <v>46023</v>
      </c>
      <c r="J159" s="5" t="s">
        <v>488</v>
      </c>
    </row>
    <row r="160" spans="1:10" x14ac:dyDescent="0.25">
      <c r="A160" s="3">
        <v>69629468</v>
      </c>
      <c r="B160" s="5" t="s">
        <v>38</v>
      </c>
      <c r="C160" s="5" t="s">
        <v>475</v>
      </c>
      <c r="D160" s="5" t="s">
        <v>476</v>
      </c>
      <c r="E160" s="5" t="s">
        <v>477</v>
      </c>
      <c r="F160" s="4">
        <v>45159</v>
      </c>
      <c r="G160" s="5" t="s">
        <v>743</v>
      </c>
      <c r="H160" s="4">
        <v>44739</v>
      </c>
      <c r="I160" s="4">
        <v>46070</v>
      </c>
      <c r="J160" s="5" t="s">
        <v>519</v>
      </c>
    </row>
    <row r="161" spans="1:10" x14ac:dyDescent="0.25">
      <c r="A161" s="3">
        <v>69713154</v>
      </c>
      <c r="B161" s="5" t="s">
        <v>744</v>
      </c>
      <c r="C161" s="5" t="s">
        <v>475</v>
      </c>
      <c r="D161" s="5" t="s">
        <v>476</v>
      </c>
      <c r="E161" s="5" t="s">
        <v>477</v>
      </c>
      <c r="F161" s="4">
        <v>45153</v>
      </c>
      <c r="G161" s="5" t="s">
        <v>745</v>
      </c>
      <c r="H161" s="4">
        <v>44861</v>
      </c>
      <c r="I161" s="4">
        <v>46042</v>
      </c>
      <c r="J161" s="5" t="s">
        <v>491</v>
      </c>
    </row>
    <row r="162" spans="1:10" x14ac:dyDescent="0.25">
      <c r="A162" s="3">
        <v>69717801</v>
      </c>
      <c r="B162" s="5" t="s">
        <v>62</v>
      </c>
      <c r="C162" s="5" t="s">
        <v>475</v>
      </c>
      <c r="D162" s="5" t="s">
        <v>476</v>
      </c>
      <c r="E162" s="5" t="s">
        <v>477</v>
      </c>
      <c r="F162" s="4">
        <v>45016</v>
      </c>
      <c r="G162" s="5" t="s">
        <v>746</v>
      </c>
      <c r="H162" s="4">
        <v>44881</v>
      </c>
      <c r="I162" s="4">
        <v>46055</v>
      </c>
      <c r="J162" s="5" t="s">
        <v>517</v>
      </c>
    </row>
    <row r="163" spans="1:10" x14ac:dyDescent="0.25">
      <c r="A163" s="3">
        <v>69717802</v>
      </c>
      <c r="B163" s="5" t="s">
        <v>66</v>
      </c>
      <c r="C163" s="5" t="s">
        <v>475</v>
      </c>
      <c r="D163" s="5" t="s">
        <v>476</v>
      </c>
      <c r="E163" s="5" t="s">
        <v>477</v>
      </c>
      <c r="F163" s="4">
        <v>45023</v>
      </c>
      <c r="G163" s="5" t="s">
        <v>747</v>
      </c>
      <c r="H163" s="4">
        <v>44874</v>
      </c>
      <c r="I163" s="4">
        <v>46055</v>
      </c>
      <c r="J163" s="5" t="s">
        <v>517</v>
      </c>
    </row>
    <row r="164" spans="1:10" x14ac:dyDescent="0.25">
      <c r="A164" s="3">
        <v>69725082</v>
      </c>
      <c r="B164" s="5" t="s">
        <v>71</v>
      </c>
      <c r="C164" s="5" t="s">
        <v>475</v>
      </c>
      <c r="D164" s="5" t="s">
        <v>476</v>
      </c>
      <c r="E164" s="5" t="s">
        <v>477</v>
      </c>
      <c r="F164" s="4">
        <v>45222</v>
      </c>
      <c r="G164" s="5" t="s">
        <v>748</v>
      </c>
      <c r="H164" s="4">
        <v>44875</v>
      </c>
      <c r="I164" s="4">
        <v>46075</v>
      </c>
      <c r="J164" s="5" t="s">
        <v>553</v>
      </c>
    </row>
    <row r="165" spans="1:10" x14ac:dyDescent="0.25">
      <c r="A165" s="3">
        <v>69797288</v>
      </c>
      <c r="B165" s="5" t="s">
        <v>749</v>
      </c>
      <c r="C165" s="5" t="s">
        <v>475</v>
      </c>
      <c r="D165" s="5" t="s">
        <v>476</v>
      </c>
      <c r="E165" s="5" t="s">
        <v>477</v>
      </c>
      <c r="F165" s="4">
        <v>45292</v>
      </c>
      <c r="G165" s="5" t="s">
        <v>750</v>
      </c>
      <c r="H165" s="4">
        <v>44981</v>
      </c>
      <c r="I165" s="4">
        <v>46061</v>
      </c>
      <c r="J165" s="5" t="s">
        <v>479</v>
      </c>
    </row>
    <row r="166" spans="1:10" x14ac:dyDescent="0.25">
      <c r="A166" s="3">
        <v>69983234</v>
      </c>
      <c r="B166" s="5" t="s">
        <v>751</v>
      </c>
      <c r="C166" s="5" t="s">
        <v>475</v>
      </c>
      <c r="D166" s="5" t="s">
        <v>476</v>
      </c>
      <c r="E166" s="5" t="s">
        <v>477</v>
      </c>
      <c r="F166" s="4">
        <v>45698</v>
      </c>
      <c r="G166" s="5" t="s">
        <v>752</v>
      </c>
      <c r="H166" s="4">
        <v>45009</v>
      </c>
      <c r="I166" s="4">
        <v>46023</v>
      </c>
      <c r="J166" s="5" t="s">
        <v>488</v>
      </c>
    </row>
    <row r="167" spans="1:10" x14ac:dyDescent="0.25">
      <c r="A167" s="3">
        <v>69983248</v>
      </c>
      <c r="B167" s="5" t="s">
        <v>753</v>
      </c>
      <c r="C167" s="5" t="s">
        <v>475</v>
      </c>
      <c r="D167" s="5" t="s">
        <v>476</v>
      </c>
      <c r="E167" s="5" t="s">
        <v>477</v>
      </c>
      <c r="F167" s="4">
        <v>45916</v>
      </c>
      <c r="G167" s="5" t="s">
        <v>754</v>
      </c>
      <c r="H167" s="4">
        <v>45009</v>
      </c>
      <c r="I167" s="4">
        <v>46064</v>
      </c>
      <c r="J167" s="5" t="s">
        <v>479</v>
      </c>
    </row>
    <row r="168" spans="1:10" x14ac:dyDescent="0.25">
      <c r="A168" s="3">
        <v>69986506</v>
      </c>
      <c r="B168" s="5" t="s">
        <v>755</v>
      </c>
      <c r="C168" s="5" t="s">
        <v>475</v>
      </c>
      <c r="D168" s="5" t="s">
        <v>476</v>
      </c>
      <c r="E168" s="5" t="s">
        <v>477</v>
      </c>
      <c r="F168" s="4">
        <v>45275</v>
      </c>
      <c r="G168" s="5" t="s">
        <v>756</v>
      </c>
      <c r="H168" s="4">
        <v>45014</v>
      </c>
      <c r="I168" s="4">
        <v>46063</v>
      </c>
      <c r="J168" s="5" t="s">
        <v>522</v>
      </c>
    </row>
    <row r="169" spans="1:10" x14ac:dyDescent="0.25">
      <c r="A169" s="3">
        <v>69986507</v>
      </c>
      <c r="B169" s="5" t="s">
        <v>757</v>
      </c>
      <c r="C169" s="5" t="s">
        <v>475</v>
      </c>
      <c r="D169" s="5" t="s">
        <v>476</v>
      </c>
      <c r="E169" s="5" t="s">
        <v>477</v>
      </c>
      <c r="F169" s="4">
        <v>45175</v>
      </c>
      <c r="G169" s="5" t="s">
        <v>758</v>
      </c>
      <c r="H169" s="4">
        <v>45014</v>
      </c>
      <c r="I169" s="4">
        <v>46063</v>
      </c>
      <c r="J169" s="5" t="s">
        <v>522</v>
      </c>
    </row>
    <row r="170" spans="1:10" x14ac:dyDescent="0.25">
      <c r="A170" s="3">
        <v>69986508</v>
      </c>
      <c r="B170" s="5" t="s">
        <v>759</v>
      </c>
      <c r="C170" s="5" t="s">
        <v>475</v>
      </c>
      <c r="D170" s="5" t="s">
        <v>476</v>
      </c>
      <c r="E170" s="5" t="s">
        <v>477</v>
      </c>
      <c r="F170" s="4">
        <v>45196</v>
      </c>
      <c r="G170" s="5" t="s">
        <v>760</v>
      </c>
      <c r="H170" s="4">
        <v>45014</v>
      </c>
      <c r="I170" s="4">
        <v>46064</v>
      </c>
      <c r="J170" s="5" t="s">
        <v>479</v>
      </c>
    </row>
    <row r="171" spans="1:10" x14ac:dyDescent="0.25">
      <c r="A171" s="3">
        <v>69986511</v>
      </c>
      <c r="B171" s="5" t="s">
        <v>761</v>
      </c>
      <c r="C171" s="5" t="s">
        <v>475</v>
      </c>
      <c r="D171" s="5" t="s">
        <v>476</v>
      </c>
      <c r="E171" s="5" t="s">
        <v>477</v>
      </c>
      <c r="F171" s="4">
        <v>45250</v>
      </c>
      <c r="G171" s="5" t="s">
        <v>762</v>
      </c>
      <c r="H171" s="4">
        <v>45014</v>
      </c>
      <c r="I171" s="4">
        <v>46072</v>
      </c>
      <c r="J171" s="5" t="s">
        <v>522</v>
      </c>
    </row>
    <row r="172" spans="1:10" x14ac:dyDescent="0.25">
      <c r="A172" s="3">
        <v>69991960</v>
      </c>
      <c r="B172" s="5" t="s">
        <v>763</v>
      </c>
      <c r="C172" s="5" t="s">
        <v>475</v>
      </c>
      <c r="D172" s="5" t="s">
        <v>476</v>
      </c>
      <c r="E172" s="5" t="s">
        <v>477</v>
      </c>
      <c r="F172" s="4">
        <v>45526</v>
      </c>
      <c r="G172" s="5" t="s">
        <v>764</v>
      </c>
      <c r="H172" s="4">
        <v>45029</v>
      </c>
      <c r="I172" s="4">
        <v>46023</v>
      </c>
      <c r="J172" s="5" t="s">
        <v>488</v>
      </c>
    </row>
    <row r="173" spans="1:10" x14ac:dyDescent="0.25">
      <c r="A173" s="3">
        <v>69999267</v>
      </c>
      <c r="B173" s="5" t="s">
        <v>117</v>
      </c>
      <c r="C173" s="5" t="s">
        <v>475</v>
      </c>
      <c r="D173" s="5" t="s">
        <v>476</v>
      </c>
      <c r="E173" s="5" t="s">
        <v>477</v>
      </c>
      <c r="F173" s="4">
        <v>45376</v>
      </c>
      <c r="G173" s="5" t="s">
        <v>765</v>
      </c>
      <c r="H173" s="4">
        <v>45036</v>
      </c>
      <c r="I173" s="4">
        <v>46055</v>
      </c>
      <c r="J173" s="5" t="s">
        <v>517</v>
      </c>
    </row>
    <row r="174" spans="1:10" x14ac:dyDescent="0.25">
      <c r="A174" s="3">
        <v>69999269</v>
      </c>
      <c r="B174" s="5" t="s">
        <v>82</v>
      </c>
      <c r="C174" s="5" t="s">
        <v>475</v>
      </c>
      <c r="D174" s="5" t="s">
        <v>476</v>
      </c>
      <c r="E174" s="5" t="s">
        <v>477</v>
      </c>
      <c r="F174" s="4">
        <v>45376</v>
      </c>
      <c r="G174" s="5" t="s">
        <v>766</v>
      </c>
      <c r="H174" s="4">
        <v>45036</v>
      </c>
      <c r="I174" s="4">
        <v>46035</v>
      </c>
      <c r="J174" s="5" t="s">
        <v>767</v>
      </c>
    </row>
    <row r="175" spans="1:10" x14ac:dyDescent="0.25">
      <c r="A175" s="3">
        <v>84135718</v>
      </c>
      <c r="B175" s="5" t="s">
        <v>114</v>
      </c>
      <c r="C175" s="5" t="s">
        <v>475</v>
      </c>
      <c r="D175" s="5" t="s">
        <v>476</v>
      </c>
      <c r="E175" s="5" t="s">
        <v>477</v>
      </c>
      <c r="F175" s="4">
        <v>41758</v>
      </c>
      <c r="G175" s="5" t="s">
        <v>768</v>
      </c>
      <c r="H175" s="4">
        <v>41388</v>
      </c>
      <c r="I175" s="4">
        <v>46062</v>
      </c>
      <c r="J175" s="5" t="s">
        <v>659</v>
      </c>
    </row>
    <row r="176" spans="1:10" x14ac:dyDescent="0.25">
      <c r="A176" s="3">
        <v>84135770</v>
      </c>
      <c r="B176" s="5" t="s">
        <v>769</v>
      </c>
      <c r="C176" s="5" t="s">
        <v>475</v>
      </c>
      <c r="D176" s="5" t="s">
        <v>476</v>
      </c>
      <c r="E176" s="5" t="s">
        <v>477</v>
      </c>
      <c r="F176" s="4">
        <v>41749</v>
      </c>
      <c r="G176" s="5" t="s">
        <v>770</v>
      </c>
      <c r="H176" s="4">
        <v>41388</v>
      </c>
      <c r="I176" s="4">
        <v>46055</v>
      </c>
      <c r="J176" s="5" t="s">
        <v>517</v>
      </c>
    </row>
    <row r="177" spans="1:10" x14ac:dyDescent="0.25">
      <c r="A177" s="3">
        <v>84135781</v>
      </c>
      <c r="B177" s="5" t="s">
        <v>57</v>
      </c>
      <c r="C177" s="5" t="s">
        <v>475</v>
      </c>
      <c r="D177" s="5" t="s">
        <v>476</v>
      </c>
      <c r="E177" s="5" t="s">
        <v>477</v>
      </c>
      <c r="F177" s="4">
        <v>41739</v>
      </c>
      <c r="G177" s="5" t="s">
        <v>771</v>
      </c>
      <c r="H177" s="4">
        <v>41388</v>
      </c>
      <c r="I177" s="4">
        <v>46055</v>
      </c>
      <c r="J177" s="5" t="s">
        <v>517</v>
      </c>
    </row>
    <row r="178" spans="1:10" x14ac:dyDescent="0.25">
      <c r="A178" s="3">
        <v>84135794</v>
      </c>
      <c r="B178" s="5" t="s">
        <v>772</v>
      </c>
      <c r="C178" s="5" t="s">
        <v>475</v>
      </c>
      <c r="D178" s="5" t="s">
        <v>476</v>
      </c>
      <c r="E178" s="5" t="s">
        <v>477</v>
      </c>
      <c r="F178" s="4">
        <v>41774</v>
      </c>
      <c r="G178" s="5" t="s">
        <v>773</v>
      </c>
      <c r="H178" s="4">
        <v>41388</v>
      </c>
      <c r="I178" s="4">
        <v>46023</v>
      </c>
      <c r="J178" s="5" t="s">
        <v>488</v>
      </c>
    </row>
    <row r="179" spans="1:10" x14ac:dyDescent="0.25">
      <c r="A179" s="3">
        <v>84135799</v>
      </c>
      <c r="B179" s="5" t="s">
        <v>774</v>
      </c>
      <c r="C179" s="5" t="s">
        <v>475</v>
      </c>
      <c r="D179" s="5" t="s">
        <v>476</v>
      </c>
      <c r="E179" s="5" t="s">
        <v>477</v>
      </c>
      <c r="F179" s="4">
        <v>41774</v>
      </c>
      <c r="G179" s="5" t="s">
        <v>775</v>
      </c>
      <c r="H179" s="4">
        <v>41388</v>
      </c>
      <c r="I179" s="4">
        <v>46064</v>
      </c>
      <c r="J179" s="5" t="s">
        <v>479</v>
      </c>
    </row>
    <row r="180" spans="1:10" x14ac:dyDescent="0.25">
      <c r="A180" s="3">
        <v>84136043</v>
      </c>
      <c r="B180" s="5" t="s">
        <v>776</v>
      </c>
      <c r="C180" s="5" t="s">
        <v>475</v>
      </c>
      <c r="D180" s="5" t="s">
        <v>476</v>
      </c>
      <c r="E180" s="5" t="s">
        <v>477</v>
      </c>
      <c r="F180" s="4">
        <v>41661</v>
      </c>
      <c r="G180" s="5" t="s">
        <v>777</v>
      </c>
      <c r="H180" s="4">
        <v>41396</v>
      </c>
      <c r="I180" s="4">
        <v>46061</v>
      </c>
      <c r="J180" s="5" t="s">
        <v>479</v>
      </c>
    </row>
    <row r="181" spans="1:10" x14ac:dyDescent="0.25">
      <c r="A181" s="3">
        <v>84136704</v>
      </c>
      <c r="B181" s="5" t="s">
        <v>778</v>
      </c>
      <c r="C181" s="5" t="s">
        <v>475</v>
      </c>
      <c r="D181" s="5" t="s">
        <v>476</v>
      </c>
      <c r="E181" s="5" t="s">
        <v>477</v>
      </c>
      <c r="F181" s="4">
        <v>41762</v>
      </c>
      <c r="G181" s="5" t="s">
        <v>779</v>
      </c>
      <c r="H181" s="4">
        <v>41424</v>
      </c>
      <c r="I181" s="4">
        <v>46055</v>
      </c>
      <c r="J181" s="5" t="s">
        <v>517</v>
      </c>
    </row>
    <row r="182" spans="1:10" x14ac:dyDescent="0.25">
      <c r="A182" s="3">
        <v>84137694</v>
      </c>
      <c r="B182" s="5" t="s">
        <v>780</v>
      </c>
      <c r="C182" s="5" t="s">
        <v>475</v>
      </c>
      <c r="D182" s="5" t="s">
        <v>476</v>
      </c>
      <c r="E182" s="5" t="s">
        <v>477</v>
      </c>
      <c r="F182" s="4">
        <v>41771</v>
      </c>
      <c r="G182" s="5" t="s">
        <v>781</v>
      </c>
      <c r="H182" s="4">
        <v>41480</v>
      </c>
      <c r="I182" s="4">
        <v>46055</v>
      </c>
      <c r="J182" s="5" t="s">
        <v>517</v>
      </c>
    </row>
    <row r="183" spans="1:10" x14ac:dyDescent="0.25">
      <c r="A183" s="3">
        <v>84137725</v>
      </c>
      <c r="B183" s="5" t="s">
        <v>30</v>
      </c>
      <c r="C183" s="5" t="s">
        <v>475</v>
      </c>
      <c r="D183" s="5" t="s">
        <v>476</v>
      </c>
      <c r="E183" s="5" t="s">
        <v>477</v>
      </c>
      <c r="F183" s="4">
        <v>41739</v>
      </c>
      <c r="G183" s="5" t="s">
        <v>782</v>
      </c>
      <c r="H183" s="4">
        <v>41480</v>
      </c>
      <c r="I183" s="4">
        <v>46055</v>
      </c>
      <c r="J183" s="5" t="s">
        <v>517</v>
      </c>
    </row>
    <row r="184" spans="1:10" x14ac:dyDescent="0.25">
      <c r="A184" s="3">
        <v>84138391</v>
      </c>
      <c r="B184" s="5" t="s">
        <v>108</v>
      </c>
      <c r="C184" s="5" t="s">
        <v>475</v>
      </c>
      <c r="D184" s="5" t="s">
        <v>476</v>
      </c>
      <c r="E184" s="5" t="s">
        <v>477</v>
      </c>
      <c r="F184" s="4">
        <v>41761</v>
      </c>
      <c r="G184" s="5" t="s">
        <v>783</v>
      </c>
      <c r="H184" s="4">
        <v>41508</v>
      </c>
      <c r="I184" s="4">
        <v>46055</v>
      </c>
      <c r="J184" s="5" t="s">
        <v>517</v>
      </c>
    </row>
    <row r="185" spans="1:10" x14ac:dyDescent="0.25">
      <c r="A185" s="3">
        <v>84139000</v>
      </c>
      <c r="B185" s="5" t="s">
        <v>152</v>
      </c>
      <c r="C185" s="5" t="s">
        <v>475</v>
      </c>
      <c r="D185" s="5" t="s">
        <v>476</v>
      </c>
      <c r="E185" s="5" t="s">
        <v>477</v>
      </c>
      <c r="F185" s="4">
        <v>41676</v>
      </c>
      <c r="G185" s="5" t="s">
        <v>784</v>
      </c>
      <c r="H185" s="4">
        <v>41527</v>
      </c>
      <c r="I185" s="4">
        <v>46023</v>
      </c>
      <c r="J185" s="5" t="s">
        <v>488</v>
      </c>
    </row>
    <row r="186" spans="1:10" x14ac:dyDescent="0.25">
      <c r="A186" s="3">
        <v>84139090</v>
      </c>
      <c r="B186" s="5" t="s">
        <v>785</v>
      </c>
      <c r="C186" s="5" t="s">
        <v>475</v>
      </c>
      <c r="D186" s="5" t="s">
        <v>476</v>
      </c>
      <c r="E186" s="5" t="s">
        <v>477</v>
      </c>
      <c r="F186" s="4">
        <v>41919</v>
      </c>
      <c r="G186" s="5" t="s">
        <v>786</v>
      </c>
      <c r="H186" s="4">
        <v>41533</v>
      </c>
      <c r="I186" s="4">
        <v>46064</v>
      </c>
      <c r="J186" s="5" t="s">
        <v>479</v>
      </c>
    </row>
    <row r="187" spans="1:10" x14ac:dyDescent="0.25">
      <c r="A187" s="3">
        <v>84139971</v>
      </c>
      <c r="B187" s="5" t="s">
        <v>162</v>
      </c>
      <c r="C187" s="5" t="s">
        <v>475</v>
      </c>
      <c r="D187" s="5" t="s">
        <v>476</v>
      </c>
      <c r="E187" s="5" t="s">
        <v>477</v>
      </c>
      <c r="F187" s="4">
        <v>41774</v>
      </c>
      <c r="G187" s="5" t="s">
        <v>787</v>
      </c>
      <c r="H187" s="4">
        <v>41556</v>
      </c>
      <c r="I187" s="4">
        <v>46023</v>
      </c>
      <c r="J187" s="5" t="s">
        <v>488</v>
      </c>
    </row>
    <row r="188" spans="1:10" x14ac:dyDescent="0.25">
      <c r="A188" s="3">
        <v>84141037</v>
      </c>
      <c r="B188" s="5" t="s">
        <v>788</v>
      </c>
      <c r="C188" s="5" t="s">
        <v>475</v>
      </c>
      <c r="D188" s="5" t="s">
        <v>476</v>
      </c>
      <c r="E188" s="5" t="s">
        <v>477</v>
      </c>
      <c r="F188" s="4">
        <v>41804</v>
      </c>
      <c r="G188" s="5" t="s">
        <v>789</v>
      </c>
      <c r="H188" s="4">
        <v>41596</v>
      </c>
      <c r="I188" s="4">
        <v>46064</v>
      </c>
      <c r="J188" s="5" t="s">
        <v>479</v>
      </c>
    </row>
    <row r="189" spans="1:10" x14ac:dyDescent="0.25">
      <c r="A189" s="3">
        <v>84141094</v>
      </c>
      <c r="B189" s="5" t="s">
        <v>141</v>
      </c>
      <c r="C189" s="5" t="s">
        <v>475</v>
      </c>
      <c r="D189" s="5" t="s">
        <v>476</v>
      </c>
      <c r="E189" s="5" t="s">
        <v>477</v>
      </c>
      <c r="F189" s="4">
        <v>41784</v>
      </c>
      <c r="G189" s="5" t="s">
        <v>790</v>
      </c>
      <c r="H189" s="4">
        <v>41597</v>
      </c>
      <c r="I189" s="4">
        <v>46063</v>
      </c>
      <c r="J189" s="5" t="s">
        <v>522</v>
      </c>
    </row>
    <row r="190" spans="1:10" x14ac:dyDescent="0.25">
      <c r="A190" s="3">
        <v>84141102</v>
      </c>
      <c r="B190" s="5" t="s">
        <v>154</v>
      </c>
      <c r="C190" s="5" t="s">
        <v>475</v>
      </c>
      <c r="D190" s="5" t="s">
        <v>476</v>
      </c>
      <c r="E190" s="5" t="s">
        <v>477</v>
      </c>
      <c r="F190" s="4">
        <v>41791</v>
      </c>
      <c r="G190" s="5" t="s">
        <v>791</v>
      </c>
      <c r="H190" s="4">
        <v>41597</v>
      </c>
      <c r="I190" s="4">
        <v>46062</v>
      </c>
      <c r="J190" s="5" t="s">
        <v>659</v>
      </c>
    </row>
    <row r="191" spans="1:10" x14ac:dyDescent="0.25">
      <c r="A191" s="3">
        <v>84141103</v>
      </c>
      <c r="B191" s="5" t="s">
        <v>86</v>
      </c>
      <c r="C191" s="5" t="s">
        <v>475</v>
      </c>
      <c r="D191" s="5" t="s">
        <v>476</v>
      </c>
      <c r="E191" s="5" t="s">
        <v>477</v>
      </c>
      <c r="F191" s="4">
        <v>41808</v>
      </c>
      <c r="G191" s="5" t="s">
        <v>792</v>
      </c>
      <c r="H191" s="4">
        <v>41597</v>
      </c>
      <c r="I191" s="4">
        <v>46070</v>
      </c>
      <c r="J191" s="5" t="s">
        <v>793</v>
      </c>
    </row>
    <row r="192" spans="1:10" x14ac:dyDescent="0.25">
      <c r="A192" s="3">
        <v>84144598</v>
      </c>
      <c r="B192" s="5" t="s">
        <v>53</v>
      </c>
      <c r="C192" s="5" t="s">
        <v>475</v>
      </c>
      <c r="D192" s="5" t="s">
        <v>476</v>
      </c>
      <c r="E192" s="5" t="s">
        <v>477</v>
      </c>
      <c r="F192" s="4">
        <v>41889</v>
      </c>
      <c r="G192" s="5" t="s">
        <v>794</v>
      </c>
      <c r="H192" s="4">
        <v>41704</v>
      </c>
      <c r="I192" s="4">
        <v>46055</v>
      </c>
      <c r="J192" s="5" t="s">
        <v>517</v>
      </c>
    </row>
    <row r="193" spans="1:10" x14ac:dyDescent="0.25">
      <c r="A193" s="3">
        <v>84150062</v>
      </c>
      <c r="B193" s="5" t="s">
        <v>795</v>
      </c>
      <c r="C193" s="5" t="s">
        <v>475</v>
      </c>
      <c r="D193" s="5" t="s">
        <v>476</v>
      </c>
      <c r="E193" s="5" t="s">
        <v>10</v>
      </c>
      <c r="F193" s="4">
        <v>42354</v>
      </c>
      <c r="G193" s="5" t="s">
        <v>796</v>
      </c>
      <c r="H193" s="4">
        <v>41908</v>
      </c>
      <c r="I193" s="4">
        <v>46061</v>
      </c>
      <c r="J193" s="5" t="s">
        <v>479</v>
      </c>
    </row>
    <row r="194" spans="1:10" x14ac:dyDescent="0.25">
      <c r="A194" s="3">
        <v>84161610</v>
      </c>
      <c r="B194" s="5" t="s">
        <v>78</v>
      </c>
      <c r="C194" s="5" t="s">
        <v>475</v>
      </c>
      <c r="D194" s="5" t="s">
        <v>476</v>
      </c>
      <c r="E194" s="5" t="s">
        <v>477</v>
      </c>
      <c r="F194" s="4">
        <v>42425</v>
      </c>
      <c r="G194" s="5" t="s">
        <v>797</v>
      </c>
      <c r="H194" s="4">
        <v>42256</v>
      </c>
      <c r="I194" s="4">
        <v>46055</v>
      </c>
      <c r="J194" s="5" t="s">
        <v>517</v>
      </c>
    </row>
    <row r="195" spans="1:10" x14ac:dyDescent="0.25">
      <c r="A195" s="3">
        <v>84162829</v>
      </c>
      <c r="B195" s="5" t="s">
        <v>798</v>
      </c>
      <c r="C195" s="5" t="s">
        <v>475</v>
      </c>
      <c r="D195" s="5" t="s">
        <v>476</v>
      </c>
      <c r="E195" s="5" t="s">
        <v>531</v>
      </c>
      <c r="F195" s="4">
        <v>42522</v>
      </c>
      <c r="G195" s="5" t="s">
        <v>799</v>
      </c>
      <c r="H195" s="4">
        <v>42305</v>
      </c>
      <c r="I195" s="4">
        <v>46062</v>
      </c>
      <c r="J195" s="5" t="s">
        <v>659</v>
      </c>
    </row>
    <row r="196" spans="1:10" x14ac:dyDescent="0.25">
      <c r="A196" s="3">
        <v>84163605</v>
      </c>
      <c r="B196" s="5" t="s">
        <v>800</v>
      </c>
      <c r="C196" s="5" t="s">
        <v>475</v>
      </c>
      <c r="D196" s="5" t="s">
        <v>476</v>
      </c>
      <c r="E196" s="5" t="s">
        <v>477</v>
      </c>
      <c r="F196" s="4">
        <v>42851</v>
      </c>
      <c r="G196" s="5" t="s">
        <v>801</v>
      </c>
      <c r="H196" s="4">
        <v>42333</v>
      </c>
      <c r="I196" s="4">
        <v>46064</v>
      </c>
      <c r="J196" s="5" t="s">
        <v>479</v>
      </c>
    </row>
    <row r="197" spans="1:10" x14ac:dyDescent="0.25">
      <c r="A197" s="3">
        <v>84164936</v>
      </c>
      <c r="B197" s="5" t="s">
        <v>802</v>
      </c>
      <c r="C197" s="5" t="s">
        <v>475</v>
      </c>
      <c r="D197" s="5" t="s">
        <v>476</v>
      </c>
      <c r="E197" s="5" t="s">
        <v>477</v>
      </c>
      <c r="F197" s="4">
        <v>42763</v>
      </c>
      <c r="G197" s="5" t="s">
        <v>803</v>
      </c>
      <c r="H197" s="4">
        <v>42380</v>
      </c>
      <c r="I197" s="4">
        <v>46055</v>
      </c>
      <c r="J197" s="5" t="s">
        <v>517</v>
      </c>
    </row>
    <row r="198" spans="1:10" x14ac:dyDescent="0.25">
      <c r="A198" s="3">
        <v>84164939</v>
      </c>
      <c r="B198" s="5" t="s">
        <v>804</v>
      </c>
      <c r="C198" s="5" t="s">
        <v>475</v>
      </c>
      <c r="D198" s="5" t="s">
        <v>476</v>
      </c>
      <c r="E198" s="5" t="s">
        <v>477</v>
      </c>
      <c r="F198" s="4">
        <v>42749</v>
      </c>
      <c r="G198" s="5" t="s">
        <v>805</v>
      </c>
      <c r="H198" s="4">
        <v>42380</v>
      </c>
      <c r="I198" s="4">
        <v>46064</v>
      </c>
      <c r="J198" s="5" t="s">
        <v>479</v>
      </c>
    </row>
    <row r="199" spans="1:10" x14ac:dyDescent="0.25">
      <c r="A199" s="3">
        <v>62681617</v>
      </c>
      <c r="B199" s="5" t="s">
        <v>850</v>
      </c>
      <c r="C199" s="5" t="s">
        <v>475</v>
      </c>
      <c r="D199" s="5" t="s">
        <v>476</v>
      </c>
      <c r="E199" s="5" t="s">
        <v>477</v>
      </c>
      <c r="F199" s="4">
        <v>45324</v>
      </c>
      <c r="G199" s="5" t="s">
        <v>851</v>
      </c>
      <c r="H199" s="4">
        <v>45054</v>
      </c>
      <c r="I199" s="4">
        <v>46023</v>
      </c>
      <c r="J199" s="5" t="s">
        <v>488</v>
      </c>
    </row>
    <row r="200" spans="1:10" x14ac:dyDescent="0.25">
      <c r="A200" s="3">
        <v>62681618</v>
      </c>
      <c r="B200" s="5" t="s">
        <v>852</v>
      </c>
      <c r="C200" s="5" t="s">
        <v>475</v>
      </c>
      <c r="D200" s="5" t="s">
        <v>476</v>
      </c>
      <c r="E200" s="5" t="s">
        <v>477</v>
      </c>
      <c r="F200" s="4">
        <v>45321</v>
      </c>
      <c r="G200" s="5" t="s">
        <v>853</v>
      </c>
      <c r="H200" s="4">
        <v>45054</v>
      </c>
      <c r="I200" s="4">
        <v>46023</v>
      </c>
      <c r="J200" s="5" t="s">
        <v>488</v>
      </c>
    </row>
    <row r="201" spans="1:10" x14ac:dyDescent="0.25">
      <c r="A201" s="3">
        <v>62711308</v>
      </c>
      <c r="B201" s="5" t="s">
        <v>854</v>
      </c>
      <c r="C201" s="5" t="s">
        <v>475</v>
      </c>
      <c r="D201" s="5" t="s">
        <v>476</v>
      </c>
      <c r="E201" s="5" t="s">
        <v>477</v>
      </c>
      <c r="F201" s="4">
        <v>45348</v>
      </c>
      <c r="G201" s="5" t="s">
        <v>855</v>
      </c>
      <c r="H201" s="4">
        <v>45085</v>
      </c>
      <c r="I201" s="4">
        <v>46041</v>
      </c>
      <c r="J201" s="5" t="s">
        <v>491</v>
      </c>
    </row>
    <row r="202" spans="1:10" x14ac:dyDescent="0.25">
      <c r="A202" s="3">
        <v>62711314</v>
      </c>
      <c r="B202" s="5" t="s">
        <v>856</v>
      </c>
      <c r="C202" s="5" t="s">
        <v>475</v>
      </c>
      <c r="D202" s="5" t="s">
        <v>476</v>
      </c>
      <c r="E202" s="5" t="s">
        <v>477</v>
      </c>
      <c r="F202" s="4">
        <v>45477</v>
      </c>
      <c r="G202" s="5" t="s">
        <v>857</v>
      </c>
      <c r="H202" s="4">
        <v>45085</v>
      </c>
      <c r="I202" s="4">
        <v>46041</v>
      </c>
      <c r="J202" s="5" t="s">
        <v>491</v>
      </c>
    </row>
    <row r="203" spans="1:10" x14ac:dyDescent="0.25">
      <c r="A203" s="3">
        <v>62711374</v>
      </c>
      <c r="B203" s="5" t="s">
        <v>858</v>
      </c>
      <c r="C203" s="5" t="s">
        <v>475</v>
      </c>
      <c r="D203" s="5" t="s">
        <v>476</v>
      </c>
      <c r="E203" s="5" t="s">
        <v>477</v>
      </c>
      <c r="F203" s="4">
        <v>45418</v>
      </c>
      <c r="G203" s="5" t="s">
        <v>859</v>
      </c>
      <c r="H203" s="4">
        <v>45085</v>
      </c>
      <c r="I203" s="4">
        <v>45995</v>
      </c>
      <c r="J203" s="5" t="s">
        <v>546</v>
      </c>
    </row>
    <row r="204" spans="1:10" x14ac:dyDescent="0.25">
      <c r="A204" s="3">
        <v>62712612</v>
      </c>
      <c r="B204" s="5" t="s">
        <v>860</v>
      </c>
      <c r="C204" s="5" t="s">
        <v>475</v>
      </c>
      <c r="D204" s="5" t="s">
        <v>476</v>
      </c>
      <c r="E204" s="5" t="s">
        <v>477</v>
      </c>
      <c r="F204" s="4">
        <v>45523</v>
      </c>
      <c r="G204" s="5" t="s">
        <v>861</v>
      </c>
      <c r="H204" s="4">
        <v>45086</v>
      </c>
      <c r="I204" s="4">
        <v>46041</v>
      </c>
      <c r="J204" s="5" t="s">
        <v>491</v>
      </c>
    </row>
    <row r="205" spans="1:10" x14ac:dyDescent="0.25">
      <c r="A205" s="3">
        <v>62712617</v>
      </c>
      <c r="B205" s="5" t="s">
        <v>862</v>
      </c>
      <c r="C205" s="5" t="s">
        <v>475</v>
      </c>
      <c r="D205" s="5" t="s">
        <v>476</v>
      </c>
      <c r="E205" s="5" t="s">
        <v>477</v>
      </c>
      <c r="F205" s="4">
        <v>45379</v>
      </c>
      <c r="G205" s="5" t="s">
        <v>863</v>
      </c>
      <c r="H205" s="4">
        <v>45086</v>
      </c>
      <c r="I205" s="4">
        <v>46041</v>
      </c>
      <c r="J205" s="5" t="s">
        <v>491</v>
      </c>
    </row>
    <row r="206" spans="1:10" x14ac:dyDescent="0.25">
      <c r="A206" s="3">
        <v>62712618</v>
      </c>
      <c r="B206" s="5" t="s">
        <v>864</v>
      </c>
      <c r="C206" s="5" t="s">
        <v>475</v>
      </c>
      <c r="D206" s="5" t="s">
        <v>476</v>
      </c>
      <c r="E206" s="5" t="s">
        <v>477</v>
      </c>
      <c r="F206" s="4">
        <v>45433</v>
      </c>
      <c r="G206" s="5" t="s">
        <v>865</v>
      </c>
      <c r="H206" s="4">
        <v>45086</v>
      </c>
      <c r="I206" s="4">
        <v>46041</v>
      </c>
      <c r="J206" s="5" t="s">
        <v>491</v>
      </c>
    </row>
    <row r="207" spans="1:10" x14ac:dyDescent="0.25">
      <c r="A207" s="3">
        <v>64330612</v>
      </c>
      <c r="B207" s="5" t="s">
        <v>866</v>
      </c>
      <c r="C207" s="5" t="s">
        <v>475</v>
      </c>
      <c r="D207" s="5" t="s">
        <v>476</v>
      </c>
      <c r="E207" s="5" t="s">
        <v>477</v>
      </c>
      <c r="F207" s="4">
        <v>45689</v>
      </c>
      <c r="G207" s="5" t="s">
        <v>867</v>
      </c>
      <c r="H207" s="4">
        <v>45233</v>
      </c>
      <c r="I207" s="4">
        <v>46064</v>
      </c>
      <c r="J207" s="5" t="s">
        <v>479</v>
      </c>
    </row>
    <row r="208" spans="1:10" x14ac:dyDescent="0.25">
      <c r="A208" s="3">
        <v>64364066</v>
      </c>
      <c r="B208" s="5" t="s">
        <v>868</v>
      </c>
      <c r="C208" s="5" t="s">
        <v>475</v>
      </c>
      <c r="D208" s="5" t="s">
        <v>476</v>
      </c>
      <c r="E208" s="5" t="s">
        <v>477</v>
      </c>
      <c r="F208" s="4">
        <v>45740</v>
      </c>
      <c r="G208" s="5" t="s">
        <v>869</v>
      </c>
      <c r="H208" s="4">
        <v>45288</v>
      </c>
      <c r="I208" s="4">
        <v>46030</v>
      </c>
      <c r="J208" s="5" t="s">
        <v>491</v>
      </c>
    </row>
    <row r="209" spans="1:10" x14ac:dyDescent="0.25">
      <c r="A209" s="3">
        <v>64379123</v>
      </c>
      <c r="B209" s="5" t="s">
        <v>870</v>
      </c>
      <c r="C209" s="5" t="s">
        <v>475</v>
      </c>
      <c r="D209" s="5" t="s">
        <v>476</v>
      </c>
      <c r="E209" s="5" t="s">
        <v>477</v>
      </c>
      <c r="F209" s="4">
        <v>45966</v>
      </c>
      <c r="G209" s="5" t="s">
        <v>871</v>
      </c>
      <c r="H209" s="4">
        <v>45317</v>
      </c>
      <c r="I209" s="4">
        <v>46104</v>
      </c>
      <c r="J209" s="5" t="s">
        <v>479</v>
      </c>
    </row>
    <row r="210" spans="1:10" x14ac:dyDescent="0.25">
      <c r="A210" s="3">
        <v>64380012</v>
      </c>
      <c r="B210" s="5" t="s">
        <v>872</v>
      </c>
      <c r="C210" s="5" t="s">
        <v>475</v>
      </c>
      <c r="D210" s="5" t="s">
        <v>476</v>
      </c>
      <c r="E210" s="5" t="s">
        <v>477</v>
      </c>
      <c r="F210" s="4">
        <v>45997</v>
      </c>
      <c r="G210" s="5" t="s">
        <v>873</v>
      </c>
      <c r="H210" s="4">
        <v>45320</v>
      </c>
      <c r="I210" s="4">
        <v>46064</v>
      </c>
      <c r="J210" s="5" t="s">
        <v>479</v>
      </c>
    </row>
    <row r="211" spans="1:10" x14ac:dyDescent="0.25">
      <c r="A211" s="3">
        <v>64389651</v>
      </c>
      <c r="B211" s="5" t="s">
        <v>70</v>
      </c>
      <c r="C211" s="5" t="s">
        <v>475</v>
      </c>
      <c r="D211" s="5" t="s">
        <v>476</v>
      </c>
      <c r="E211" s="5" t="s">
        <v>477</v>
      </c>
      <c r="F211" s="4">
        <v>45691</v>
      </c>
      <c r="G211" s="5" t="s">
        <v>874</v>
      </c>
      <c r="H211" s="4">
        <v>45336</v>
      </c>
      <c r="I211" s="4">
        <v>46064</v>
      </c>
      <c r="J211" s="5" t="s">
        <v>479</v>
      </c>
    </row>
    <row r="212" spans="1:10" x14ac:dyDescent="0.25">
      <c r="A212" s="3">
        <v>64394585</v>
      </c>
      <c r="B212" s="5" t="s">
        <v>875</v>
      </c>
      <c r="C212" s="5" t="s">
        <v>475</v>
      </c>
      <c r="D212" s="5" t="s">
        <v>476</v>
      </c>
      <c r="E212" s="5" t="s">
        <v>477</v>
      </c>
      <c r="F212" s="4">
        <v>45649</v>
      </c>
      <c r="G212" s="5" t="s">
        <v>876</v>
      </c>
      <c r="H212" s="4">
        <v>45345</v>
      </c>
      <c r="I212" s="4">
        <v>46101</v>
      </c>
      <c r="J212" s="5" t="s">
        <v>519</v>
      </c>
    </row>
    <row r="213" spans="1:10" x14ac:dyDescent="0.25">
      <c r="A213" s="3">
        <v>64399865</v>
      </c>
      <c r="B213" s="5" t="s">
        <v>877</v>
      </c>
      <c r="C213" s="5" t="s">
        <v>475</v>
      </c>
      <c r="D213" s="5" t="s">
        <v>476</v>
      </c>
      <c r="E213" s="5" t="s">
        <v>477</v>
      </c>
      <c r="F213" s="4">
        <v>45631</v>
      </c>
      <c r="G213" s="5" t="s">
        <v>878</v>
      </c>
      <c r="H213" s="4">
        <v>45351</v>
      </c>
      <c r="I213" s="4">
        <v>46104</v>
      </c>
      <c r="J213" s="5" t="s">
        <v>479</v>
      </c>
    </row>
    <row r="214" spans="1:10" x14ac:dyDescent="0.25">
      <c r="A214" s="3">
        <v>64411070</v>
      </c>
      <c r="B214" s="5" t="s">
        <v>879</v>
      </c>
      <c r="C214" s="5" t="s">
        <v>475</v>
      </c>
      <c r="D214" s="5" t="s">
        <v>476</v>
      </c>
      <c r="E214" s="5" t="s">
        <v>477</v>
      </c>
      <c r="F214" s="4">
        <v>45915</v>
      </c>
      <c r="G214" s="5" t="s">
        <v>880</v>
      </c>
      <c r="H214" s="4">
        <v>45365</v>
      </c>
      <c r="I214" s="4">
        <v>46098</v>
      </c>
      <c r="J214" s="5" t="s">
        <v>491</v>
      </c>
    </row>
    <row r="215" spans="1:10" x14ac:dyDescent="0.25">
      <c r="A215" s="3">
        <v>64776952</v>
      </c>
      <c r="B215" s="5" t="s">
        <v>566</v>
      </c>
      <c r="C215" s="5" t="s">
        <v>475</v>
      </c>
      <c r="D215" s="5" t="s">
        <v>476</v>
      </c>
      <c r="E215" s="5" t="s">
        <v>477</v>
      </c>
      <c r="F215" s="4">
        <v>45750</v>
      </c>
      <c r="G215" s="5" t="s">
        <v>881</v>
      </c>
      <c r="H215" s="4">
        <v>45400</v>
      </c>
      <c r="I215" s="4">
        <v>46064</v>
      </c>
      <c r="J215" s="5" t="s">
        <v>479</v>
      </c>
    </row>
    <row r="216" spans="1:10" x14ac:dyDescent="0.25">
      <c r="A216" s="3">
        <v>64797748</v>
      </c>
      <c r="B216" s="5" t="s">
        <v>882</v>
      </c>
      <c r="C216" s="5" t="s">
        <v>475</v>
      </c>
      <c r="D216" s="5" t="s">
        <v>476</v>
      </c>
      <c r="E216" s="5" t="s">
        <v>477</v>
      </c>
      <c r="F216" s="4">
        <v>45894</v>
      </c>
      <c r="G216" s="5" t="s">
        <v>883</v>
      </c>
      <c r="H216" s="4">
        <v>45432</v>
      </c>
      <c r="I216" s="4">
        <v>45995</v>
      </c>
      <c r="J216" s="5" t="s">
        <v>546</v>
      </c>
    </row>
    <row r="217" spans="1:10" x14ac:dyDescent="0.25">
      <c r="A217" s="3">
        <v>64797750</v>
      </c>
      <c r="B217" s="5" t="s">
        <v>884</v>
      </c>
      <c r="C217" s="5" t="s">
        <v>475</v>
      </c>
      <c r="D217" s="5" t="s">
        <v>476</v>
      </c>
      <c r="E217" s="5" t="s">
        <v>477</v>
      </c>
      <c r="F217" s="4">
        <v>45922</v>
      </c>
      <c r="G217" s="5" t="s">
        <v>885</v>
      </c>
      <c r="H217" s="4">
        <v>45432</v>
      </c>
      <c r="I217" s="4">
        <v>46083</v>
      </c>
      <c r="J217" s="5" t="s">
        <v>886</v>
      </c>
    </row>
    <row r="218" spans="1:10" x14ac:dyDescent="0.25">
      <c r="A218" s="3">
        <v>64797760</v>
      </c>
      <c r="B218" s="5" t="s">
        <v>887</v>
      </c>
      <c r="C218" s="5" t="s">
        <v>475</v>
      </c>
      <c r="D218" s="5" t="s">
        <v>476</v>
      </c>
      <c r="E218" s="5" t="s">
        <v>477</v>
      </c>
      <c r="F218" s="4">
        <v>46055</v>
      </c>
      <c r="G218" s="5" t="s">
        <v>888</v>
      </c>
      <c r="H218" s="4">
        <v>45432</v>
      </c>
      <c r="I218" s="4">
        <v>46056</v>
      </c>
      <c r="J218" s="5" t="s">
        <v>491</v>
      </c>
    </row>
    <row r="219" spans="1:10" x14ac:dyDescent="0.25">
      <c r="A219" s="3">
        <v>64803353</v>
      </c>
      <c r="B219" s="5" t="s">
        <v>889</v>
      </c>
      <c r="C219" s="5" t="s">
        <v>475</v>
      </c>
      <c r="D219" s="5" t="s">
        <v>476</v>
      </c>
      <c r="E219" s="5" t="s">
        <v>477</v>
      </c>
      <c r="F219" s="4">
        <v>46027</v>
      </c>
      <c r="G219" s="5" t="s">
        <v>890</v>
      </c>
      <c r="H219" s="4">
        <v>45441</v>
      </c>
      <c r="I219" s="4">
        <v>46043</v>
      </c>
      <c r="J219" s="5" t="s">
        <v>891</v>
      </c>
    </row>
    <row r="220" spans="1:10" x14ac:dyDescent="0.25">
      <c r="A220" s="3">
        <v>64804343</v>
      </c>
      <c r="B220" s="5" t="s">
        <v>892</v>
      </c>
      <c r="C220" s="5" t="s">
        <v>475</v>
      </c>
      <c r="D220" s="5" t="s">
        <v>476</v>
      </c>
      <c r="E220" s="5" t="s">
        <v>477</v>
      </c>
      <c r="F220" s="4">
        <v>45672</v>
      </c>
      <c r="G220" s="5" t="s">
        <v>893</v>
      </c>
      <c r="H220" s="4">
        <v>45450</v>
      </c>
      <c r="I220" s="4">
        <v>46042</v>
      </c>
      <c r="J220" s="5" t="s">
        <v>491</v>
      </c>
    </row>
    <row r="221" spans="1:10" x14ac:dyDescent="0.25">
      <c r="A221" s="3">
        <v>64804344</v>
      </c>
      <c r="B221" s="5" t="s">
        <v>894</v>
      </c>
      <c r="C221" s="5" t="s">
        <v>475</v>
      </c>
      <c r="D221" s="5" t="s">
        <v>476</v>
      </c>
      <c r="E221" s="5" t="s">
        <v>477</v>
      </c>
      <c r="F221" s="4">
        <v>45674</v>
      </c>
      <c r="G221" s="5" t="s">
        <v>895</v>
      </c>
      <c r="H221" s="4">
        <v>45450</v>
      </c>
      <c r="I221" s="4">
        <v>46042</v>
      </c>
      <c r="J221" s="5" t="s">
        <v>491</v>
      </c>
    </row>
    <row r="222" spans="1:10" x14ac:dyDescent="0.25">
      <c r="A222" s="3">
        <v>64804346</v>
      </c>
      <c r="B222" s="5" t="s">
        <v>896</v>
      </c>
      <c r="C222" s="5" t="s">
        <v>475</v>
      </c>
      <c r="D222" s="5" t="s">
        <v>476</v>
      </c>
      <c r="E222" s="5" t="s">
        <v>477</v>
      </c>
      <c r="F222" s="4">
        <v>45666</v>
      </c>
      <c r="G222" s="5" t="s">
        <v>897</v>
      </c>
      <c r="H222" s="4">
        <v>45450</v>
      </c>
      <c r="I222" s="4">
        <v>46042</v>
      </c>
      <c r="J222" s="5" t="s">
        <v>491</v>
      </c>
    </row>
    <row r="223" spans="1:10" x14ac:dyDescent="0.25">
      <c r="A223" s="3">
        <v>64804367</v>
      </c>
      <c r="B223" s="5" t="s">
        <v>898</v>
      </c>
      <c r="C223" s="5" t="s">
        <v>475</v>
      </c>
      <c r="D223" s="5" t="s">
        <v>476</v>
      </c>
      <c r="E223" s="5" t="s">
        <v>477</v>
      </c>
      <c r="F223" s="4">
        <v>45617</v>
      </c>
      <c r="G223" s="5" t="s">
        <v>899</v>
      </c>
      <c r="H223" s="4">
        <v>45442</v>
      </c>
      <c r="I223" s="4">
        <v>46042</v>
      </c>
      <c r="J223" s="5" t="s">
        <v>491</v>
      </c>
    </row>
    <row r="224" spans="1:10" x14ac:dyDescent="0.25">
      <c r="A224" s="3">
        <v>64804372</v>
      </c>
      <c r="B224" s="5" t="s">
        <v>900</v>
      </c>
      <c r="C224" s="5" t="s">
        <v>475</v>
      </c>
      <c r="D224" s="5" t="s">
        <v>476</v>
      </c>
      <c r="E224" s="5" t="s">
        <v>477</v>
      </c>
      <c r="F224" s="4">
        <v>45618</v>
      </c>
      <c r="G224" s="5" t="s">
        <v>901</v>
      </c>
      <c r="H224" s="4">
        <v>45442</v>
      </c>
      <c r="I224" s="4">
        <v>46042</v>
      </c>
      <c r="J224" s="5" t="s">
        <v>491</v>
      </c>
    </row>
    <row r="225" spans="1:10" x14ac:dyDescent="0.25">
      <c r="A225" s="3">
        <v>64804398</v>
      </c>
      <c r="B225" s="5" t="s">
        <v>902</v>
      </c>
      <c r="C225" s="5" t="s">
        <v>475</v>
      </c>
      <c r="D225" s="5" t="s">
        <v>476</v>
      </c>
      <c r="E225" s="5" t="s">
        <v>477</v>
      </c>
      <c r="F225" s="4">
        <v>45624</v>
      </c>
      <c r="G225" s="5" t="s">
        <v>903</v>
      </c>
      <c r="H225" s="4">
        <v>45442</v>
      </c>
      <c r="I225" s="4">
        <v>46042</v>
      </c>
      <c r="J225" s="5" t="s">
        <v>491</v>
      </c>
    </row>
    <row r="226" spans="1:10" x14ac:dyDescent="0.25">
      <c r="A226" s="3">
        <v>64967949</v>
      </c>
      <c r="B226" s="5" t="s">
        <v>904</v>
      </c>
      <c r="C226" s="5" t="s">
        <v>475</v>
      </c>
      <c r="D226" s="5" t="s">
        <v>476</v>
      </c>
      <c r="E226" s="5" t="s">
        <v>477</v>
      </c>
      <c r="F226" s="4">
        <v>46058</v>
      </c>
      <c r="G226" s="5" t="s">
        <v>905</v>
      </c>
      <c r="H226" s="4">
        <v>45686</v>
      </c>
      <c r="I226" s="4">
        <v>46096</v>
      </c>
      <c r="J226" s="5" t="s">
        <v>793</v>
      </c>
    </row>
    <row r="227" spans="1:10" x14ac:dyDescent="0.25">
      <c r="A227" s="3">
        <v>64976837</v>
      </c>
      <c r="B227" s="5" t="s">
        <v>312</v>
      </c>
      <c r="C227" s="5" t="s">
        <v>475</v>
      </c>
      <c r="D227" s="5" t="s">
        <v>476</v>
      </c>
      <c r="E227" s="5" t="s">
        <v>477</v>
      </c>
      <c r="F227" s="4">
        <v>45859</v>
      </c>
      <c r="G227" s="5" t="s">
        <v>906</v>
      </c>
      <c r="H227" s="4">
        <v>45701</v>
      </c>
      <c r="I227" s="4">
        <v>46097</v>
      </c>
      <c r="J227" s="5" t="s">
        <v>519</v>
      </c>
    </row>
    <row r="228" spans="1:10" x14ac:dyDescent="0.25">
      <c r="A228" s="3">
        <v>64976849</v>
      </c>
      <c r="B228" s="5" t="s">
        <v>907</v>
      </c>
      <c r="C228" s="5" t="s">
        <v>475</v>
      </c>
      <c r="D228" s="5" t="s">
        <v>476</v>
      </c>
      <c r="E228" s="5" t="s">
        <v>477</v>
      </c>
      <c r="F228" s="4">
        <v>45922</v>
      </c>
      <c r="G228" s="5" t="s">
        <v>908</v>
      </c>
      <c r="H228" s="4">
        <v>45701</v>
      </c>
      <c r="I228" s="4">
        <v>46104</v>
      </c>
      <c r="J228" s="5" t="s">
        <v>479</v>
      </c>
    </row>
    <row r="229" spans="1:10" x14ac:dyDescent="0.25">
      <c r="A229" s="3">
        <v>64976851</v>
      </c>
      <c r="B229" s="5" t="s">
        <v>339</v>
      </c>
      <c r="C229" s="5" t="s">
        <v>475</v>
      </c>
      <c r="D229" s="5" t="s">
        <v>476</v>
      </c>
      <c r="E229" s="5" t="s">
        <v>477</v>
      </c>
      <c r="F229" s="4">
        <v>45866</v>
      </c>
      <c r="G229" s="5" t="s">
        <v>909</v>
      </c>
      <c r="H229" s="4">
        <v>45701</v>
      </c>
      <c r="I229" s="4">
        <v>46104</v>
      </c>
      <c r="J229" s="5" t="s">
        <v>479</v>
      </c>
    </row>
    <row r="230" spans="1:10" x14ac:dyDescent="0.25">
      <c r="A230" s="3">
        <v>64977528</v>
      </c>
      <c r="B230" s="5" t="s">
        <v>910</v>
      </c>
      <c r="C230" s="5" t="s">
        <v>475</v>
      </c>
      <c r="D230" s="5" t="s">
        <v>476</v>
      </c>
      <c r="E230" s="5" t="s">
        <v>477</v>
      </c>
      <c r="F230" s="4">
        <v>46016</v>
      </c>
      <c r="G230" s="5" t="s">
        <v>911</v>
      </c>
      <c r="H230" s="4">
        <v>45700</v>
      </c>
      <c r="I230" s="4">
        <v>46104</v>
      </c>
      <c r="J230" s="5" t="s">
        <v>479</v>
      </c>
    </row>
    <row r="231" spans="1:10" x14ac:dyDescent="0.25">
      <c r="A231" s="3">
        <v>64979407</v>
      </c>
      <c r="B231" s="5" t="s">
        <v>36</v>
      </c>
      <c r="C231" s="5" t="s">
        <v>475</v>
      </c>
      <c r="D231" s="5" t="s">
        <v>476</v>
      </c>
      <c r="E231" s="5" t="s">
        <v>477</v>
      </c>
      <c r="F231" s="4">
        <v>46014</v>
      </c>
      <c r="G231" s="5" t="s">
        <v>912</v>
      </c>
      <c r="H231" s="4">
        <v>45706</v>
      </c>
      <c r="I231" s="4">
        <v>46104</v>
      </c>
      <c r="J231" s="5" t="s">
        <v>479</v>
      </c>
    </row>
    <row r="232" spans="1:10" x14ac:dyDescent="0.25">
      <c r="A232" s="3">
        <v>64986251</v>
      </c>
      <c r="B232" s="5" t="s">
        <v>913</v>
      </c>
      <c r="C232" s="5" t="s">
        <v>475</v>
      </c>
      <c r="D232" s="5" t="s">
        <v>476</v>
      </c>
      <c r="E232" s="5" t="s">
        <v>477</v>
      </c>
      <c r="F232" s="4">
        <v>46021</v>
      </c>
      <c r="G232" s="5" t="s">
        <v>914</v>
      </c>
      <c r="H232" s="4">
        <v>45714</v>
      </c>
      <c r="I232" s="4">
        <v>46104</v>
      </c>
      <c r="J232" s="5" t="s">
        <v>479</v>
      </c>
    </row>
    <row r="233" spans="1:10" x14ac:dyDescent="0.25">
      <c r="A233" s="3">
        <v>65242605</v>
      </c>
      <c r="B233" s="5" t="s">
        <v>915</v>
      </c>
      <c r="C233" s="5" t="s">
        <v>475</v>
      </c>
      <c r="D233" s="5" t="s">
        <v>476</v>
      </c>
      <c r="E233" s="5" t="s">
        <v>477</v>
      </c>
      <c r="F233" s="4">
        <v>45994</v>
      </c>
      <c r="G233" s="5" t="s">
        <v>916</v>
      </c>
      <c r="H233" s="4">
        <v>45817</v>
      </c>
      <c r="I233" s="4">
        <v>46090</v>
      </c>
      <c r="J233" s="5" t="s">
        <v>546</v>
      </c>
    </row>
    <row r="234" spans="1:10" x14ac:dyDescent="0.25">
      <c r="A234" s="3">
        <v>65434831</v>
      </c>
      <c r="B234" s="5" t="s">
        <v>917</v>
      </c>
      <c r="C234" s="5" t="s">
        <v>475</v>
      </c>
      <c r="D234" s="5" t="s">
        <v>476</v>
      </c>
      <c r="E234" s="5" t="s">
        <v>477</v>
      </c>
      <c r="F234" s="4">
        <v>46086</v>
      </c>
      <c r="G234" s="5" t="s">
        <v>918</v>
      </c>
      <c r="H234" s="4">
        <v>45862</v>
      </c>
      <c r="I234" s="4">
        <v>46104</v>
      </c>
      <c r="J234" s="5" t="s">
        <v>479</v>
      </c>
    </row>
    <row r="235" spans="1:10" x14ac:dyDescent="0.25">
      <c r="A235" s="3">
        <v>65458353</v>
      </c>
      <c r="B235" s="5" t="s">
        <v>919</v>
      </c>
      <c r="C235" s="5" t="s">
        <v>475</v>
      </c>
      <c r="D235" s="5" t="s">
        <v>476</v>
      </c>
      <c r="E235" s="5" t="s">
        <v>531</v>
      </c>
      <c r="F235" s="4">
        <v>46094</v>
      </c>
      <c r="G235" s="5" t="s">
        <v>920</v>
      </c>
      <c r="H235" s="4">
        <v>45890</v>
      </c>
      <c r="I235" s="4">
        <v>46094</v>
      </c>
      <c r="J235" s="5" t="s">
        <v>491</v>
      </c>
    </row>
    <row r="236" spans="1:10" x14ac:dyDescent="0.25">
      <c r="A236" s="3">
        <v>65594416</v>
      </c>
      <c r="B236" s="5" t="s">
        <v>921</v>
      </c>
      <c r="C236" s="5" t="s">
        <v>475</v>
      </c>
      <c r="D236" s="5" t="s">
        <v>476</v>
      </c>
      <c r="E236" s="5" t="s">
        <v>477</v>
      </c>
      <c r="F236" s="4">
        <v>46104</v>
      </c>
      <c r="G236" s="5" t="s">
        <v>922</v>
      </c>
      <c r="H236" s="4">
        <v>45978</v>
      </c>
      <c r="I236" s="4">
        <v>46104</v>
      </c>
      <c r="J236" s="5" t="s">
        <v>491</v>
      </c>
    </row>
    <row r="237" spans="1:10" x14ac:dyDescent="0.25">
      <c r="A237" s="3">
        <v>67430513</v>
      </c>
      <c r="B237" s="5" t="s">
        <v>81</v>
      </c>
      <c r="C237" s="5" t="s">
        <v>475</v>
      </c>
      <c r="D237" s="5" t="s">
        <v>476</v>
      </c>
      <c r="E237" s="5" t="s">
        <v>477</v>
      </c>
      <c r="F237" s="4">
        <v>43477</v>
      </c>
      <c r="G237" s="5" t="s">
        <v>923</v>
      </c>
      <c r="H237" s="4">
        <v>43055</v>
      </c>
      <c r="I237" s="4">
        <v>46101</v>
      </c>
      <c r="J237" s="5" t="s">
        <v>519</v>
      </c>
    </row>
    <row r="238" spans="1:10" x14ac:dyDescent="0.25">
      <c r="A238" s="3">
        <v>67546042</v>
      </c>
      <c r="B238" s="5" t="s">
        <v>160</v>
      </c>
      <c r="C238" s="5" t="s">
        <v>475</v>
      </c>
      <c r="D238" s="5" t="s">
        <v>476</v>
      </c>
      <c r="E238" s="5" t="s">
        <v>477</v>
      </c>
      <c r="F238" s="4">
        <v>43488</v>
      </c>
      <c r="G238" s="5" t="s">
        <v>924</v>
      </c>
      <c r="H238" s="4">
        <v>43193</v>
      </c>
      <c r="I238" s="4">
        <v>46064</v>
      </c>
      <c r="J238" s="5" t="s">
        <v>479</v>
      </c>
    </row>
    <row r="239" spans="1:10" x14ac:dyDescent="0.25">
      <c r="A239" s="3">
        <v>67596354</v>
      </c>
      <c r="B239" s="5" t="s">
        <v>156</v>
      </c>
      <c r="C239" s="5" t="s">
        <v>475</v>
      </c>
      <c r="D239" s="5" t="s">
        <v>476</v>
      </c>
      <c r="E239" s="5" t="s">
        <v>531</v>
      </c>
      <c r="F239" s="4">
        <v>43553</v>
      </c>
      <c r="G239" s="5" t="s">
        <v>925</v>
      </c>
      <c r="H239" s="4">
        <v>43249</v>
      </c>
      <c r="I239" s="4">
        <v>46023</v>
      </c>
      <c r="J239" s="5" t="s">
        <v>488</v>
      </c>
    </row>
    <row r="240" spans="1:10" x14ac:dyDescent="0.25">
      <c r="A240" s="3">
        <v>67794167</v>
      </c>
      <c r="B240" s="5" t="s">
        <v>121</v>
      </c>
      <c r="C240" s="5" t="s">
        <v>475</v>
      </c>
      <c r="D240" s="5" t="s">
        <v>476</v>
      </c>
      <c r="E240" s="5" t="s">
        <v>477</v>
      </c>
      <c r="F240" s="4">
        <v>43769</v>
      </c>
      <c r="G240" s="5" t="s">
        <v>926</v>
      </c>
      <c r="H240" s="4">
        <v>43458</v>
      </c>
      <c r="I240" s="4">
        <v>46106</v>
      </c>
      <c r="J240" s="5" t="s">
        <v>659</v>
      </c>
    </row>
    <row r="241" spans="1:10" x14ac:dyDescent="0.25">
      <c r="A241" s="3">
        <v>67794170</v>
      </c>
      <c r="B241" s="5" t="s">
        <v>927</v>
      </c>
      <c r="C241" s="5" t="s">
        <v>475</v>
      </c>
      <c r="D241" s="5" t="s">
        <v>476</v>
      </c>
      <c r="E241" s="5" t="s">
        <v>477</v>
      </c>
      <c r="F241" s="4">
        <v>43866</v>
      </c>
      <c r="G241" s="5" t="s">
        <v>928</v>
      </c>
      <c r="H241" s="4">
        <v>43458</v>
      </c>
      <c r="I241" s="4">
        <v>46064</v>
      </c>
      <c r="J241" s="5" t="s">
        <v>479</v>
      </c>
    </row>
    <row r="242" spans="1:10" x14ac:dyDescent="0.25">
      <c r="A242" s="3">
        <v>67803006</v>
      </c>
      <c r="B242" s="5" t="s">
        <v>120</v>
      </c>
      <c r="C242" s="5" t="s">
        <v>475</v>
      </c>
      <c r="D242" s="5" t="s">
        <v>476</v>
      </c>
      <c r="E242" s="5" t="s">
        <v>531</v>
      </c>
      <c r="F242" s="4">
        <v>43654</v>
      </c>
      <c r="G242" s="5" t="s">
        <v>929</v>
      </c>
      <c r="H242" s="4">
        <v>43473</v>
      </c>
      <c r="I242" s="4">
        <v>46023</v>
      </c>
      <c r="J242" s="5" t="s">
        <v>488</v>
      </c>
    </row>
    <row r="243" spans="1:10" x14ac:dyDescent="0.25">
      <c r="A243" s="3">
        <v>68354587</v>
      </c>
      <c r="B243" s="5" t="s">
        <v>930</v>
      </c>
      <c r="C243" s="5" t="s">
        <v>475</v>
      </c>
      <c r="D243" s="5" t="s">
        <v>476</v>
      </c>
      <c r="E243" s="5" t="s">
        <v>477</v>
      </c>
      <c r="F243" s="4">
        <v>44197</v>
      </c>
      <c r="G243" s="5" t="s">
        <v>931</v>
      </c>
      <c r="H243" s="4">
        <v>43887</v>
      </c>
      <c r="I243" s="4">
        <v>46101</v>
      </c>
      <c r="J243" s="5" t="s">
        <v>519</v>
      </c>
    </row>
    <row r="244" spans="1:10" x14ac:dyDescent="0.25">
      <c r="A244" s="3">
        <v>68626039</v>
      </c>
      <c r="B244" s="5" t="s">
        <v>110</v>
      </c>
      <c r="C244" s="5" t="s">
        <v>679</v>
      </c>
      <c r="D244" s="5" t="s">
        <v>476</v>
      </c>
      <c r="E244" s="5" t="s">
        <v>477</v>
      </c>
      <c r="F244" s="4">
        <v>45000</v>
      </c>
      <c r="G244" s="5" t="s">
        <v>932</v>
      </c>
      <c r="H244" s="4">
        <v>44207</v>
      </c>
      <c r="I244" s="4">
        <v>46106</v>
      </c>
      <c r="J244" s="5" t="s">
        <v>659</v>
      </c>
    </row>
    <row r="245" spans="1:10" x14ac:dyDescent="0.25">
      <c r="A245" s="3">
        <v>68638140</v>
      </c>
      <c r="B245" s="5" t="s">
        <v>933</v>
      </c>
      <c r="C245" s="5" t="s">
        <v>475</v>
      </c>
      <c r="D245" s="5" t="s">
        <v>476</v>
      </c>
      <c r="E245" s="5" t="s">
        <v>477</v>
      </c>
      <c r="F245" s="4">
        <v>45888</v>
      </c>
      <c r="G245" s="5" t="s">
        <v>934</v>
      </c>
      <c r="H245" s="4">
        <v>44223</v>
      </c>
      <c r="I245" s="4">
        <v>46084</v>
      </c>
      <c r="J245" s="5" t="s">
        <v>935</v>
      </c>
    </row>
    <row r="246" spans="1:10" x14ac:dyDescent="0.25">
      <c r="A246" s="3">
        <v>68638142</v>
      </c>
      <c r="B246" s="5" t="s">
        <v>936</v>
      </c>
      <c r="C246" s="5" t="s">
        <v>475</v>
      </c>
      <c r="D246" s="5" t="s">
        <v>476</v>
      </c>
      <c r="E246" s="5" t="s">
        <v>477</v>
      </c>
      <c r="F246" s="4">
        <v>45908</v>
      </c>
      <c r="G246" s="5" t="s">
        <v>937</v>
      </c>
      <c r="H246" s="4">
        <v>44223</v>
      </c>
      <c r="I246" s="4">
        <v>46062</v>
      </c>
      <c r="J246" s="5" t="s">
        <v>659</v>
      </c>
    </row>
    <row r="247" spans="1:10" x14ac:dyDescent="0.25">
      <c r="A247" s="3">
        <v>68649097</v>
      </c>
      <c r="B247" s="5" t="s">
        <v>938</v>
      </c>
      <c r="C247" s="5" t="s">
        <v>475</v>
      </c>
      <c r="D247" s="5" t="s">
        <v>476</v>
      </c>
      <c r="E247" s="5" t="s">
        <v>477</v>
      </c>
      <c r="F247" s="4">
        <v>44929</v>
      </c>
      <c r="G247" s="5" t="s">
        <v>939</v>
      </c>
      <c r="H247" s="4">
        <v>44235</v>
      </c>
      <c r="I247" s="4">
        <v>46101</v>
      </c>
      <c r="J247" s="5" t="s">
        <v>519</v>
      </c>
    </row>
    <row r="248" spans="1:10" x14ac:dyDescent="0.25">
      <c r="A248" s="3">
        <v>68710277</v>
      </c>
      <c r="B248" s="5" t="s">
        <v>940</v>
      </c>
      <c r="C248" s="5" t="s">
        <v>475</v>
      </c>
      <c r="D248" s="5" t="s">
        <v>476</v>
      </c>
      <c r="E248" s="5" t="s">
        <v>477</v>
      </c>
      <c r="F248" s="4">
        <v>44531</v>
      </c>
      <c r="G248" s="5" t="s">
        <v>941</v>
      </c>
      <c r="H248" s="4">
        <v>44318</v>
      </c>
      <c r="I248" s="4">
        <v>46086</v>
      </c>
      <c r="J248" s="5" t="s">
        <v>553</v>
      </c>
    </row>
    <row r="249" spans="1:10" x14ac:dyDescent="0.25">
      <c r="A249" s="3">
        <v>68743521</v>
      </c>
      <c r="B249" s="5" t="s">
        <v>942</v>
      </c>
      <c r="C249" s="5" t="s">
        <v>475</v>
      </c>
      <c r="D249" s="5" t="s">
        <v>476</v>
      </c>
      <c r="E249" s="5" t="s">
        <v>477</v>
      </c>
      <c r="F249" s="4">
        <v>45148</v>
      </c>
      <c r="G249" s="5" t="s">
        <v>943</v>
      </c>
      <c r="H249" s="4">
        <v>44368</v>
      </c>
      <c r="I249" s="4">
        <v>46023</v>
      </c>
      <c r="J249" s="5" t="s">
        <v>488</v>
      </c>
    </row>
    <row r="250" spans="1:10" x14ac:dyDescent="0.25">
      <c r="A250" s="3">
        <v>68817792</v>
      </c>
      <c r="B250" s="5" t="s">
        <v>944</v>
      </c>
      <c r="C250" s="5" t="s">
        <v>475</v>
      </c>
      <c r="D250" s="5" t="s">
        <v>476</v>
      </c>
      <c r="E250" s="5" t="s">
        <v>477</v>
      </c>
      <c r="F250" s="4">
        <v>45176</v>
      </c>
      <c r="G250" s="5" t="s">
        <v>692</v>
      </c>
      <c r="H250" s="4">
        <v>44481</v>
      </c>
      <c r="I250" s="4">
        <v>46106</v>
      </c>
      <c r="J250" s="5" t="s">
        <v>659</v>
      </c>
    </row>
    <row r="251" spans="1:10" x14ac:dyDescent="0.25">
      <c r="A251" s="3">
        <v>68817801</v>
      </c>
      <c r="B251" s="5" t="s">
        <v>102</v>
      </c>
      <c r="C251" s="5" t="s">
        <v>475</v>
      </c>
      <c r="D251" s="5" t="s">
        <v>476</v>
      </c>
      <c r="E251" s="5" t="s">
        <v>477</v>
      </c>
      <c r="F251" s="4">
        <v>45039</v>
      </c>
      <c r="G251" s="5" t="s">
        <v>945</v>
      </c>
      <c r="H251" s="4">
        <v>44481</v>
      </c>
      <c r="I251" s="4">
        <v>46097</v>
      </c>
      <c r="J251" s="5" t="s">
        <v>519</v>
      </c>
    </row>
    <row r="252" spans="1:10" x14ac:dyDescent="0.25">
      <c r="A252" s="3">
        <v>68852625</v>
      </c>
      <c r="B252" s="5" t="s">
        <v>946</v>
      </c>
      <c r="C252" s="5" t="s">
        <v>475</v>
      </c>
      <c r="D252" s="5" t="s">
        <v>476</v>
      </c>
      <c r="E252" s="5" t="s">
        <v>477</v>
      </c>
      <c r="F252" s="4">
        <v>45819</v>
      </c>
      <c r="G252" s="5" t="s">
        <v>947</v>
      </c>
      <c r="H252" s="4">
        <v>44512</v>
      </c>
      <c r="I252" s="4">
        <v>46097</v>
      </c>
      <c r="J252" s="5" t="s">
        <v>519</v>
      </c>
    </row>
    <row r="253" spans="1:10" x14ac:dyDescent="0.25">
      <c r="A253" s="3">
        <v>68860059</v>
      </c>
      <c r="B253" s="5" t="s">
        <v>99</v>
      </c>
      <c r="C253" s="5" t="s">
        <v>475</v>
      </c>
      <c r="D253" s="5" t="s">
        <v>476</v>
      </c>
      <c r="E253" s="5" t="s">
        <v>477</v>
      </c>
      <c r="F253" s="4">
        <v>45614</v>
      </c>
      <c r="G253" s="5" t="s">
        <v>948</v>
      </c>
      <c r="H253" s="4">
        <v>44511</v>
      </c>
      <c r="I253" s="4">
        <v>46097</v>
      </c>
      <c r="J253" s="5" t="s">
        <v>519</v>
      </c>
    </row>
    <row r="254" spans="1:10" x14ac:dyDescent="0.25">
      <c r="A254" s="3">
        <v>68860129</v>
      </c>
      <c r="B254" s="5" t="s">
        <v>949</v>
      </c>
      <c r="C254" s="5" t="s">
        <v>475</v>
      </c>
      <c r="D254" s="5" t="s">
        <v>476</v>
      </c>
      <c r="E254" s="5" t="s">
        <v>477</v>
      </c>
      <c r="F254" s="4">
        <v>45587</v>
      </c>
      <c r="G254" s="5" t="s">
        <v>950</v>
      </c>
      <c r="H254" s="4">
        <v>44512</v>
      </c>
      <c r="I254" s="4">
        <v>46097</v>
      </c>
      <c r="J254" s="5" t="s">
        <v>519</v>
      </c>
    </row>
    <row r="255" spans="1:10" x14ac:dyDescent="0.25">
      <c r="A255" s="3">
        <v>68860136</v>
      </c>
      <c r="B255" s="5" t="s">
        <v>951</v>
      </c>
      <c r="C255" s="5" t="s">
        <v>475</v>
      </c>
      <c r="D255" s="5" t="s">
        <v>476</v>
      </c>
      <c r="E255" s="5" t="s">
        <v>477</v>
      </c>
      <c r="F255" s="4">
        <v>45667</v>
      </c>
      <c r="G255" s="5" t="s">
        <v>952</v>
      </c>
      <c r="H255" s="4">
        <v>44512</v>
      </c>
      <c r="I255" s="4">
        <v>46097</v>
      </c>
      <c r="J255" s="5" t="s">
        <v>519</v>
      </c>
    </row>
    <row r="256" spans="1:10" x14ac:dyDescent="0.25">
      <c r="A256" s="3">
        <v>68860673</v>
      </c>
      <c r="B256" s="5" t="s">
        <v>953</v>
      </c>
      <c r="C256" s="5" t="s">
        <v>475</v>
      </c>
      <c r="D256" s="5" t="s">
        <v>476</v>
      </c>
      <c r="E256" s="5" t="s">
        <v>477</v>
      </c>
      <c r="F256" s="4">
        <v>45692</v>
      </c>
      <c r="G256" s="5" t="s">
        <v>954</v>
      </c>
      <c r="H256" s="4">
        <v>44512</v>
      </c>
      <c r="I256" s="4">
        <v>46097</v>
      </c>
      <c r="J256" s="5" t="s">
        <v>519</v>
      </c>
    </row>
    <row r="257" spans="1:10" x14ac:dyDescent="0.25">
      <c r="A257" s="3">
        <v>68862496</v>
      </c>
      <c r="B257" s="5" t="s">
        <v>127</v>
      </c>
      <c r="C257" s="5" t="s">
        <v>475</v>
      </c>
      <c r="D257" s="5" t="s">
        <v>476</v>
      </c>
      <c r="E257" s="5" t="s">
        <v>477</v>
      </c>
      <c r="F257" s="4">
        <v>45488</v>
      </c>
      <c r="G257" s="5" t="s">
        <v>955</v>
      </c>
      <c r="H257" s="4">
        <v>44512</v>
      </c>
      <c r="I257" s="4">
        <v>46097</v>
      </c>
      <c r="J257" s="5" t="s">
        <v>519</v>
      </c>
    </row>
    <row r="258" spans="1:10" x14ac:dyDescent="0.25">
      <c r="A258" s="3">
        <v>68867756</v>
      </c>
      <c r="B258" s="5" t="s">
        <v>956</v>
      </c>
      <c r="C258" s="5" t="s">
        <v>475</v>
      </c>
      <c r="D258" s="5" t="s">
        <v>476</v>
      </c>
      <c r="E258" s="5" t="s">
        <v>477</v>
      </c>
      <c r="F258" s="4">
        <v>45706</v>
      </c>
      <c r="G258" s="5" t="s">
        <v>957</v>
      </c>
      <c r="H258" s="4">
        <v>44518</v>
      </c>
      <c r="I258" s="4">
        <v>46097</v>
      </c>
      <c r="J258" s="5" t="s">
        <v>519</v>
      </c>
    </row>
    <row r="259" spans="1:10" x14ac:dyDescent="0.25">
      <c r="A259" s="3">
        <v>68881268</v>
      </c>
      <c r="B259" s="5" t="s">
        <v>958</v>
      </c>
      <c r="C259" s="5" t="s">
        <v>475</v>
      </c>
      <c r="D259" s="5" t="s">
        <v>476</v>
      </c>
      <c r="E259" s="5" t="s">
        <v>477</v>
      </c>
      <c r="F259" s="4">
        <v>45078</v>
      </c>
      <c r="G259" s="5" t="s">
        <v>730</v>
      </c>
      <c r="H259" s="4">
        <v>44547</v>
      </c>
      <c r="I259" s="4">
        <v>46023</v>
      </c>
      <c r="J259" s="5" t="s">
        <v>488</v>
      </c>
    </row>
    <row r="260" spans="1:10" x14ac:dyDescent="0.25">
      <c r="A260" s="3">
        <v>68896054</v>
      </c>
      <c r="B260" s="5" t="s">
        <v>24</v>
      </c>
      <c r="C260" s="5" t="s">
        <v>475</v>
      </c>
      <c r="D260" s="5" t="s">
        <v>476</v>
      </c>
      <c r="E260" s="5" t="s">
        <v>477</v>
      </c>
      <c r="F260" s="4">
        <v>44767</v>
      </c>
      <c r="G260" s="5" t="s">
        <v>959</v>
      </c>
      <c r="H260" s="4">
        <v>44594</v>
      </c>
      <c r="I260" s="4">
        <v>46097</v>
      </c>
      <c r="J260" s="5" t="s">
        <v>553</v>
      </c>
    </row>
    <row r="261" spans="1:10" x14ac:dyDescent="0.25">
      <c r="A261" s="3">
        <v>68899821</v>
      </c>
      <c r="B261" s="5" t="s">
        <v>960</v>
      </c>
      <c r="C261" s="5" t="s">
        <v>475</v>
      </c>
      <c r="D261" s="5" t="s">
        <v>476</v>
      </c>
      <c r="E261" s="5" t="s">
        <v>477</v>
      </c>
      <c r="F261" s="4">
        <v>45093</v>
      </c>
      <c r="G261" s="5" t="s">
        <v>961</v>
      </c>
      <c r="H261" s="4">
        <v>44594</v>
      </c>
      <c r="I261" s="4">
        <v>46106</v>
      </c>
      <c r="J261" s="5" t="s">
        <v>659</v>
      </c>
    </row>
    <row r="262" spans="1:10" x14ac:dyDescent="0.25">
      <c r="A262" s="3">
        <v>68899826</v>
      </c>
      <c r="B262" s="5" t="s">
        <v>962</v>
      </c>
      <c r="C262" s="5" t="s">
        <v>475</v>
      </c>
      <c r="D262" s="5" t="s">
        <v>476</v>
      </c>
      <c r="E262" s="5" t="s">
        <v>477</v>
      </c>
      <c r="F262" s="4">
        <v>44795</v>
      </c>
      <c r="G262" s="5" t="s">
        <v>963</v>
      </c>
      <c r="H262" s="4">
        <v>44594</v>
      </c>
      <c r="I262" s="4">
        <v>46071</v>
      </c>
      <c r="J262" s="5" t="s">
        <v>553</v>
      </c>
    </row>
    <row r="263" spans="1:10" x14ac:dyDescent="0.25">
      <c r="A263" s="3">
        <v>68930545</v>
      </c>
      <c r="B263" s="5" t="s">
        <v>134</v>
      </c>
      <c r="C263" s="5" t="s">
        <v>475</v>
      </c>
      <c r="D263" s="5" t="s">
        <v>476</v>
      </c>
      <c r="E263" s="5" t="s">
        <v>477</v>
      </c>
      <c r="F263" s="4">
        <v>44929</v>
      </c>
      <c r="G263" s="5" t="s">
        <v>964</v>
      </c>
      <c r="H263" s="4">
        <v>44622</v>
      </c>
      <c r="I263" s="4">
        <v>46097</v>
      </c>
      <c r="J263" s="5" t="s">
        <v>519</v>
      </c>
    </row>
    <row r="264" spans="1:10" x14ac:dyDescent="0.25">
      <c r="A264" s="3">
        <v>68938272</v>
      </c>
      <c r="B264" s="5" t="s">
        <v>965</v>
      </c>
      <c r="C264" s="5" t="s">
        <v>475</v>
      </c>
      <c r="D264" s="5" t="s">
        <v>476</v>
      </c>
      <c r="E264" s="5" t="s">
        <v>477</v>
      </c>
      <c r="F264" s="4">
        <v>44929</v>
      </c>
      <c r="G264" s="5" t="s">
        <v>966</v>
      </c>
      <c r="H264" s="4">
        <v>44623</v>
      </c>
      <c r="I264" s="4">
        <v>46101</v>
      </c>
      <c r="J264" s="5" t="s">
        <v>519</v>
      </c>
    </row>
    <row r="265" spans="1:10" x14ac:dyDescent="0.25">
      <c r="A265" s="3">
        <v>68940226</v>
      </c>
      <c r="B265" s="5" t="s">
        <v>967</v>
      </c>
      <c r="C265" s="5" t="s">
        <v>475</v>
      </c>
      <c r="D265" s="5" t="s">
        <v>476</v>
      </c>
      <c r="E265" s="5" t="s">
        <v>477</v>
      </c>
      <c r="F265" s="4">
        <v>44802</v>
      </c>
      <c r="G265" s="5" t="s">
        <v>968</v>
      </c>
      <c r="H265" s="4">
        <v>44623</v>
      </c>
      <c r="I265" s="4">
        <v>46064</v>
      </c>
      <c r="J265" s="5" t="s">
        <v>479</v>
      </c>
    </row>
    <row r="266" spans="1:10" x14ac:dyDescent="0.25">
      <c r="A266" s="3">
        <v>69554197</v>
      </c>
      <c r="B266" s="5" t="s">
        <v>65</v>
      </c>
      <c r="C266" s="5" t="s">
        <v>679</v>
      </c>
      <c r="D266" s="5" t="s">
        <v>476</v>
      </c>
      <c r="E266" s="5" t="s">
        <v>477</v>
      </c>
      <c r="F266" s="4">
        <v>45838</v>
      </c>
      <c r="G266" s="5" t="s">
        <v>969</v>
      </c>
      <c r="H266" s="4">
        <v>44631</v>
      </c>
      <c r="I266" s="4">
        <v>46106</v>
      </c>
      <c r="J266" s="5" t="s">
        <v>659</v>
      </c>
    </row>
    <row r="267" spans="1:10" x14ac:dyDescent="0.25">
      <c r="A267" s="3">
        <v>69568829</v>
      </c>
      <c r="B267" s="5" t="s">
        <v>970</v>
      </c>
      <c r="C267" s="5" t="s">
        <v>475</v>
      </c>
      <c r="D267" s="5" t="s">
        <v>476</v>
      </c>
      <c r="E267" s="5" t="s">
        <v>477</v>
      </c>
      <c r="F267" s="4">
        <v>45039</v>
      </c>
      <c r="G267" s="5" t="s">
        <v>971</v>
      </c>
      <c r="H267" s="4">
        <v>44650</v>
      </c>
      <c r="I267" s="4">
        <v>46097</v>
      </c>
      <c r="J267" s="5" t="s">
        <v>519</v>
      </c>
    </row>
    <row r="268" spans="1:10" x14ac:dyDescent="0.25">
      <c r="A268" s="3">
        <v>69690941</v>
      </c>
      <c r="B268" s="5" t="s">
        <v>92</v>
      </c>
      <c r="C268" s="5" t="s">
        <v>475</v>
      </c>
      <c r="D268" s="5" t="s">
        <v>476</v>
      </c>
      <c r="E268" s="5" t="s">
        <v>477</v>
      </c>
      <c r="F268" s="4">
        <v>45750</v>
      </c>
      <c r="G268" s="5" t="s">
        <v>972</v>
      </c>
      <c r="H268" s="4">
        <v>44824</v>
      </c>
      <c r="I268" s="4">
        <v>46064</v>
      </c>
      <c r="J268" s="5" t="s">
        <v>479</v>
      </c>
    </row>
    <row r="269" spans="1:10" x14ac:dyDescent="0.25">
      <c r="A269" s="3">
        <v>69700048</v>
      </c>
      <c r="B269" s="5" t="s">
        <v>104</v>
      </c>
      <c r="C269" s="5" t="s">
        <v>475</v>
      </c>
      <c r="D269" s="5" t="s">
        <v>476</v>
      </c>
      <c r="E269" s="5" t="s">
        <v>477</v>
      </c>
      <c r="F269" s="4">
        <v>45005</v>
      </c>
      <c r="G269" s="5" t="s">
        <v>973</v>
      </c>
      <c r="H269" s="4">
        <v>44832</v>
      </c>
      <c r="I269" s="4">
        <v>46064</v>
      </c>
      <c r="J269" s="5" t="s">
        <v>479</v>
      </c>
    </row>
    <row r="270" spans="1:10" x14ac:dyDescent="0.25">
      <c r="A270" s="3">
        <v>69713153</v>
      </c>
      <c r="B270" s="5" t="s">
        <v>974</v>
      </c>
      <c r="C270" s="5" t="s">
        <v>475</v>
      </c>
      <c r="D270" s="5" t="s">
        <v>476</v>
      </c>
      <c r="E270" s="5" t="s">
        <v>477</v>
      </c>
      <c r="F270" s="4">
        <v>45188</v>
      </c>
      <c r="G270" s="5" t="s">
        <v>975</v>
      </c>
      <c r="H270" s="4">
        <v>44861</v>
      </c>
      <c r="I270" s="4">
        <v>45995</v>
      </c>
      <c r="J270" s="5" t="s">
        <v>546</v>
      </c>
    </row>
    <row r="271" spans="1:10" x14ac:dyDescent="0.25">
      <c r="A271" s="3">
        <v>69717803</v>
      </c>
      <c r="B271" s="5" t="s">
        <v>128</v>
      </c>
      <c r="C271" s="5" t="s">
        <v>475</v>
      </c>
      <c r="D271" s="5" t="s">
        <v>476</v>
      </c>
      <c r="E271" s="5" t="s">
        <v>477</v>
      </c>
      <c r="F271" s="4">
        <v>45065</v>
      </c>
      <c r="G271" s="5" t="s">
        <v>976</v>
      </c>
      <c r="H271" s="4">
        <v>44874</v>
      </c>
      <c r="I271" s="4">
        <v>46055</v>
      </c>
      <c r="J271" s="5" t="s">
        <v>517</v>
      </c>
    </row>
    <row r="272" spans="1:10" x14ac:dyDescent="0.25">
      <c r="A272" s="3">
        <v>69725083</v>
      </c>
      <c r="B272" s="5" t="s">
        <v>195</v>
      </c>
      <c r="C272" s="5" t="s">
        <v>475</v>
      </c>
      <c r="D272" s="5" t="s">
        <v>476</v>
      </c>
      <c r="E272" s="5" t="s">
        <v>477</v>
      </c>
      <c r="F272" s="4">
        <v>45173</v>
      </c>
      <c r="G272" s="5" t="s">
        <v>977</v>
      </c>
      <c r="H272" s="4">
        <v>44875</v>
      </c>
      <c r="I272" s="4">
        <v>46030</v>
      </c>
      <c r="J272" s="5" t="s">
        <v>491</v>
      </c>
    </row>
    <row r="273" spans="1:10" x14ac:dyDescent="0.25">
      <c r="A273" s="3">
        <v>69727314</v>
      </c>
      <c r="B273" s="5" t="s">
        <v>182</v>
      </c>
      <c r="C273" s="5" t="s">
        <v>475</v>
      </c>
      <c r="D273" s="5" t="s">
        <v>476</v>
      </c>
      <c r="E273" s="5" t="s">
        <v>477</v>
      </c>
      <c r="F273" s="4">
        <v>45174</v>
      </c>
      <c r="G273" s="5" t="s">
        <v>978</v>
      </c>
      <c r="H273" s="4">
        <v>44874</v>
      </c>
      <c r="I273" s="4">
        <v>46075</v>
      </c>
      <c r="J273" s="5" t="s">
        <v>553</v>
      </c>
    </row>
    <row r="274" spans="1:10" x14ac:dyDescent="0.25">
      <c r="A274" s="3">
        <v>69797289</v>
      </c>
      <c r="B274" s="5" t="s">
        <v>979</v>
      </c>
      <c r="C274" s="5" t="s">
        <v>475</v>
      </c>
      <c r="D274" s="5" t="s">
        <v>476</v>
      </c>
      <c r="E274" s="5" t="s">
        <v>477</v>
      </c>
      <c r="F274" s="4">
        <v>45292</v>
      </c>
      <c r="G274" s="5" t="s">
        <v>980</v>
      </c>
      <c r="H274" s="4">
        <v>44981</v>
      </c>
      <c r="I274" s="4">
        <v>46064</v>
      </c>
      <c r="J274" s="5" t="s">
        <v>479</v>
      </c>
    </row>
    <row r="275" spans="1:10" x14ac:dyDescent="0.25">
      <c r="A275" s="3">
        <v>69797296</v>
      </c>
      <c r="B275" s="5" t="s">
        <v>981</v>
      </c>
      <c r="C275" s="5" t="s">
        <v>475</v>
      </c>
      <c r="D275" s="5" t="s">
        <v>476</v>
      </c>
      <c r="E275" s="5" t="s">
        <v>477</v>
      </c>
      <c r="F275" s="4">
        <v>45292</v>
      </c>
      <c r="G275" s="5" t="s">
        <v>982</v>
      </c>
      <c r="H275" s="4">
        <v>44981</v>
      </c>
      <c r="I275" s="4">
        <v>46101</v>
      </c>
      <c r="J275" s="5" t="s">
        <v>519</v>
      </c>
    </row>
    <row r="276" spans="1:10" x14ac:dyDescent="0.25">
      <c r="A276" s="3">
        <v>69991961</v>
      </c>
      <c r="B276" s="5" t="s">
        <v>983</v>
      </c>
      <c r="C276" s="5" t="s">
        <v>475</v>
      </c>
      <c r="D276" s="5" t="s">
        <v>476</v>
      </c>
      <c r="E276" s="5" t="s">
        <v>477</v>
      </c>
      <c r="F276" s="4">
        <v>45544</v>
      </c>
      <c r="G276" s="5" t="s">
        <v>984</v>
      </c>
      <c r="H276" s="4">
        <v>45029</v>
      </c>
      <c r="I276" s="4">
        <v>45995</v>
      </c>
      <c r="J276" s="5" t="s">
        <v>546</v>
      </c>
    </row>
    <row r="277" spans="1:10" x14ac:dyDescent="0.25">
      <c r="A277" s="3">
        <v>69997338</v>
      </c>
      <c r="B277" s="5" t="s">
        <v>147</v>
      </c>
      <c r="C277" s="5" t="s">
        <v>475</v>
      </c>
      <c r="D277" s="5" t="s">
        <v>476</v>
      </c>
      <c r="E277" s="5" t="s">
        <v>477</v>
      </c>
      <c r="F277" s="4">
        <v>45376</v>
      </c>
      <c r="G277" s="5" t="s">
        <v>985</v>
      </c>
      <c r="H277" s="4">
        <v>45034</v>
      </c>
      <c r="I277" s="4">
        <v>46064</v>
      </c>
      <c r="J277" s="5" t="s">
        <v>479</v>
      </c>
    </row>
    <row r="278" spans="1:10" x14ac:dyDescent="0.25">
      <c r="A278" s="3">
        <v>69999266</v>
      </c>
      <c r="B278" s="5" t="s">
        <v>145</v>
      </c>
      <c r="C278" s="5" t="s">
        <v>475</v>
      </c>
      <c r="D278" s="5" t="s">
        <v>476</v>
      </c>
      <c r="E278" s="5" t="s">
        <v>477</v>
      </c>
      <c r="F278" s="4">
        <v>45367</v>
      </c>
      <c r="G278" s="5" t="s">
        <v>986</v>
      </c>
      <c r="H278" s="4">
        <v>45036</v>
      </c>
      <c r="I278" s="4">
        <v>46106</v>
      </c>
      <c r="J278" s="5" t="s">
        <v>659</v>
      </c>
    </row>
    <row r="279" spans="1:10" x14ac:dyDescent="0.25">
      <c r="A279" s="3">
        <v>69999268</v>
      </c>
      <c r="B279" s="5" t="s">
        <v>126</v>
      </c>
      <c r="C279" s="5" t="s">
        <v>475</v>
      </c>
      <c r="D279" s="5" t="s">
        <v>476</v>
      </c>
      <c r="E279" s="5" t="s">
        <v>477</v>
      </c>
      <c r="F279" s="4">
        <v>45371</v>
      </c>
      <c r="G279" s="5" t="s">
        <v>987</v>
      </c>
      <c r="H279" s="4">
        <v>45036</v>
      </c>
      <c r="I279" s="4">
        <v>46101</v>
      </c>
      <c r="J279" s="5" t="s">
        <v>519</v>
      </c>
    </row>
    <row r="280" spans="1:10" x14ac:dyDescent="0.25">
      <c r="A280" s="3">
        <v>84135795</v>
      </c>
      <c r="B280" s="5" t="s">
        <v>135</v>
      </c>
      <c r="C280" s="5" t="s">
        <v>475</v>
      </c>
      <c r="D280" s="5" t="s">
        <v>476</v>
      </c>
      <c r="E280" s="5" t="s">
        <v>477</v>
      </c>
      <c r="F280" s="4">
        <v>41743</v>
      </c>
      <c r="G280" s="5" t="s">
        <v>988</v>
      </c>
      <c r="H280" s="4">
        <v>41388</v>
      </c>
      <c r="I280" s="4">
        <v>46064</v>
      </c>
      <c r="J280" s="5" t="s">
        <v>479</v>
      </c>
    </row>
    <row r="281" spans="1:10" x14ac:dyDescent="0.25">
      <c r="A281" s="3">
        <v>84137721</v>
      </c>
      <c r="B281" s="5" t="s">
        <v>989</v>
      </c>
      <c r="C281" s="5" t="s">
        <v>475</v>
      </c>
      <c r="D281" s="5" t="s">
        <v>476</v>
      </c>
      <c r="E281" s="5" t="s">
        <v>477</v>
      </c>
      <c r="F281" s="4">
        <v>41768</v>
      </c>
      <c r="G281" s="5" t="s">
        <v>990</v>
      </c>
      <c r="H281" s="4">
        <v>41480</v>
      </c>
      <c r="I281" s="4">
        <v>46106</v>
      </c>
      <c r="J281" s="5" t="s">
        <v>659</v>
      </c>
    </row>
    <row r="282" spans="1:10" x14ac:dyDescent="0.25">
      <c r="A282" s="3">
        <v>84138347</v>
      </c>
      <c r="B282" s="5" t="s">
        <v>991</v>
      </c>
      <c r="C282" s="5" t="s">
        <v>475</v>
      </c>
      <c r="D282" s="5" t="s">
        <v>476</v>
      </c>
      <c r="E282" s="5" t="s">
        <v>477</v>
      </c>
      <c r="F282" s="4">
        <v>41802</v>
      </c>
      <c r="G282" s="5" t="s">
        <v>992</v>
      </c>
      <c r="H282" s="4">
        <v>41508</v>
      </c>
      <c r="I282" s="4">
        <v>46023</v>
      </c>
      <c r="J282" s="5" t="s">
        <v>488</v>
      </c>
    </row>
    <row r="283" spans="1:10" x14ac:dyDescent="0.25">
      <c r="A283" s="3">
        <v>84138392</v>
      </c>
      <c r="B283" s="5" t="s">
        <v>993</v>
      </c>
      <c r="C283" s="5" t="s">
        <v>475</v>
      </c>
      <c r="D283" s="5" t="s">
        <v>476</v>
      </c>
      <c r="E283" s="5" t="s">
        <v>477</v>
      </c>
      <c r="F283" s="4">
        <v>41774</v>
      </c>
      <c r="G283" s="5" t="s">
        <v>994</v>
      </c>
      <c r="H283" s="4">
        <v>41508</v>
      </c>
      <c r="I283" s="4">
        <v>46101</v>
      </c>
      <c r="J283" s="5" t="s">
        <v>519</v>
      </c>
    </row>
    <row r="284" spans="1:10" x14ac:dyDescent="0.25">
      <c r="A284" s="3">
        <v>84141035</v>
      </c>
      <c r="B284" s="5" t="s">
        <v>995</v>
      </c>
      <c r="C284" s="5" t="s">
        <v>475</v>
      </c>
      <c r="D284" s="5" t="s">
        <v>476</v>
      </c>
      <c r="E284" s="5" t="s">
        <v>477</v>
      </c>
      <c r="F284" s="4">
        <v>41824</v>
      </c>
      <c r="G284" s="5" t="s">
        <v>996</v>
      </c>
      <c r="H284" s="4">
        <v>41596</v>
      </c>
      <c r="I284" s="4">
        <v>46023</v>
      </c>
      <c r="J284" s="5" t="s">
        <v>488</v>
      </c>
    </row>
    <row r="285" spans="1:10" x14ac:dyDescent="0.25">
      <c r="A285" s="3">
        <v>84141418</v>
      </c>
      <c r="B285" s="5" t="s">
        <v>142</v>
      </c>
      <c r="C285" s="5" t="s">
        <v>475</v>
      </c>
      <c r="D285" s="5" t="s">
        <v>476</v>
      </c>
      <c r="E285" s="5" t="s">
        <v>477</v>
      </c>
      <c r="F285" s="4">
        <v>41857</v>
      </c>
      <c r="G285" s="5" t="s">
        <v>997</v>
      </c>
      <c r="H285" s="4">
        <v>41611</v>
      </c>
      <c r="I285" s="4">
        <v>46023</v>
      </c>
      <c r="J285" s="5" t="s">
        <v>488</v>
      </c>
    </row>
    <row r="286" spans="1:10" x14ac:dyDescent="0.25">
      <c r="A286" s="3">
        <v>84149990</v>
      </c>
      <c r="B286" s="5" t="s">
        <v>96</v>
      </c>
      <c r="C286" s="5" t="s">
        <v>475</v>
      </c>
      <c r="D286" s="5" t="s">
        <v>476</v>
      </c>
      <c r="E286" s="5" t="s">
        <v>10</v>
      </c>
      <c r="F286" s="4">
        <v>42354</v>
      </c>
      <c r="G286" s="5" t="s">
        <v>998</v>
      </c>
      <c r="H286" s="4">
        <v>41908</v>
      </c>
      <c r="I286" s="4">
        <v>46061</v>
      </c>
      <c r="J286" s="5" t="s">
        <v>479</v>
      </c>
    </row>
    <row r="287" spans="1:10" x14ac:dyDescent="0.25">
      <c r="A287" s="3">
        <v>84164937</v>
      </c>
      <c r="B287" s="5" t="s">
        <v>148</v>
      </c>
      <c r="C287" s="5" t="s">
        <v>475</v>
      </c>
      <c r="D287" s="5" t="s">
        <v>476</v>
      </c>
      <c r="E287" s="5" t="s">
        <v>477</v>
      </c>
      <c r="F287" s="4">
        <v>42767</v>
      </c>
      <c r="G287" s="5" t="s">
        <v>999</v>
      </c>
      <c r="H287" s="4">
        <v>42380</v>
      </c>
      <c r="I287" s="4">
        <v>46101</v>
      </c>
      <c r="J287" s="5" t="s">
        <v>519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8AC82-C5DC-4A7D-B496-90E2589F8169}">
  <dimension ref="A1:B120"/>
  <sheetViews>
    <sheetView workbookViewId="0">
      <selection activeCell="A167" sqref="A1:A1048576"/>
    </sheetView>
  </sheetViews>
  <sheetFormatPr defaultRowHeight="15" x14ac:dyDescent="0.25"/>
  <sheetData>
    <row r="1" spans="1:2" x14ac:dyDescent="0.25">
      <c r="A1">
        <v>62694914</v>
      </c>
      <c r="B1" t="s">
        <v>90</v>
      </c>
    </row>
    <row r="2" spans="1:2" x14ac:dyDescent="0.25">
      <c r="A2">
        <v>64330596</v>
      </c>
      <c r="B2" t="s">
        <v>55</v>
      </c>
    </row>
    <row r="3" spans="1:2" x14ac:dyDescent="0.25">
      <c r="A3">
        <v>64330611</v>
      </c>
      <c r="B3" t="s">
        <v>85</v>
      </c>
    </row>
    <row r="4" spans="1:2" x14ac:dyDescent="0.25">
      <c r="A4">
        <v>64341106</v>
      </c>
      <c r="B4" t="s">
        <v>42</v>
      </c>
    </row>
    <row r="5" spans="1:2" x14ac:dyDescent="0.25">
      <c r="A5">
        <v>64341962</v>
      </c>
      <c r="B5" t="s">
        <v>69</v>
      </c>
    </row>
    <row r="6" spans="1:2" x14ac:dyDescent="0.25">
      <c r="A6">
        <v>64341967</v>
      </c>
      <c r="B6" t="s">
        <v>115</v>
      </c>
    </row>
    <row r="7" spans="1:2" x14ac:dyDescent="0.25">
      <c r="A7">
        <v>64341968</v>
      </c>
      <c r="B7" t="s">
        <v>132</v>
      </c>
    </row>
    <row r="8" spans="1:2" x14ac:dyDescent="0.25">
      <c r="A8">
        <v>64369043</v>
      </c>
      <c r="B8" t="s">
        <v>101</v>
      </c>
    </row>
    <row r="9" spans="1:2" x14ac:dyDescent="0.25">
      <c r="A9">
        <v>64369046</v>
      </c>
      <c r="B9" t="s">
        <v>88</v>
      </c>
    </row>
    <row r="10" spans="1:2" x14ac:dyDescent="0.25">
      <c r="A10">
        <v>64373718</v>
      </c>
      <c r="B10" t="s">
        <v>95</v>
      </c>
    </row>
    <row r="11" spans="1:2" x14ac:dyDescent="0.25">
      <c r="A11">
        <v>64389650</v>
      </c>
      <c r="B11" t="s">
        <v>111</v>
      </c>
    </row>
    <row r="12" spans="1:2" x14ac:dyDescent="0.25">
      <c r="A12">
        <v>64389651</v>
      </c>
      <c r="B12" t="s">
        <v>70</v>
      </c>
    </row>
    <row r="13" spans="1:2" x14ac:dyDescent="0.25">
      <c r="A13">
        <v>64393719</v>
      </c>
      <c r="B13" t="s">
        <v>100</v>
      </c>
    </row>
    <row r="14" spans="1:2" x14ac:dyDescent="0.25">
      <c r="A14">
        <v>64393722</v>
      </c>
      <c r="B14" t="s">
        <v>60</v>
      </c>
    </row>
    <row r="15" spans="1:2" x14ac:dyDescent="0.25">
      <c r="A15">
        <v>64393723</v>
      </c>
      <c r="B15" t="s">
        <v>97</v>
      </c>
    </row>
    <row r="16" spans="1:2" x14ac:dyDescent="0.25">
      <c r="A16">
        <v>64396550</v>
      </c>
      <c r="B16" t="s">
        <v>67</v>
      </c>
    </row>
    <row r="17" spans="1:2" x14ac:dyDescent="0.25">
      <c r="A17">
        <v>64775327</v>
      </c>
      <c r="B17" t="s">
        <v>63</v>
      </c>
    </row>
    <row r="18" spans="1:2" x14ac:dyDescent="0.25">
      <c r="A18">
        <v>64776954</v>
      </c>
      <c r="B18" t="s">
        <v>75</v>
      </c>
    </row>
    <row r="19" spans="1:2" x14ac:dyDescent="0.25">
      <c r="A19">
        <v>64789261</v>
      </c>
      <c r="B19" t="s">
        <v>137</v>
      </c>
    </row>
    <row r="20" spans="1:2" x14ac:dyDescent="0.25">
      <c r="A20">
        <v>64874633</v>
      </c>
      <c r="B20" t="s">
        <v>105</v>
      </c>
    </row>
    <row r="21" spans="1:2" x14ac:dyDescent="0.25">
      <c r="A21">
        <v>64958122</v>
      </c>
      <c r="B21" t="s">
        <v>94</v>
      </c>
    </row>
    <row r="22" spans="1:2" x14ac:dyDescent="0.25">
      <c r="A22">
        <v>64958125</v>
      </c>
      <c r="B22" t="s">
        <v>32</v>
      </c>
    </row>
    <row r="23" spans="1:2" x14ac:dyDescent="0.25">
      <c r="A23">
        <v>64958127</v>
      </c>
      <c r="B23" t="s">
        <v>159</v>
      </c>
    </row>
    <row r="24" spans="1:2" x14ac:dyDescent="0.25">
      <c r="A24">
        <v>64958128</v>
      </c>
      <c r="B24" t="s">
        <v>64</v>
      </c>
    </row>
    <row r="25" spans="1:2" x14ac:dyDescent="0.25">
      <c r="A25">
        <v>64975616</v>
      </c>
      <c r="B25" t="s">
        <v>91</v>
      </c>
    </row>
    <row r="26" spans="1:2" x14ac:dyDescent="0.25">
      <c r="A26">
        <v>64977526</v>
      </c>
      <c r="B26" t="s">
        <v>107</v>
      </c>
    </row>
    <row r="27" spans="1:2" x14ac:dyDescent="0.25">
      <c r="A27">
        <v>64977530</v>
      </c>
      <c r="B27" t="s">
        <v>93</v>
      </c>
    </row>
    <row r="28" spans="1:2" x14ac:dyDescent="0.25">
      <c r="A28">
        <v>64979407</v>
      </c>
      <c r="B28" t="s">
        <v>36</v>
      </c>
    </row>
    <row r="29" spans="1:2" x14ac:dyDescent="0.25">
      <c r="A29">
        <v>64984153</v>
      </c>
      <c r="B29" t="s">
        <v>161</v>
      </c>
    </row>
    <row r="30" spans="1:2" x14ac:dyDescent="0.25">
      <c r="A30">
        <v>64988055</v>
      </c>
      <c r="B30" t="s">
        <v>138</v>
      </c>
    </row>
    <row r="31" spans="1:2" x14ac:dyDescent="0.25">
      <c r="A31">
        <v>64988056</v>
      </c>
      <c r="B31" t="s">
        <v>20</v>
      </c>
    </row>
    <row r="32" spans="1:2" x14ac:dyDescent="0.25">
      <c r="A32">
        <v>65279190</v>
      </c>
      <c r="B32" t="s">
        <v>119</v>
      </c>
    </row>
    <row r="33" spans="1:2" x14ac:dyDescent="0.25">
      <c r="A33">
        <v>65431089</v>
      </c>
      <c r="B33" t="s">
        <v>139</v>
      </c>
    </row>
    <row r="34" spans="1:2" x14ac:dyDescent="0.25">
      <c r="A34">
        <v>65431090</v>
      </c>
      <c r="B34" t="s">
        <v>146</v>
      </c>
    </row>
    <row r="35" spans="1:2" x14ac:dyDescent="0.25">
      <c r="A35">
        <v>67430513</v>
      </c>
      <c r="B35" t="s">
        <v>81</v>
      </c>
    </row>
    <row r="36" spans="1:2" x14ac:dyDescent="0.25">
      <c r="A36">
        <v>67473913</v>
      </c>
      <c r="B36" t="s">
        <v>112</v>
      </c>
    </row>
    <row r="37" spans="1:2" x14ac:dyDescent="0.25">
      <c r="A37">
        <v>67546032</v>
      </c>
      <c r="B37" t="s">
        <v>155</v>
      </c>
    </row>
    <row r="38" spans="1:2" x14ac:dyDescent="0.25">
      <c r="A38">
        <v>67546042</v>
      </c>
      <c r="B38" t="s">
        <v>160</v>
      </c>
    </row>
    <row r="39" spans="1:2" x14ac:dyDescent="0.25">
      <c r="A39">
        <v>67596354</v>
      </c>
      <c r="B39" t="s">
        <v>156</v>
      </c>
    </row>
    <row r="40" spans="1:2" x14ac:dyDescent="0.25">
      <c r="A40">
        <v>67789314</v>
      </c>
      <c r="B40" t="s">
        <v>118</v>
      </c>
    </row>
    <row r="41" spans="1:2" x14ac:dyDescent="0.25">
      <c r="A41">
        <v>67794167</v>
      </c>
      <c r="B41" t="s">
        <v>121</v>
      </c>
    </row>
    <row r="42" spans="1:2" x14ac:dyDescent="0.25">
      <c r="A42">
        <v>67794169</v>
      </c>
      <c r="B42" t="s">
        <v>123</v>
      </c>
    </row>
    <row r="43" spans="1:2" x14ac:dyDescent="0.25">
      <c r="A43">
        <v>67803006</v>
      </c>
      <c r="B43" t="s">
        <v>120</v>
      </c>
    </row>
    <row r="44" spans="1:2" x14ac:dyDescent="0.25">
      <c r="A44">
        <v>67826412</v>
      </c>
      <c r="B44" t="s">
        <v>83</v>
      </c>
    </row>
    <row r="45" spans="1:2" x14ac:dyDescent="0.25">
      <c r="A45">
        <v>67881628</v>
      </c>
      <c r="B45" t="s">
        <v>124</v>
      </c>
    </row>
    <row r="46" spans="1:2" x14ac:dyDescent="0.25">
      <c r="A46">
        <v>67881629</v>
      </c>
      <c r="B46" t="s">
        <v>113</v>
      </c>
    </row>
    <row r="47" spans="1:2" x14ac:dyDescent="0.25">
      <c r="A47">
        <v>68300738</v>
      </c>
      <c r="B47" t="s">
        <v>103</v>
      </c>
    </row>
    <row r="48" spans="1:2" x14ac:dyDescent="0.25">
      <c r="A48">
        <v>68354586</v>
      </c>
      <c r="B48" t="s">
        <v>133</v>
      </c>
    </row>
    <row r="49" spans="1:2" x14ac:dyDescent="0.25">
      <c r="A49">
        <v>68354588</v>
      </c>
      <c r="B49" t="s">
        <v>122</v>
      </c>
    </row>
    <row r="50" spans="1:2" x14ac:dyDescent="0.25">
      <c r="A50">
        <v>68354590</v>
      </c>
      <c r="B50" t="s">
        <v>149</v>
      </c>
    </row>
    <row r="51" spans="1:2" x14ac:dyDescent="0.25">
      <c r="A51">
        <v>68626039</v>
      </c>
      <c r="B51" t="s">
        <v>110</v>
      </c>
    </row>
    <row r="52" spans="1:2" x14ac:dyDescent="0.25">
      <c r="A52">
        <v>68649095</v>
      </c>
      <c r="B52" t="s">
        <v>45</v>
      </c>
    </row>
    <row r="53" spans="1:2" x14ac:dyDescent="0.25">
      <c r="A53">
        <v>68689251</v>
      </c>
      <c r="B53" t="s">
        <v>14</v>
      </c>
    </row>
    <row r="54" spans="1:2" x14ac:dyDescent="0.25">
      <c r="A54">
        <v>68710285</v>
      </c>
      <c r="B54" t="s">
        <v>136</v>
      </c>
    </row>
    <row r="55" spans="1:2" x14ac:dyDescent="0.25">
      <c r="A55">
        <v>68732322</v>
      </c>
      <c r="B55" t="s">
        <v>89</v>
      </c>
    </row>
    <row r="56" spans="1:2" x14ac:dyDescent="0.25">
      <c r="A56">
        <v>68737750</v>
      </c>
      <c r="B56" t="s">
        <v>34</v>
      </c>
    </row>
    <row r="57" spans="1:2" x14ac:dyDescent="0.25">
      <c r="A57">
        <v>68741714</v>
      </c>
      <c r="B57" t="s">
        <v>47</v>
      </c>
    </row>
    <row r="58" spans="1:2" x14ac:dyDescent="0.25">
      <c r="A58">
        <v>68741742</v>
      </c>
      <c r="B58" t="s">
        <v>40</v>
      </c>
    </row>
    <row r="59" spans="1:2" x14ac:dyDescent="0.25">
      <c r="A59">
        <v>68746232</v>
      </c>
      <c r="B59" t="s">
        <v>51</v>
      </c>
    </row>
    <row r="60" spans="1:2" x14ac:dyDescent="0.25">
      <c r="A60">
        <v>68817793</v>
      </c>
      <c r="B60" t="s">
        <v>131</v>
      </c>
    </row>
    <row r="61" spans="1:2" x14ac:dyDescent="0.25">
      <c r="A61">
        <v>68817795</v>
      </c>
      <c r="B61" t="s">
        <v>125</v>
      </c>
    </row>
    <row r="62" spans="1:2" x14ac:dyDescent="0.25">
      <c r="A62">
        <v>68817796</v>
      </c>
      <c r="B62" t="s">
        <v>7</v>
      </c>
    </row>
    <row r="63" spans="1:2" x14ac:dyDescent="0.25">
      <c r="A63">
        <v>68817801</v>
      </c>
      <c r="B63" t="s">
        <v>102</v>
      </c>
    </row>
    <row r="64" spans="1:2" x14ac:dyDescent="0.25">
      <c r="A64">
        <v>68821734</v>
      </c>
      <c r="B64" t="s">
        <v>144</v>
      </c>
    </row>
    <row r="65" spans="1:2" x14ac:dyDescent="0.25">
      <c r="A65">
        <v>68821735</v>
      </c>
      <c r="B65" t="s">
        <v>84</v>
      </c>
    </row>
    <row r="66" spans="1:2" x14ac:dyDescent="0.25">
      <c r="A66">
        <v>68850683</v>
      </c>
      <c r="B66" t="s">
        <v>87</v>
      </c>
    </row>
    <row r="67" spans="1:2" x14ac:dyDescent="0.25">
      <c r="A67">
        <v>68850684</v>
      </c>
      <c r="B67" t="s">
        <v>151</v>
      </c>
    </row>
    <row r="68" spans="1:2" x14ac:dyDescent="0.25">
      <c r="A68">
        <v>68851104</v>
      </c>
      <c r="B68" t="s">
        <v>16</v>
      </c>
    </row>
    <row r="69" spans="1:2" x14ac:dyDescent="0.25">
      <c r="A69">
        <v>68851106</v>
      </c>
      <c r="B69" t="s">
        <v>129</v>
      </c>
    </row>
    <row r="70" spans="1:2" x14ac:dyDescent="0.25">
      <c r="A70">
        <v>68851107</v>
      </c>
      <c r="B70" t="s">
        <v>11</v>
      </c>
    </row>
    <row r="71" spans="1:2" x14ac:dyDescent="0.25">
      <c r="A71">
        <v>68851108</v>
      </c>
      <c r="B71" t="s">
        <v>74</v>
      </c>
    </row>
    <row r="72" spans="1:2" x14ac:dyDescent="0.25">
      <c r="A72">
        <v>68851109</v>
      </c>
      <c r="B72" t="s">
        <v>22</v>
      </c>
    </row>
    <row r="73" spans="1:2" x14ac:dyDescent="0.25">
      <c r="A73">
        <v>68852591</v>
      </c>
      <c r="B73" t="s">
        <v>68</v>
      </c>
    </row>
    <row r="74" spans="1:2" x14ac:dyDescent="0.25">
      <c r="A74">
        <v>68860059</v>
      </c>
      <c r="B74" t="s">
        <v>99</v>
      </c>
    </row>
    <row r="75" spans="1:2" x14ac:dyDescent="0.25">
      <c r="A75">
        <v>68860659</v>
      </c>
      <c r="B75" t="s">
        <v>158</v>
      </c>
    </row>
    <row r="76" spans="1:2" x14ac:dyDescent="0.25">
      <c r="A76">
        <v>68860662</v>
      </c>
      <c r="B76" t="s">
        <v>153</v>
      </c>
    </row>
    <row r="77" spans="1:2" x14ac:dyDescent="0.25">
      <c r="A77">
        <v>68862392</v>
      </c>
      <c r="B77" t="s">
        <v>77</v>
      </c>
    </row>
    <row r="78" spans="1:2" x14ac:dyDescent="0.25">
      <c r="A78">
        <v>68862496</v>
      </c>
      <c r="B78" t="s">
        <v>127</v>
      </c>
    </row>
    <row r="79" spans="1:2" x14ac:dyDescent="0.25">
      <c r="A79">
        <v>68867744</v>
      </c>
      <c r="B79" t="s">
        <v>80</v>
      </c>
    </row>
    <row r="80" spans="1:2" x14ac:dyDescent="0.25">
      <c r="A80">
        <v>68867755</v>
      </c>
      <c r="B80" t="s">
        <v>28</v>
      </c>
    </row>
    <row r="81" spans="1:2" x14ac:dyDescent="0.25">
      <c r="A81">
        <v>68896054</v>
      </c>
      <c r="B81" t="s">
        <v>24</v>
      </c>
    </row>
    <row r="82" spans="1:2" x14ac:dyDescent="0.25">
      <c r="A82">
        <v>68899825</v>
      </c>
      <c r="B82" t="s">
        <v>157</v>
      </c>
    </row>
    <row r="83" spans="1:2" x14ac:dyDescent="0.25">
      <c r="A83">
        <v>68921994</v>
      </c>
      <c r="B83" t="s">
        <v>18</v>
      </c>
    </row>
    <row r="84" spans="1:2" x14ac:dyDescent="0.25">
      <c r="A84">
        <v>68922108</v>
      </c>
      <c r="B84" t="s">
        <v>26</v>
      </c>
    </row>
    <row r="85" spans="1:2" x14ac:dyDescent="0.25">
      <c r="A85">
        <v>68930545</v>
      </c>
      <c r="B85" t="s">
        <v>134</v>
      </c>
    </row>
    <row r="86" spans="1:2" x14ac:dyDescent="0.25">
      <c r="A86">
        <v>69554197</v>
      </c>
      <c r="B86" t="s">
        <v>65</v>
      </c>
    </row>
    <row r="87" spans="1:2" x14ac:dyDescent="0.25">
      <c r="A87">
        <v>69564623</v>
      </c>
      <c r="B87" t="s">
        <v>150</v>
      </c>
    </row>
    <row r="88" spans="1:2" x14ac:dyDescent="0.25">
      <c r="A88">
        <v>69568828</v>
      </c>
      <c r="B88" t="s">
        <v>98</v>
      </c>
    </row>
    <row r="89" spans="1:2" x14ac:dyDescent="0.25">
      <c r="A89">
        <v>69568962</v>
      </c>
      <c r="B89" t="s">
        <v>44</v>
      </c>
    </row>
    <row r="90" spans="1:2" x14ac:dyDescent="0.25">
      <c r="A90">
        <v>69629468</v>
      </c>
      <c r="B90" t="s">
        <v>38</v>
      </c>
    </row>
    <row r="91" spans="1:2" x14ac:dyDescent="0.25">
      <c r="A91">
        <v>69690941</v>
      </c>
      <c r="B91" t="s">
        <v>92</v>
      </c>
    </row>
    <row r="92" spans="1:2" x14ac:dyDescent="0.25">
      <c r="A92">
        <v>69700048</v>
      </c>
      <c r="B92" t="s">
        <v>104</v>
      </c>
    </row>
    <row r="93" spans="1:2" x14ac:dyDescent="0.25">
      <c r="A93">
        <v>69717801</v>
      </c>
      <c r="B93" t="s">
        <v>62</v>
      </c>
    </row>
    <row r="94" spans="1:2" x14ac:dyDescent="0.25">
      <c r="A94">
        <v>69717802</v>
      </c>
      <c r="B94" t="s">
        <v>66</v>
      </c>
    </row>
    <row r="95" spans="1:2" x14ac:dyDescent="0.25">
      <c r="A95">
        <v>69717803</v>
      </c>
      <c r="B95" t="s">
        <v>128</v>
      </c>
    </row>
    <row r="96" spans="1:2" x14ac:dyDescent="0.25">
      <c r="A96">
        <v>69725082</v>
      </c>
      <c r="B96" t="s">
        <v>71</v>
      </c>
    </row>
    <row r="97" spans="1:2" x14ac:dyDescent="0.25">
      <c r="A97">
        <v>69988931</v>
      </c>
      <c r="B97" t="s">
        <v>140</v>
      </c>
    </row>
    <row r="98" spans="1:2" x14ac:dyDescent="0.25">
      <c r="A98">
        <v>69989759</v>
      </c>
      <c r="B98" t="s">
        <v>130</v>
      </c>
    </row>
    <row r="99" spans="1:2" x14ac:dyDescent="0.25">
      <c r="A99">
        <v>69991925</v>
      </c>
      <c r="B99" t="s">
        <v>143</v>
      </c>
    </row>
    <row r="100" spans="1:2" x14ac:dyDescent="0.25">
      <c r="A100">
        <v>69991979</v>
      </c>
      <c r="B100" t="s">
        <v>109</v>
      </c>
    </row>
    <row r="101" spans="1:2" x14ac:dyDescent="0.25">
      <c r="A101">
        <v>69997338</v>
      </c>
      <c r="B101" t="s">
        <v>147</v>
      </c>
    </row>
    <row r="102" spans="1:2" x14ac:dyDescent="0.25">
      <c r="A102">
        <v>69999266</v>
      </c>
      <c r="B102" t="s">
        <v>145</v>
      </c>
    </row>
    <row r="103" spans="1:2" x14ac:dyDescent="0.25">
      <c r="A103">
        <v>69999267</v>
      </c>
      <c r="B103" t="s">
        <v>117</v>
      </c>
    </row>
    <row r="104" spans="1:2" x14ac:dyDescent="0.25">
      <c r="A104">
        <v>69999268</v>
      </c>
      <c r="B104" t="s">
        <v>126</v>
      </c>
    </row>
    <row r="105" spans="1:2" x14ac:dyDescent="0.25">
      <c r="A105">
        <v>69999269</v>
      </c>
      <c r="B105" t="s">
        <v>82</v>
      </c>
    </row>
    <row r="106" spans="1:2" x14ac:dyDescent="0.25">
      <c r="A106">
        <v>84135718</v>
      </c>
      <c r="B106" t="s">
        <v>114</v>
      </c>
    </row>
    <row r="107" spans="1:2" x14ac:dyDescent="0.25">
      <c r="A107">
        <v>84135781</v>
      </c>
      <c r="B107" t="s">
        <v>57</v>
      </c>
    </row>
    <row r="108" spans="1:2" x14ac:dyDescent="0.25">
      <c r="A108">
        <v>84135795</v>
      </c>
      <c r="B108" t="s">
        <v>135</v>
      </c>
    </row>
    <row r="109" spans="1:2" x14ac:dyDescent="0.25">
      <c r="A109">
        <v>84137725</v>
      </c>
      <c r="B109" t="s">
        <v>30</v>
      </c>
    </row>
    <row r="110" spans="1:2" x14ac:dyDescent="0.25">
      <c r="A110">
        <v>84138391</v>
      </c>
      <c r="B110" t="s">
        <v>108</v>
      </c>
    </row>
    <row r="111" spans="1:2" x14ac:dyDescent="0.25">
      <c r="A111">
        <v>84139000</v>
      </c>
      <c r="B111" t="s">
        <v>152</v>
      </c>
    </row>
    <row r="112" spans="1:2" x14ac:dyDescent="0.25">
      <c r="A112">
        <v>84139971</v>
      </c>
      <c r="B112" t="s">
        <v>162</v>
      </c>
    </row>
    <row r="113" spans="1:2" x14ac:dyDescent="0.25">
      <c r="A113">
        <v>84141094</v>
      </c>
      <c r="B113" t="s">
        <v>141</v>
      </c>
    </row>
    <row r="114" spans="1:2" x14ac:dyDescent="0.25">
      <c r="A114">
        <v>84141102</v>
      </c>
      <c r="B114" t="s">
        <v>154</v>
      </c>
    </row>
    <row r="115" spans="1:2" x14ac:dyDescent="0.25">
      <c r="A115">
        <v>84141103</v>
      </c>
      <c r="B115" t="s">
        <v>86</v>
      </c>
    </row>
    <row r="116" spans="1:2" x14ac:dyDescent="0.25">
      <c r="A116">
        <v>84141418</v>
      </c>
      <c r="B116" t="s">
        <v>142</v>
      </c>
    </row>
    <row r="117" spans="1:2" x14ac:dyDescent="0.25">
      <c r="A117">
        <v>84144598</v>
      </c>
      <c r="B117" t="s">
        <v>53</v>
      </c>
    </row>
    <row r="118" spans="1:2" x14ac:dyDescent="0.25">
      <c r="A118">
        <v>84149990</v>
      </c>
      <c r="B118" t="s">
        <v>96</v>
      </c>
    </row>
    <row r="119" spans="1:2" x14ac:dyDescent="0.25">
      <c r="A119">
        <v>84161610</v>
      </c>
      <c r="B119" t="s">
        <v>78</v>
      </c>
    </row>
    <row r="120" spans="1:2" x14ac:dyDescent="0.25">
      <c r="A120">
        <v>84164937</v>
      </c>
      <c r="B120" t="s">
        <v>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5DE94-D1BE-4256-BDE0-C95530BE4ACE}">
  <dimension ref="A1:C23"/>
  <sheetViews>
    <sheetView tabSelected="1" workbookViewId="0">
      <selection activeCell="D22" sqref="D22"/>
    </sheetView>
  </sheetViews>
  <sheetFormatPr defaultColWidth="29" defaultRowHeight="15" x14ac:dyDescent="0.25"/>
  <cols>
    <col min="1" max="1" width="9.85546875" style="17" bestFit="1" customWidth="1"/>
    <col min="2" max="2" width="28.7109375" bestFit="1" customWidth="1"/>
    <col min="3" max="3" width="3.28515625" bestFit="1" customWidth="1"/>
  </cols>
  <sheetData>
    <row r="1" spans="1:3" ht="15.75" thickBot="1" x14ac:dyDescent="0.3">
      <c r="A1" s="6">
        <v>68214423</v>
      </c>
      <c r="B1" s="7"/>
      <c r="C1" t="s">
        <v>163</v>
      </c>
    </row>
    <row r="2" spans="1:3" ht="15.75" thickBot="1" x14ac:dyDescent="0.3">
      <c r="A2" s="8">
        <v>68214422</v>
      </c>
      <c r="B2" s="9"/>
      <c r="C2" t="s">
        <v>163</v>
      </c>
    </row>
    <row r="3" spans="1:3" ht="15.75" thickBot="1" x14ac:dyDescent="0.3">
      <c r="A3" s="8">
        <v>68401152</v>
      </c>
      <c r="B3" s="9"/>
      <c r="C3" t="s">
        <v>163</v>
      </c>
    </row>
    <row r="4" spans="1:3" ht="15.75" thickBot="1" x14ac:dyDescent="0.3">
      <c r="A4" s="8">
        <v>68214424</v>
      </c>
      <c r="B4" s="9"/>
      <c r="C4" t="s">
        <v>163</v>
      </c>
    </row>
    <row r="5" spans="1:3" ht="15.75" thickBot="1" x14ac:dyDescent="0.3">
      <c r="A5" s="8">
        <v>68401149</v>
      </c>
      <c r="B5" s="9"/>
      <c r="C5" t="s">
        <v>163</v>
      </c>
    </row>
    <row r="6" spans="1:3" ht="15.75" thickBot="1" x14ac:dyDescent="0.3">
      <c r="A6" s="10">
        <v>67270387</v>
      </c>
      <c r="B6" s="9"/>
      <c r="C6" t="s">
        <v>163</v>
      </c>
    </row>
    <row r="7" spans="1:3" ht="15.75" thickBot="1" x14ac:dyDescent="0.3">
      <c r="A7" s="8">
        <v>67270386</v>
      </c>
      <c r="B7" s="9"/>
      <c r="C7" t="s">
        <v>163</v>
      </c>
    </row>
    <row r="8" spans="1:3" ht="15.75" thickBot="1" x14ac:dyDescent="0.3">
      <c r="A8" s="10">
        <v>67270381</v>
      </c>
      <c r="B8" s="9"/>
      <c r="C8" t="s">
        <v>163</v>
      </c>
    </row>
    <row r="9" spans="1:3" ht="15.75" thickBot="1" x14ac:dyDescent="0.3">
      <c r="A9" s="11">
        <v>64380012</v>
      </c>
      <c r="B9" s="12"/>
      <c r="C9" t="s">
        <v>163</v>
      </c>
    </row>
    <row r="10" spans="1:3" ht="15.75" thickBot="1" x14ac:dyDescent="0.3">
      <c r="A10" s="11">
        <v>64380013</v>
      </c>
      <c r="B10" s="12"/>
      <c r="C10" t="s">
        <v>163</v>
      </c>
    </row>
    <row r="11" spans="1:3" ht="15.75" thickBot="1" x14ac:dyDescent="0.3">
      <c r="A11" s="8"/>
      <c r="B11" s="9"/>
      <c r="C11" t="s">
        <v>163</v>
      </c>
    </row>
    <row r="12" spans="1:3" ht="30.75" thickBot="1" x14ac:dyDescent="0.3">
      <c r="A12" s="11">
        <v>69716749</v>
      </c>
      <c r="B12" s="12" t="s">
        <v>164</v>
      </c>
      <c r="C12" t="s">
        <v>163</v>
      </c>
    </row>
    <row r="13" spans="1:3" ht="15.75" thickBot="1" x14ac:dyDescent="0.3">
      <c r="A13" s="11">
        <v>69716745</v>
      </c>
      <c r="B13" s="12" t="s">
        <v>165</v>
      </c>
      <c r="C13" t="s">
        <v>163</v>
      </c>
    </row>
    <row r="14" spans="1:3" ht="15.75" thickBot="1" x14ac:dyDescent="0.3">
      <c r="A14" s="11">
        <v>69716746</v>
      </c>
      <c r="B14" s="12" t="s">
        <v>166</v>
      </c>
      <c r="C14" t="s">
        <v>163</v>
      </c>
    </row>
    <row r="15" spans="1:3" ht="30.75" thickBot="1" x14ac:dyDescent="0.3">
      <c r="A15" s="11">
        <v>69716748</v>
      </c>
      <c r="B15" s="12" t="s">
        <v>167</v>
      </c>
      <c r="C15" t="s">
        <v>163</v>
      </c>
    </row>
    <row r="16" spans="1:3" ht="30.75" thickBot="1" x14ac:dyDescent="0.3">
      <c r="A16" s="11">
        <v>69716747</v>
      </c>
      <c r="B16" s="12" t="s">
        <v>168</v>
      </c>
      <c r="C16" t="s">
        <v>163</v>
      </c>
    </row>
    <row r="17" spans="1:3" ht="30.75" thickBot="1" x14ac:dyDescent="0.3">
      <c r="A17" s="11">
        <v>62754606</v>
      </c>
      <c r="B17" s="12" t="s">
        <v>169</v>
      </c>
      <c r="C17" t="s">
        <v>163</v>
      </c>
    </row>
    <row r="18" spans="1:3" ht="30.75" thickBot="1" x14ac:dyDescent="0.3">
      <c r="A18" s="11">
        <v>62754607</v>
      </c>
      <c r="B18" s="12" t="s">
        <v>170</v>
      </c>
      <c r="C18" t="s">
        <v>163</v>
      </c>
    </row>
    <row r="19" spans="1:3" ht="30.75" thickBot="1" x14ac:dyDescent="0.3">
      <c r="A19" s="13">
        <v>64874631</v>
      </c>
      <c r="B19" s="14" t="s">
        <v>171</v>
      </c>
      <c r="C19" t="s">
        <v>163</v>
      </c>
    </row>
    <row r="20" spans="1:3" ht="30.75" thickBot="1" x14ac:dyDescent="0.3">
      <c r="A20" s="13">
        <v>64874633</v>
      </c>
      <c r="B20" s="14" t="s">
        <v>172</v>
      </c>
      <c r="C20" t="s">
        <v>163</v>
      </c>
    </row>
    <row r="21" spans="1:3" ht="15.75" thickBot="1" x14ac:dyDescent="0.3">
      <c r="A21" s="13">
        <v>64875812</v>
      </c>
      <c r="B21" s="14" t="s">
        <v>173</v>
      </c>
      <c r="C21" t="s">
        <v>163</v>
      </c>
    </row>
    <row r="22" spans="1:3" ht="15.75" thickBot="1" x14ac:dyDescent="0.3">
      <c r="A22" s="11">
        <v>64331551</v>
      </c>
      <c r="B22" s="12"/>
      <c r="C22" t="s">
        <v>163</v>
      </c>
    </row>
    <row r="23" spans="1:3" x14ac:dyDescent="0.25">
      <c r="A23" s="15">
        <v>64874631</v>
      </c>
      <c r="B23" s="16"/>
      <c r="C23" t="s">
        <v>163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D6C7B-3042-499D-A216-000480F6AC23}">
  <dimension ref="A1:K207"/>
  <sheetViews>
    <sheetView workbookViewId="0">
      <selection activeCell="E13" sqref="A12:E13"/>
    </sheetView>
  </sheetViews>
  <sheetFormatPr defaultRowHeight="15" x14ac:dyDescent="0.25"/>
  <cols>
    <col min="1" max="1" width="9" bestFit="1" customWidth="1"/>
    <col min="2" max="2" width="5" bestFit="1" customWidth="1"/>
    <col min="3" max="3" width="21.85546875" bestFit="1" customWidth="1"/>
    <col min="4" max="4" width="18.28515625" bestFit="1" customWidth="1"/>
    <col min="5" max="5" width="42.140625" bestFit="1" customWidth="1"/>
    <col min="6" max="6" width="5" bestFit="1" customWidth="1"/>
    <col min="7" max="7" width="9" bestFit="1" customWidth="1"/>
    <col min="8" max="8" width="36.5703125" bestFit="1" customWidth="1"/>
    <col min="9" max="9" width="14.5703125" bestFit="1" customWidth="1"/>
    <col min="10" max="10" width="36.5703125" bestFit="1" customWidth="1"/>
    <col min="11" max="11" width="11" bestFit="1" customWidth="1"/>
  </cols>
  <sheetData>
    <row r="1" spans="1:11" x14ac:dyDescent="0.25">
      <c r="A1" t="s">
        <v>0</v>
      </c>
      <c r="B1" t="s">
        <v>174</v>
      </c>
      <c r="C1" t="s">
        <v>175</v>
      </c>
      <c r="D1" t="s">
        <v>176</v>
      </c>
      <c r="E1" t="s">
        <v>4</v>
      </c>
      <c r="F1" t="s">
        <v>174</v>
      </c>
      <c r="G1" t="s">
        <v>177</v>
      </c>
      <c r="H1" t="s">
        <v>178</v>
      </c>
      <c r="I1" t="s">
        <v>179</v>
      </c>
      <c r="J1" t="s">
        <v>180</v>
      </c>
      <c r="K1" t="s">
        <v>6</v>
      </c>
    </row>
    <row r="2" spans="1:11" x14ac:dyDescent="0.25">
      <c r="A2">
        <v>62714126</v>
      </c>
      <c r="B2" t="s">
        <v>181</v>
      </c>
      <c r="C2" s="18">
        <v>2600</v>
      </c>
      <c r="D2" s="19">
        <v>46027</v>
      </c>
      <c r="E2" t="s">
        <v>182</v>
      </c>
      <c r="F2">
        <v>1419</v>
      </c>
      <c r="G2" t="s">
        <v>183</v>
      </c>
      <c r="H2" t="s">
        <v>184</v>
      </c>
      <c r="I2" t="s">
        <v>183</v>
      </c>
      <c r="J2" t="s">
        <v>184</v>
      </c>
      <c r="K2" t="s">
        <v>185</v>
      </c>
    </row>
    <row r="3" spans="1:11" x14ac:dyDescent="0.25">
      <c r="A3">
        <v>62714126</v>
      </c>
      <c r="B3" t="s">
        <v>181</v>
      </c>
      <c r="C3" s="18">
        <v>2600</v>
      </c>
      <c r="D3" s="19">
        <v>46028</v>
      </c>
      <c r="E3" t="s">
        <v>182</v>
      </c>
      <c r="F3">
        <v>1419</v>
      </c>
      <c r="G3" t="s">
        <v>183</v>
      </c>
      <c r="H3" t="s">
        <v>184</v>
      </c>
      <c r="I3" t="s">
        <v>183</v>
      </c>
      <c r="J3" t="s">
        <v>184</v>
      </c>
      <c r="K3" t="s">
        <v>186</v>
      </c>
    </row>
    <row r="4" spans="1:11" x14ac:dyDescent="0.25">
      <c r="A4">
        <v>62714126</v>
      </c>
      <c r="B4" t="s">
        <v>181</v>
      </c>
      <c r="C4" s="18">
        <v>2600</v>
      </c>
      <c r="D4" s="19">
        <v>46028</v>
      </c>
      <c r="E4" t="s">
        <v>182</v>
      </c>
      <c r="F4">
        <v>1419</v>
      </c>
      <c r="G4" t="s">
        <v>183</v>
      </c>
      <c r="H4" t="s">
        <v>184</v>
      </c>
      <c r="I4" t="s">
        <v>183</v>
      </c>
      <c r="J4" t="s">
        <v>184</v>
      </c>
      <c r="K4" t="s">
        <v>187</v>
      </c>
    </row>
    <row r="5" spans="1:11" x14ac:dyDescent="0.25">
      <c r="A5">
        <v>62714126</v>
      </c>
      <c r="B5" t="s">
        <v>181</v>
      </c>
      <c r="C5" s="18">
        <v>2600</v>
      </c>
      <c r="D5" s="19">
        <v>46028</v>
      </c>
      <c r="E5" t="s">
        <v>182</v>
      </c>
      <c r="F5">
        <v>1419</v>
      </c>
      <c r="G5" t="s">
        <v>183</v>
      </c>
      <c r="H5" t="s">
        <v>184</v>
      </c>
      <c r="I5" t="s">
        <v>183</v>
      </c>
      <c r="J5" t="s">
        <v>184</v>
      </c>
      <c r="K5" t="s">
        <v>188</v>
      </c>
    </row>
    <row r="6" spans="1:11" x14ac:dyDescent="0.25">
      <c r="A6">
        <v>69665113</v>
      </c>
      <c r="B6" t="s">
        <v>189</v>
      </c>
      <c r="C6" s="18">
        <v>6656</v>
      </c>
      <c r="D6" s="19">
        <v>46028</v>
      </c>
      <c r="E6" t="s">
        <v>190</v>
      </c>
      <c r="F6">
        <v>1419</v>
      </c>
      <c r="G6" t="s">
        <v>191</v>
      </c>
      <c r="H6" t="s">
        <v>192</v>
      </c>
      <c r="I6" t="s">
        <v>191</v>
      </c>
      <c r="J6" t="s">
        <v>192</v>
      </c>
      <c r="K6" t="s">
        <v>193</v>
      </c>
    </row>
    <row r="7" spans="1:11" x14ac:dyDescent="0.25">
      <c r="A7">
        <v>62714126</v>
      </c>
      <c r="B7" t="s">
        <v>181</v>
      </c>
      <c r="C7" s="18">
        <v>2600</v>
      </c>
      <c r="D7" s="19">
        <v>46029</v>
      </c>
      <c r="E7" t="s">
        <v>182</v>
      </c>
      <c r="F7">
        <v>1419</v>
      </c>
      <c r="G7" t="s">
        <v>183</v>
      </c>
      <c r="H7" t="s">
        <v>184</v>
      </c>
      <c r="I7" t="s">
        <v>183</v>
      </c>
      <c r="J7" t="s">
        <v>184</v>
      </c>
      <c r="K7" t="s">
        <v>194</v>
      </c>
    </row>
    <row r="8" spans="1:11" x14ac:dyDescent="0.25">
      <c r="A8">
        <v>64833353</v>
      </c>
      <c r="B8" t="s">
        <v>181</v>
      </c>
      <c r="C8" s="18">
        <v>2600</v>
      </c>
      <c r="D8" s="19">
        <v>46029</v>
      </c>
      <c r="E8" t="s">
        <v>195</v>
      </c>
      <c r="F8">
        <v>1419</v>
      </c>
      <c r="G8" t="s">
        <v>183</v>
      </c>
      <c r="H8" t="s">
        <v>184</v>
      </c>
      <c r="I8" t="s">
        <v>183</v>
      </c>
      <c r="J8" t="s">
        <v>184</v>
      </c>
      <c r="K8" t="s">
        <v>196</v>
      </c>
    </row>
    <row r="9" spans="1:11" x14ac:dyDescent="0.25">
      <c r="A9">
        <v>64833353</v>
      </c>
      <c r="B9" t="s">
        <v>181</v>
      </c>
      <c r="C9" s="18">
        <v>2600</v>
      </c>
      <c r="D9" s="19">
        <v>46029</v>
      </c>
      <c r="E9" t="s">
        <v>195</v>
      </c>
      <c r="F9">
        <v>1419</v>
      </c>
      <c r="G9" t="s">
        <v>183</v>
      </c>
      <c r="H9" t="s">
        <v>184</v>
      </c>
      <c r="I9" t="s">
        <v>183</v>
      </c>
      <c r="J9" t="s">
        <v>184</v>
      </c>
      <c r="K9" t="s">
        <v>197</v>
      </c>
    </row>
    <row r="10" spans="1:11" x14ac:dyDescent="0.25">
      <c r="A10">
        <v>64833353</v>
      </c>
      <c r="B10" t="s">
        <v>181</v>
      </c>
      <c r="C10" s="18">
        <v>2600</v>
      </c>
      <c r="D10" s="19">
        <v>46029</v>
      </c>
      <c r="E10" t="s">
        <v>195</v>
      </c>
      <c r="F10">
        <v>1419</v>
      </c>
      <c r="G10" t="s">
        <v>183</v>
      </c>
      <c r="H10" t="s">
        <v>184</v>
      </c>
      <c r="I10" t="s">
        <v>183</v>
      </c>
      <c r="J10" t="s">
        <v>184</v>
      </c>
      <c r="K10" t="s">
        <v>198</v>
      </c>
    </row>
    <row r="11" spans="1:11" x14ac:dyDescent="0.25">
      <c r="A11">
        <v>64833353</v>
      </c>
      <c r="B11" t="s">
        <v>181</v>
      </c>
      <c r="C11" s="18">
        <v>2600</v>
      </c>
      <c r="D11" s="19">
        <v>46030</v>
      </c>
      <c r="E11" t="s">
        <v>195</v>
      </c>
      <c r="F11">
        <v>1419</v>
      </c>
      <c r="G11" t="s">
        <v>183</v>
      </c>
      <c r="H11" t="s">
        <v>184</v>
      </c>
      <c r="I11" t="s">
        <v>183</v>
      </c>
      <c r="J11" t="s">
        <v>184</v>
      </c>
      <c r="K11" t="s">
        <v>199</v>
      </c>
    </row>
    <row r="12" spans="1:11" x14ac:dyDescent="0.25">
      <c r="A12">
        <v>64833353</v>
      </c>
      <c r="B12" t="s">
        <v>181</v>
      </c>
      <c r="C12" s="18">
        <v>2600</v>
      </c>
      <c r="D12" s="19">
        <v>46030</v>
      </c>
      <c r="E12" t="s">
        <v>195</v>
      </c>
      <c r="F12">
        <v>1419</v>
      </c>
      <c r="G12" t="s">
        <v>183</v>
      </c>
      <c r="H12" t="s">
        <v>184</v>
      </c>
      <c r="I12" t="s">
        <v>183</v>
      </c>
      <c r="J12" t="s">
        <v>184</v>
      </c>
      <c r="K12" t="s">
        <v>200</v>
      </c>
    </row>
    <row r="13" spans="1:11" x14ac:dyDescent="0.25">
      <c r="A13">
        <v>62714126</v>
      </c>
      <c r="B13" t="s">
        <v>181</v>
      </c>
      <c r="C13" s="18">
        <v>2600</v>
      </c>
      <c r="D13" s="19">
        <v>46030</v>
      </c>
      <c r="E13" t="s">
        <v>182</v>
      </c>
      <c r="F13">
        <v>1419</v>
      </c>
      <c r="G13" t="s">
        <v>183</v>
      </c>
      <c r="H13" t="s">
        <v>184</v>
      </c>
      <c r="I13" t="s">
        <v>183</v>
      </c>
      <c r="J13" t="s">
        <v>184</v>
      </c>
      <c r="K13" t="s">
        <v>201</v>
      </c>
    </row>
    <row r="14" spans="1:11" x14ac:dyDescent="0.25">
      <c r="A14">
        <v>62714126</v>
      </c>
      <c r="B14" t="s">
        <v>181</v>
      </c>
      <c r="C14" s="18">
        <v>2600</v>
      </c>
      <c r="D14" s="19">
        <v>46031</v>
      </c>
      <c r="E14" t="s">
        <v>182</v>
      </c>
      <c r="F14">
        <v>1419</v>
      </c>
      <c r="G14" t="s">
        <v>183</v>
      </c>
      <c r="H14" t="s">
        <v>184</v>
      </c>
      <c r="I14" t="s">
        <v>183</v>
      </c>
      <c r="J14" t="s">
        <v>184</v>
      </c>
      <c r="K14" t="s">
        <v>202</v>
      </c>
    </row>
    <row r="15" spans="1:11" x14ac:dyDescent="0.25">
      <c r="A15">
        <v>62714126</v>
      </c>
      <c r="B15" t="s">
        <v>181</v>
      </c>
      <c r="C15" s="18">
        <v>2600</v>
      </c>
      <c r="D15" s="19">
        <v>46031</v>
      </c>
      <c r="E15" t="s">
        <v>182</v>
      </c>
      <c r="F15">
        <v>1419</v>
      </c>
      <c r="G15" t="s">
        <v>183</v>
      </c>
      <c r="H15" t="s">
        <v>184</v>
      </c>
      <c r="I15" t="s">
        <v>183</v>
      </c>
      <c r="J15" t="s">
        <v>184</v>
      </c>
      <c r="K15" t="s">
        <v>203</v>
      </c>
    </row>
    <row r="16" spans="1:11" x14ac:dyDescent="0.25">
      <c r="A16">
        <v>62714126</v>
      </c>
      <c r="B16" t="s">
        <v>181</v>
      </c>
      <c r="C16" s="18">
        <v>2600</v>
      </c>
      <c r="D16" s="19">
        <v>46031</v>
      </c>
      <c r="E16" t="s">
        <v>182</v>
      </c>
      <c r="F16">
        <v>1419</v>
      </c>
      <c r="G16" t="s">
        <v>183</v>
      </c>
      <c r="H16" t="s">
        <v>184</v>
      </c>
      <c r="I16" t="s">
        <v>183</v>
      </c>
      <c r="J16" t="s">
        <v>184</v>
      </c>
      <c r="K16" t="s">
        <v>204</v>
      </c>
    </row>
    <row r="17" spans="1:11" x14ac:dyDescent="0.25">
      <c r="A17">
        <v>69665113</v>
      </c>
      <c r="B17" t="s">
        <v>189</v>
      </c>
      <c r="C17" s="18">
        <v>5120</v>
      </c>
      <c r="D17" s="19">
        <v>46031</v>
      </c>
      <c r="E17" t="s">
        <v>190</v>
      </c>
      <c r="F17">
        <v>1419</v>
      </c>
      <c r="G17" t="s">
        <v>191</v>
      </c>
      <c r="H17" t="s">
        <v>192</v>
      </c>
      <c r="I17" t="s">
        <v>191</v>
      </c>
      <c r="J17" t="s">
        <v>192</v>
      </c>
      <c r="K17" t="s">
        <v>205</v>
      </c>
    </row>
    <row r="18" spans="1:11" x14ac:dyDescent="0.25">
      <c r="A18">
        <v>68264519</v>
      </c>
      <c r="B18" t="s">
        <v>189</v>
      </c>
      <c r="C18" s="18">
        <v>6144</v>
      </c>
      <c r="D18" s="19">
        <v>46031</v>
      </c>
      <c r="E18" t="s">
        <v>206</v>
      </c>
      <c r="F18">
        <v>1419</v>
      </c>
      <c r="G18" t="s">
        <v>191</v>
      </c>
      <c r="H18" t="s">
        <v>192</v>
      </c>
      <c r="I18" t="s">
        <v>191</v>
      </c>
      <c r="J18" t="s">
        <v>192</v>
      </c>
      <c r="K18" t="s">
        <v>205</v>
      </c>
    </row>
    <row r="19" spans="1:11" x14ac:dyDescent="0.25">
      <c r="A19">
        <v>62714126</v>
      </c>
      <c r="B19" t="s">
        <v>181</v>
      </c>
      <c r="C19" s="18">
        <v>2600</v>
      </c>
      <c r="D19" s="19">
        <v>46034</v>
      </c>
      <c r="E19" t="s">
        <v>182</v>
      </c>
      <c r="F19">
        <v>1419</v>
      </c>
      <c r="G19" t="s">
        <v>183</v>
      </c>
      <c r="H19" t="s">
        <v>184</v>
      </c>
      <c r="I19" t="s">
        <v>183</v>
      </c>
      <c r="J19" t="s">
        <v>184</v>
      </c>
      <c r="K19" t="s">
        <v>207</v>
      </c>
    </row>
    <row r="20" spans="1:11" x14ac:dyDescent="0.25">
      <c r="A20">
        <v>62714126</v>
      </c>
      <c r="B20" t="s">
        <v>181</v>
      </c>
      <c r="C20" s="18">
        <v>2600</v>
      </c>
      <c r="D20" s="19">
        <v>46034</v>
      </c>
      <c r="E20" t="s">
        <v>182</v>
      </c>
      <c r="F20">
        <v>1419</v>
      </c>
      <c r="G20" t="s">
        <v>183</v>
      </c>
      <c r="H20" t="s">
        <v>184</v>
      </c>
      <c r="I20" t="s">
        <v>183</v>
      </c>
      <c r="J20" t="s">
        <v>184</v>
      </c>
      <c r="K20" t="s">
        <v>208</v>
      </c>
    </row>
    <row r="21" spans="1:11" x14ac:dyDescent="0.25">
      <c r="A21">
        <v>62714126</v>
      </c>
      <c r="B21" t="s">
        <v>181</v>
      </c>
      <c r="C21" s="18">
        <v>2600</v>
      </c>
      <c r="D21" s="19">
        <v>46034</v>
      </c>
      <c r="E21" t="s">
        <v>182</v>
      </c>
      <c r="F21">
        <v>1419</v>
      </c>
      <c r="G21" t="s">
        <v>183</v>
      </c>
      <c r="H21" t="s">
        <v>184</v>
      </c>
      <c r="I21" t="s">
        <v>183</v>
      </c>
      <c r="J21" t="s">
        <v>184</v>
      </c>
      <c r="K21" t="s">
        <v>209</v>
      </c>
    </row>
    <row r="22" spans="1:11" x14ac:dyDescent="0.25">
      <c r="A22">
        <v>62714126</v>
      </c>
      <c r="B22" t="s">
        <v>181</v>
      </c>
      <c r="C22" s="18">
        <v>2600</v>
      </c>
      <c r="D22" s="19">
        <v>46034</v>
      </c>
      <c r="E22" t="s">
        <v>182</v>
      </c>
      <c r="F22">
        <v>1419</v>
      </c>
      <c r="G22" t="s">
        <v>183</v>
      </c>
      <c r="H22" t="s">
        <v>184</v>
      </c>
      <c r="I22" t="s">
        <v>183</v>
      </c>
      <c r="J22" t="s">
        <v>184</v>
      </c>
      <c r="K22" t="s">
        <v>210</v>
      </c>
    </row>
    <row r="23" spans="1:11" x14ac:dyDescent="0.25">
      <c r="A23">
        <v>62714126</v>
      </c>
      <c r="B23" t="s">
        <v>181</v>
      </c>
      <c r="C23" s="18">
        <v>2600</v>
      </c>
      <c r="D23" s="19">
        <v>46034</v>
      </c>
      <c r="E23" t="s">
        <v>182</v>
      </c>
      <c r="F23">
        <v>1419</v>
      </c>
      <c r="G23" t="s">
        <v>183</v>
      </c>
      <c r="H23" t="s">
        <v>184</v>
      </c>
      <c r="I23" t="s">
        <v>183</v>
      </c>
      <c r="J23" t="s">
        <v>184</v>
      </c>
      <c r="K23" t="s">
        <v>211</v>
      </c>
    </row>
    <row r="24" spans="1:11" x14ac:dyDescent="0.25">
      <c r="A24">
        <v>62714126</v>
      </c>
      <c r="B24" t="s">
        <v>181</v>
      </c>
      <c r="C24" s="18">
        <v>2600</v>
      </c>
      <c r="D24" s="19">
        <v>46034</v>
      </c>
      <c r="E24" t="s">
        <v>182</v>
      </c>
      <c r="F24">
        <v>1419</v>
      </c>
      <c r="G24" t="s">
        <v>183</v>
      </c>
      <c r="H24" t="s">
        <v>184</v>
      </c>
      <c r="I24" t="s">
        <v>183</v>
      </c>
      <c r="J24" t="s">
        <v>184</v>
      </c>
      <c r="K24" t="s">
        <v>212</v>
      </c>
    </row>
    <row r="25" spans="1:11" x14ac:dyDescent="0.25">
      <c r="A25">
        <v>62714126</v>
      </c>
      <c r="B25" t="s">
        <v>181</v>
      </c>
      <c r="C25" s="18">
        <v>2600</v>
      </c>
      <c r="D25" s="19">
        <v>46034</v>
      </c>
      <c r="E25" t="s">
        <v>182</v>
      </c>
      <c r="F25">
        <v>1419</v>
      </c>
      <c r="G25" t="s">
        <v>183</v>
      </c>
      <c r="H25" t="s">
        <v>184</v>
      </c>
      <c r="I25" t="s">
        <v>183</v>
      </c>
      <c r="J25" t="s">
        <v>184</v>
      </c>
      <c r="K25" t="s">
        <v>213</v>
      </c>
    </row>
    <row r="26" spans="1:11" x14ac:dyDescent="0.25">
      <c r="A26">
        <v>64833353</v>
      </c>
      <c r="B26" t="s">
        <v>181</v>
      </c>
      <c r="C26" s="18">
        <v>2600</v>
      </c>
      <c r="D26" s="19">
        <v>46034</v>
      </c>
      <c r="E26" t="s">
        <v>195</v>
      </c>
      <c r="F26">
        <v>1419</v>
      </c>
      <c r="G26" t="s">
        <v>183</v>
      </c>
      <c r="H26" t="s">
        <v>184</v>
      </c>
      <c r="I26" t="s">
        <v>183</v>
      </c>
      <c r="J26" t="s">
        <v>184</v>
      </c>
      <c r="K26" t="s">
        <v>214</v>
      </c>
    </row>
    <row r="27" spans="1:11" x14ac:dyDescent="0.25">
      <c r="A27">
        <v>62714126</v>
      </c>
      <c r="B27" t="s">
        <v>181</v>
      </c>
      <c r="C27" s="18">
        <v>2600</v>
      </c>
      <c r="D27" s="19">
        <v>46035</v>
      </c>
      <c r="E27" t="s">
        <v>182</v>
      </c>
      <c r="F27">
        <v>1419</v>
      </c>
      <c r="G27" t="s">
        <v>183</v>
      </c>
      <c r="H27" t="s">
        <v>184</v>
      </c>
      <c r="I27" t="s">
        <v>183</v>
      </c>
      <c r="J27" t="s">
        <v>184</v>
      </c>
      <c r="K27" t="s">
        <v>215</v>
      </c>
    </row>
    <row r="28" spans="1:11" x14ac:dyDescent="0.25">
      <c r="A28">
        <v>62714126</v>
      </c>
      <c r="B28" t="s">
        <v>181</v>
      </c>
      <c r="C28" s="18">
        <v>2600</v>
      </c>
      <c r="D28" s="19">
        <v>46035</v>
      </c>
      <c r="E28" t="s">
        <v>182</v>
      </c>
      <c r="F28">
        <v>1419</v>
      </c>
      <c r="G28" t="s">
        <v>183</v>
      </c>
      <c r="H28" t="s">
        <v>184</v>
      </c>
      <c r="I28" t="s">
        <v>183</v>
      </c>
      <c r="J28" t="s">
        <v>184</v>
      </c>
      <c r="K28" t="s">
        <v>216</v>
      </c>
    </row>
    <row r="29" spans="1:11" x14ac:dyDescent="0.25">
      <c r="A29">
        <v>62714126</v>
      </c>
      <c r="B29" t="s">
        <v>181</v>
      </c>
      <c r="C29" s="18">
        <v>2600</v>
      </c>
      <c r="D29" s="19">
        <v>46035</v>
      </c>
      <c r="E29" t="s">
        <v>182</v>
      </c>
      <c r="F29">
        <v>1419</v>
      </c>
      <c r="G29" t="s">
        <v>183</v>
      </c>
      <c r="H29" t="s">
        <v>184</v>
      </c>
      <c r="I29" t="s">
        <v>183</v>
      </c>
      <c r="J29" t="s">
        <v>184</v>
      </c>
      <c r="K29" t="s">
        <v>217</v>
      </c>
    </row>
    <row r="30" spans="1:11" x14ac:dyDescent="0.25">
      <c r="A30">
        <v>64833353</v>
      </c>
      <c r="B30" t="s">
        <v>181</v>
      </c>
      <c r="C30" s="18">
        <v>2600</v>
      </c>
      <c r="D30" s="19">
        <v>46035</v>
      </c>
      <c r="E30" t="s">
        <v>195</v>
      </c>
      <c r="F30">
        <v>1419</v>
      </c>
      <c r="G30" t="s">
        <v>183</v>
      </c>
      <c r="H30" t="s">
        <v>184</v>
      </c>
      <c r="I30" t="s">
        <v>183</v>
      </c>
      <c r="J30" t="s">
        <v>184</v>
      </c>
      <c r="K30" t="s">
        <v>218</v>
      </c>
    </row>
    <row r="31" spans="1:11" x14ac:dyDescent="0.25">
      <c r="A31">
        <v>64833353</v>
      </c>
      <c r="B31" t="s">
        <v>181</v>
      </c>
      <c r="C31" s="18">
        <v>2600</v>
      </c>
      <c r="D31" s="19">
        <v>46035</v>
      </c>
      <c r="E31" t="s">
        <v>195</v>
      </c>
      <c r="F31">
        <v>1419</v>
      </c>
      <c r="G31" t="s">
        <v>183</v>
      </c>
      <c r="H31" t="s">
        <v>184</v>
      </c>
      <c r="I31" t="s">
        <v>183</v>
      </c>
      <c r="J31" t="s">
        <v>184</v>
      </c>
      <c r="K31" t="s">
        <v>219</v>
      </c>
    </row>
    <row r="32" spans="1:11" x14ac:dyDescent="0.25">
      <c r="A32">
        <v>64341108</v>
      </c>
      <c r="B32" t="s">
        <v>220</v>
      </c>
      <c r="C32" s="18">
        <v>4200</v>
      </c>
      <c r="D32" s="19">
        <v>46035</v>
      </c>
      <c r="E32" t="s">
        <v>221</v>
      </c>
      <c r="F32">
        <v>1419</v>
      </c>
      <c r="G32" t="s">
        <v>222</v>
      </c>
      <c r="H32" t="s">
        <v>223</v>
      </c>
      <c r="I32" t="s">
        <v>222</v>
      </c>
      <c r="J32" t="s">
        <v>223</v>
      </c>
      <c r="K32" t="s">
        <v>224</v>
      </c>
    </row>
    <row r="33" spans="1:11" x14ac:dyDescent="0.25">
      <c r="A33">
        <v>62714126</v>
      </c>
      <c r="B33" t="s">
        <v>181</v>
      </c>
      <c r="C33" s="18">
        <v>2600</v>
      </c>
      <c r="D33" s="19">
        <v>46036</v>
      </c>
      <c r="E33" t="s">
        <v>182</v>
      </c>
      <c r="F33">
        <v>1419</v>
      </c>
      <c r="G33" t="s">
        <v>183</v>
      </c>
      <c r="H33" t="s">
        <v>184</v>
      </c>
      <c r="I33" t="s">
        <v>183</v>
      </c>
      <c r="J33" t="s">
        <v>184</v>
      </c>
      <c r="K33" t="s">
        <v>225</v>
      </c>
    </row>
    <row r="34" spans="1:11" x14ac:dyDescent="0.25">
      <c r="A34">
        <v>62714126</v>
      </c>
      <c r="B34" t="s">
        <v>181</v>
      </c>
      <c r="C34" s="18">
        <v>2600</v>
      </c>
      <c r="D34" s="19">
        <v>46036</v>
      </c>
      <c r="E34" t="s">
        <v>182</v>
      </c>
      <c r="F34">
        <v>1419</v>
      </c>
      <c r="G34" t="s">
        <v>183</v>
      </c>
      <c r="H34" t="s">
        <v>184</v>
      </c>
      <c r="I34" t="s">
        <v>183</v>
      </c>
      <c r="J34" t="s">
        <v>184</v>
      </c>
      <c r="K34" t="s">
        <v>226</v>
      </c>
    </row>
    <row r="35" spans="1:11" x14ac:dyDescent="0.25">
      <c r="A35">
        <v>62714126</v>
      </c>
      <c r="B35" t="s">
        <v>181</v>
      </c>
      <c r="C35" s="18">
        <v>2600</v>
      </c>
      <c r="D35" s="19">
        <v>46036</v>
      </c>
      <c r="E35" t="s">
        <v>182</v>
      </c>
      <c r="F35">
        <v>1419</v>
      </c>
      <c r="G35" t="s">
        <v>183</v>
      </c>
      <c r="H35" t="s">
        <v>184</v>
      </c>
      <c r="I35" t="s">
        <v>183</v>
      </c>
      <c r="J35" t="s">
        <v>184</v>
      </c>
      <c r="K35" t="s">
        <v>227</v>
      </c>
    </row>
    <row r="36" spans="1:11" x14ac:dyDescent="0.25">
      <c r="A36">
        <v>62714126</v>
      </c>
      <c r="B36" t="s">
        <v>181</v>
      </c>
      <c r="C36" s="18">
        <v>2600</v>
      </c>
      <c r="D36" s="19">
        <v>46036</v>
      </c>
      <c r="E36" t="s">
        <v>182</v>
      </c>
      <c r="F36">
        <v>1419</v>
      </c>
      <c r="G36" t="s">
        <v>183</v>
      </c>
      <c r="H36" t="s">
        <v>184</v>
      </c>
      <c r="I36" t="s">
        <v>183</v>
      </c>
      <c r="J36" t="s">
        <v>184</v>
      </c>
      <c r="K36" t="s">
        <v>228</v>
      </c>
    </row>
    <row r="37" spans="1:11" x14ac:dyDescent="0.25">
      <c r="A37">
        <v>62714126</v>
      </c>
      <c r="B37" t="s">
        <v>181</v>
      </c>
      <c r="C37" s="18">
        <v>2600</v>
      </c>
      <c r="D37" s="19">
        <v>46036</v>
      </c>
      <c r="E37" t="s">
        <v>182</v>
      </c>
      <c r="F37">
        <v>1419</v>
      </c>
      <c r="G37" t="s">
        <v>183</v>
      </c>
      <c r="H37" t="s">
        <v>184</v>
      </c>
      <c r="I37" t="s">
        <v>183</v>
      </c>
      <c r="J37" t="s">
        <v>184</v>
      </c>
      <c r="K37" t="s">
        <v>229</v>
      </c>
    </row>
    <row r="38" spans="1:11" x14ac:dyDescent="0.25">
      <c r="A38">
        <v>64833353</v>
      </c>
      <c r="B38" t="s">
        <v>181</v>
      </c>
      <c r="C38" s="18">
        <v>2600</v>
      </c>
      <c r="D38" s="19">
        <v>46036</v>
      </c>
      <c r="E38" t="s">
        <v>195</v>
      </c>
      <c r="F38">
        <v>1419</v>
      </c>
      <c r="G38" t="s">
        <v>183</v>
      </c>
      <c r="H38" t="s">
        <v>184</v>
      </c>
      <c r="I38" t="s">
        <v>183</v>
      </c>
      <c r="J38" t="s">
        <v>184</v>
      </c>
      <c r="K38" t="s">
        <v>230</v>
      </c>
    </row>
    <row r="39" spans="1:11" x14ac:dyDescent="0.25">
      <c r="A39">
        <v>64833353</v>
      </c>
      <c r="B39" t="s">
        <v>181</v>
      </c>
      <c r="C39" s="18">
        <v>2600</v>
      </c>
      <c r="D39" s="19">
        <v>46036</v>
      </c>
      <c r="E39" t="s">
        <v>195</v>
      </c>
      <c r="F39">
        <v>1419</v>
      </c>
      <c r="G39" t="s">
        <v>183</v>
      </c>
      <c r="H39" t="s">
        <v>184</v>
      </c>
      <c r="I39" t="s">
        <v>183</v>
      </c>
      <c r="J39" t="s">
        <v>184</v>
      </c>
      <c r="K39" t="s">
        <v>231</v>
      </c>
    </row>
    <row r="40" spans="1:11" x14ac:dyDescent="0.25">
      <c r="A40">
        <v>64341108</v>
      </c>
      <c r="B40" t="s">
        <v>220</v>
      </c>
      <c r="C40" s="18">
        <v>4200</v>
      </c>
      <c r="D40" s="19">
        <v>46036</v>
      </c>
      <c r="E40" t="s">
        <v>221</v>
      </c>
      <c r="F40">
        <v>1419</v>
      </c>
      <c r="G40" t="s">
        <v>222</v>
      </c>
      <c r="H40" t="s">
        <v>223</v>
      </c>
      <c r="I40" t="s">
        <v>222</v>
      </c>
      <c r="J40" t="s">
        <v>223</v>
      </c>
      <c r="K40" t="s">
        <v>232</v>
      </c>
    </row>
    <row r="41" spans="1:11" x14ac:dyDescent="0.25">
      <c r="A41">
        <v>62714126</v>
      </c>
      <c r="B41" t="s">
        <v>181</v>
      </c>
      <c r="C41" s="18">
        <v>2600</v>
      </c>
      <c r="D41" s="19">
        <v>46037</v>
      </c>
      <c r="E41" t="s">
        <v>182</v>
      </c>
      <c r="F41">
        <v>1419</v>
      </c>
      <c r="G41" t="s">
        <v>183</v>
      </c>
      <c r="H41" t="s">
        <v>184</v>
      </c>
      <c r="I41" t="s">
        <v>183</v>
      </c>
      <c r="J41" t="s">
        <v>184</v>
      </c>
      <c r="K41" t="s">
        <v>233</v>
      </c>
    </row>
    <row r="42" spans="1:11" x14ac:dyDescent="0.25">
      <c r="A42">
        <v>64341108</v>
      </c>
      <c r="B42" t="s">
        <v>220</v>
      </c>
      <c r="C42" s="18">
        <v>4200</v>
      </c>
      <c r="D42" s="19">
        <v>46037</v>
      </c>
      <c r="E42" t="s">
        <v>221</v>
      </c>
      <c r="F42">
        <v>1419</v>
      </c>
      <c r="G42" t="s">
        <v>222</v>
      </c>
      <c r="H42" t="s">
        <v>223</v>
      </c>
      <c r="I42" t="s">
        <v>222</v>
      </c>
      <c r="J42" t="s">
        <v>223</v>
      </c>
      <c r="K42" t="s">
        <v>234</v>
      </c>
    </row>
    <row r="43" spans="1:11" x14ac:dyDescent="0.25">
      <c r="A43">
        <v>64341108</v>
      </c>
      <c r="B43" t="s">
        <v>220</v>
      </c>
      <c r="C43" s="18">
        <v>4200</v>
      </c>
      <c r="D43" s="19">
        <v>46037</v>
      </c>
      <c r="E43" t="s">
        <v>221</v>
      </c>
      <c r="F43">
        <v>1419</v>
      </c>
      <c r="G43" t="s">
        <v>222</v>
      </c>
      <c r="H43" t="s">
        <v>223</v>
      </c>
      <c r="I43" t="s">
        <v>222</v>
      </c>
      <c r="J43" t="s">
        <v>223</v>
      </c>
      <c r="K43" t="s">
        <v>235</v>
      </c>
    </row>
    <row r="44" spans="1:11" x14ac:dyDescent="0.25">
      <c r="A44">
        <v>64341108</v>
      </c>
      <c r="B44" t="s">
        <v>220</v>
      </c>
      <c r="C44" s="18">
        <v>4200</v>
      </c>
      <c r="D44" s="19">
        <v>46037</v>
      </c>
      <c r="E44" t="s">
        <v>221</v>
      </c>
      <c r="F44">
        <v>1419</v>
      </c>
      <c r="G44" t="s">
        <v>222</v>
      </c>
      <c r="H44" t="s">
        <v>223</v>
      </c>
      <c r="I44" t="s">
        <v>222</v>
      </c>
      <c r="J44" t="s">
        <v>223</v>
      </c>
      <c r="K44" t="s">
        <v>236</v>
      </c>
    </row>
    <row r="45" spans="1:11" x14ac:dyDescent="0.25">
      <c r="A45">
        <v>62714126</v>
      </c>
      <c r="B45" t="s">
        <v>181</v>
      </c>
      <c r="C45" s="18">
        <v>2600</v>
      </c>
      <c r="D45" s="19">
        <v>46038</v>
      </c>
      <c r="E45" t="s">
        <v>182</v>
      </c>
      <c r="F45">
        <v>1419</v>
      </c>
      <c r="G45" t="s">
        <v>183</v>
      </c>
      <c r="H45" t="s">
        <v>184</v>
      </c>
      <c r="I45" t="s">
        <v>183</v>
      </c>
      <c r="J45" t="s">
        <v>184</v>
      </c>
      <c r="K45" t="s">
        <v>237</v>
      </c>
    </row>
    <row r="46" spans="1:11" x14ac:dyDescent="0.25">
      <c r="A46">
        <v>64401837</v>
      </c>
      <c r="B46" t="s">
        <v>220</v>
      </c>
      <c r="C46" s="18">
        <v>3000</v>
      </c>
      <c r="D46" s="19">
        <v>46038</v>
      </c>
      <c r="E46" t="s">
        <v>238</v>
      </c>
      <c r="F46">
        <v>1419</v>
      </c>
      <c r="G46" t="s">
        <v>222</v>
      </c>
      <c r="H46" t="s">
        <v>223</v>
      </c>
      <c r="I46" t="s">
        <v>222</v>
      </c>
      <c r="J46" t="s">
        <v>223</v>
      </c>
      <c r="K46" t="s">
        <v>239</v>
      </c>
    </row>
    <row r="47" spans="1:11" x14ac:dyDescent="0.25">
      <c r="A47">
        <v>68264519</v>
      </c>
      <c r="B47" t="s">
        <v>189</v>
      </c>
      <c r="C47" s="18">
        <v>3072</v>
      </c>
      <c r="D47" s="19">
        <v>46038</v>
      </c>
      <c r="E47" t="s">
        <v>206</v>
      </c>
      <c r="F47">
        <v>1419</v>
      </c>
      <c r="G47" t="s">
        <v>191</v>
      </c>
      <c r="H47" t="s">
        <v>192</v>
      </c>
      <c r="I47" t="s">
        <v>191</v>
      </c>
      <c r="J47" t="s">
        <v>192</v>
      </c>
      <c r="K47" t="s">
        <v>240</v>
      </c>
    </row>
    <row r="48" spans="1:11" x14ac:dyDescent="0.25">
      <c r="A48">
        <v>68654232</v>
      </c>
      <c r="B48" t="s">
        <v>189</v>
      </c>
      <c r="C48" s="18">
        <v>5632</v>
      </c>
      <c r="D48" s="19">
        <v>46038</v>
      </c>
      <c r="E48" t="s">
        <v>241</v>
      </c>
      <c r="F48">
        <v>1419</v>
      </c>
      <c r="G48" t="s">
        <v>191</v>
      </c>
      <c r="H48" t="s">
        <v>192</v>
      </c>
      <c r="I48" t="s">
        <v>191</v>
      </c>
      <c r="J48" t="s">
        <v>192</v>
      </c>
      <c r="K48" t="s">
        <v>240</v>
      </c>
    </row>
    <row r="49" spans="1:11" x14ac:dyDescent="0.25">
      <c r="A49">
        <v>69665114</v>
      </c>
      <c r="B49" t="s">
        <v>189</v>
      </c>
      <c r="C49" s="18">
        <v>7151</v>
      </c>
      <c r="D49" s="19">
        <v>46038</v>
      </c>
      <c r="E49" t="s">
        <v>242</v>
      </c>
      <c r="F49">
        <v>1419</v>
      </c>
      <c r="G49" t="s">
        <v>191</v>
      </c>
      <c r="H49" t="s">
        <v>192</v>
      </c>
      <c r="I49" t="s">
        <v>191</v>
      </c>
      <c r="J49" t="s">
        <v>192</v>
      </c>
      <c r="K49" t="s">
        <v>240</v>
      </c>
    </row>
    <row r="50" spans="1:11" x14ac:dyDescent="0.25">
      <c r="A50">
        <v>69665113</v>
      </c>
      <c r="B50" t="s">
        <v>189</v>
      </c>
      <c r="C50" s="18">
        <v>7936</v>
      </c>
      <c r="D50" s="19">
        <v>46038</v>
      </c>
      <c r="E50" t="s">
        <v>190</v>
      </c>
      <c r="F50">
        <v>1419</v>
      </c>
      <c r="G50" t="s">
        <v>191</v>
      </c>
      <c r="H50" t="s">
        <v>192</v>
      </c>
      <c r="I50" t="s">
        <v>191</v>
      </c>
      <c r="J50" t="s">
        <v>192</v>
      </c>
      <c r="K50" t="s">
        <v>240</v>
      </c>
    </row>
    <row r="51" spans="1:11" x14ac:dyDescent="0.25">
      <c r="A51">
        <v>64833353</v>
      </c>
      <c r="B51" t="s">
        <v>181</v>
      </c>
      <c r="C51" s="18">
        <v>2600</v>
      </c>
      <c r="D51" s="19">
        <v>46040</v>
      </c>
      <c r="E51" t="s">
        <v>195</v>
      </c>
      <c r="F51">
        <v>1419</v>
      </c>
      <c r="G51" t="s">
        <v>183</v>
      </c>
      <c r="H51" t="s">
        <v>184</v>
      </c>
      <c r="I51" t="s">
        <v>183</v>
      </c>
      <c r="J51" t="s">
        <v>184</v>
      </c>
      <c r="K51" t="s">
        <v>243</v>
      </c>
    </row>
    <row r="52" spans="1:11" x14ac:dyDescent="0.25">
      <c r="A52">
        <v>62714126</v>
      </c>
      <c r="B52" t="s">
        <v>181</v>
      </c>
      <c r="C52" s="18">
        <v>2600</v>
      </c>
      <c r="D52" s="19">
        <v>46041</v>
      </c>
      <c r="E52" t="s">
        <v>182</v>
      </c>
      <c r="F52">
        <v>1419</v>
      </c>
      <c r="G52" t="s">
        <v>183</v>
      </c>
      <c r="H52" t="s">
        <v>184</v>
      </c>
      <c r="I52" t="s">
        <v>183</v>
      </c>
      <c r="J52" t="s">
        <v>184</v>
      </c>
      <c r="K52" t="s">
        <v>244</v>
      </c>
    </row>
    <row r="53" spans="1:11" x14ac:dyDescent="0.25">
      <c r="A53">
        <v>64833353</v>
      </c>
      <c r="B53" t="s">
        <v>181</v>
      </c>
      <c r="C53" s="18">
        <v>2600</v>
      </c>
      <c r="D53" s="19">
        <v>46041</v>
      </c>
      <c r="E53" t="s">
        <v>195</v>
      </c>
      <c r="F53">
        <v>1419</v>
      </c>
      <c r="G53" t="s">
        <v>183</v>
      </c>
      <c r="H53" t="s">
        <v>184</v>
      </c>
      <c r="I53" t="s">
        <v>183</v>
      </c>
      <c r="J53" t="s">
        <v>184</v>
      </c>
      <c r="K53" t="s">
        <v>245</v>
      </c>
    </row>
    <row r="54" spans="1:11" x14ac:dyDescent="0.25">
      <c r="A54">
        <v>64833353</v>
      </c>
      <c r="B54" t="s">
        <v>181</v>
      </c>
      <c r="C54" s="18">
        <v>2600</v>
      </c>
      <c r="D54" s="19">
        <v>46041</v>
      </c>
      <c r="E54" t="s">
        <v>195</v>
      </c>
      <c r="F54">
        <v>1419</v>
      </c>
      <c r="G54" t="s">
        <v>183</v>
      </c>
      <c r="H54" t="s">
        <v>184</v>
      </c>
      <c r="I54" t="s">
        <v>183</v>
      </c>
      <c r="J54" t="s">
        <v>184</v>
      </c>
      <c r="K54" t="s">
        <v>246</v>
      </c>
    </row>
    <row r="55" spans="1:11" x14ac:dyDescent="0.25">
      <c r="A55">
        <v>64365613</v>
      </c>
      <c r="B55" t="s">
        <v>220</v>
      </c>
      <c r="C55" s="18">
        <v>3900</v>
      </c>
      <c r="D55" s="19">
        <v>46041</v>
      </c>
      <c r="E55" t="s">
        <v>247</v>
      </c>
      <c r="F55">
        <v>1419</v>
      </c>
      <c r="G55" t="s">
        <v>222</v>
      </c>
      <c r="H55" t="s">
        <v>223</v>
      </c>
      <c r="I55" t="s">
        <v>222</v>
      </c>
      <c r="J55" t="s">
        <v>223</v>
      </c>
      <c r="K55" t="s">
        <v>248</v>
      </c>
    </row>
    <row r="56" spans="1:11" x14ac:dyDescent="0.25">
      <c r="A56">
        <v>64365613</v>
      </c>
      <c r="B56" t="s">
        <v>220</v>
      </c>
      <c r="C56" s="18">
        <v>3900</v>
      </c>
      <c r="D56" s="19">
        <v>46041</v>
      </c>
      <c r="E56" t="s">
        <v>247</v>
      </c>
      <c r="F56">
        <v>1419</v>
      </c>
      <c r="G56" t="s">
        <v>222</v>
      </c>
      <c r="H56" t="s">
        <v>223</v>
      </c>
      <c r="I56" t="s">
        <v>222</v>
      </c>
      <c r="J56" t="s">
        <v>223</v>
      </c>
      <c r="K56" t="s">
        <v>249</v>
      </c>
    </row>
    <row r="57" spans="1:11" x14ac:dyDescent="0.25">
      <c r="A57">
        <v>64365613</v>
      </c>
      <c r="B57" t="s">
        <v>220</v>
      </c>
      <c r="C57" s="18">
        <v>3900</v>
      </c>
      <c r="D57" s="19">
        <v>46041</v>
      </c>
      <c r="E57" t="s">
        <v>247</v>
      </c>
      <c r="F57">
        <v>1419</v>
      </c>
      <c r="G57" t="s">
        <v>222</v>
      </c>
      <c r="H57" t="s">
        <v>223</v>
      </c>
      <c r="I57" t="s">
        <v>222</v>
      </c>
      <c r="J57" t="s">
        <v>223</v>
      </c>
      <c r="K57" t="s">
        <v>250</v>
      </c>
    </row>
    <row r="58" spans="1:11" x14ac:dyDescent="0.25">
      <c r="A58">
        <v>64365613</v>
      </c>
      <c r="B58" t="s">
        <v>220</v>
      </c>
      <c r="C58" s="18">
        <v>3900</v>
      </c>
      <c r="D58" s="19">
        <v>46041</v>
      </c>
      <c r="E58" t="s">
        <v>247</v>
      </c>
      <c r="F58">
        <v>1419</v>
      </c>
      <c r="G58" t="s">
        <v>222</v>
      </c>
      <c r="H58" t="s">
        <v>223</v>
      </c>
      <c r="I58" t="s">
        <v>222</v>
      </c>
      <c r="J58" t="s">
        <v>223</v>
      </c>
      <c r="K58" t="s">
        <v>251</v>
      </c>
    </row>
    <row r="59" spans="1:11" x14ac:dyDescent="0.25">
      <c r="A59">
        <v>64401837</v>
      </c>
      <c r="B59" t="s">
        <v>220</v>
      </c>
      <c r="C59" s="18">
        <v>3000</v>
      </c>
      <c r="D59" s="19">
        <v>46042</v>
      </c>
      <c r="E59" t="s">
        <v>238</v>
      </c>
      <c r="F59">
        <v>1419</v>
      </c>
      <c r="G59" t="s">
        <v>222</v>
      </c>
      <c r="H59" t="s">
        <v>223</v>
      </c>
      <c r="I59" t="s">
        <v>222</v>
      </c>
      <c r="J59" t="s">
        <v>223</v>
      </c>
      <c r="K59" t="s">
        <v>252</v>
      </c>
    </row>
    <row r="60" spans="1:11" x14ac:dyDescent="0.25">
      <c r="A60">
        <v>64401837</v>
      </c>
      <c r="B60" t="s">
        <v>220</v>
      </c>
      <c r="C60" s="18">
        <v>3000</v>
      </c>
      <c r="D60" s="19">
        <v>46042</v>
      </c>
      <c r="E60" t="s">
        <v>238</v>
      </c>
      <c r="F60">
        <v>1419</v>
      </c>
      <c r="G60" t="s">
        <v>222</v>
      </c>
      <c r="H60" t="s">
        <v>223</v>
      </c>
      <c r="I60" t="s">
        <v>222</v>
      </c>
      <c r="J60" t="s">
        <v>223</v>
      </c>
      <c r="K60" t="s">
        <v>253</v>
      </c>
    </row>
    <row r="61" spans="1:11" x14ac:dyDescent="0.25">
      <c r="A61">
        <v>64401837</v>
      </c>
      <c r="B61" t="s">
        <v>220</v>
      </c>
      <c r="C61" s="18">
        <v>3000</v>
      </c>
      <c r="D61" s="19">
        <v>46042</v>
      </c>
      <c r="E61" t="s">
        <v>238</v>
      </c>
      <c r="F61">
        <v>1419</v>
      </c>
      <c r="G61" t="s">
        <v>222</v>
      </c>
      <c r="H61" t="s">
        <v>223</v>
      </c>
      <c r="I61" t="s">
        <v>222</v>
      </c>
      <c r="J61" t="s">
        <v>223</v>
      </c>
      <c r="K61" t="s">
        <v>254</v>
      </c>
    </row>
    <row r="62" spans="1:11" x14ac:dyDescent="0.25">
      <c r="A62">
        <v>64401837</v>
      </c>
      <c r="B62" t="s">
        <v>220</v>
      </c>
      <c r="C62" s="18">
        <v>3000</v>
      </c>
      <c r="D62" s="19">
        <v>46042</v>
      </c>
      <c r="E62" t="s">
        <v>238</v>
      </c>
      <c r="F62">
        <v>1419</v>
      </c>
      <c r="G62" t="s">
        <v>222</v>
      </c>
      <c r="H62" t="s">
        <v>223</v>
      </c>
      <c r="I62" t="s">
        <v>222</v>
      </c>
      <c r="J62" t="s">
        <v>223</v>
      </c>
      <c r="K62" t="s">
        <v>255</v>
      </c>
    </row>
    <row r="63" spans="1:11" x14ac:dyDescent="0.25">
      <c r="A63">
        <v>64341108</v>
      </c>
      <c r="B63" t="s">
        <v>220</v>
      </c>
      <c r="C63" s="18">
        <v>4200</v>
      </c>
      <c r="D63" s="19">
        <v>46042</v>
      </c>
      <c r="E63" t="s">
        <v>221</v>
      </c>
      <c r="F63">
        <v>1419</v>
      </c>
      <c r="G63" t="s">
        <v>222</v>
      </c>
      <c r="H63" t="s">
        <v>223</v>
      </c>
      <c r="I63" t="s">
        <v>222</v>
      </c>
      <c r="J63" t="s">
        <v>223</v>
      </c>
      <c r="K63" t="s">
        <v>256</v>
      </c>
    </row>
    <row r="64" spans="1:11" x14ac:dyDescent="0.25">
      <c r="A64">
        <v>64341108</v>
      </c>
      <c r="B64" t="s">
        <v>220</v>
      </c>
      <c r="C64" s="18">
        <v>4200</v>
      </c>
      <c r="D64" s="19">
        <v>46042</v>
      </c>
      <c r="E64" t="s">
        <v>221</v>
      </c>
      <c r="F64">
        <v>1419</v>
      </c>
      <c r="G64" t="s">
        <v>222</v>
      </c>
      <c r="H64" t="s">
        <v>223</v>
      </c>
      <c r="I64" t="s">
        <v>222</v>
      </c>
      <c r="J64" t="s">
        <v>223</v>
      </c>
      <c r="K64" t="s">
        <v>257</v>
      </c>
    </row>
    <row r="65" spans="1:11" x14ac:dyDescent="0.25">
      <c r="A65">
        <v>64341108</v>
      </c>
      <c r="B65" t="s">
        <v>220</v>
      </c>
      <c r="C65" s="18">
        <v>4200</v>
      </c>
      <c r="D65" s="19">
        <v>46042</v>
      </c>
      <c r="E65" t="s">
        <v>221</v>
      </c>
      <c r="F65">
        <v>1419</v>
      </c>
      <c r="G65" t="s">
        <v>222</v>
      </c>
      <c r="H65" t="s">
        <v>223</v>
      </c>
      <c r="I65" t="s">
        <v>222</v>
      </c>
      <c r="J65" t="s">
        <v>223</v>
      </c>
      <c r="K65" t="s">
        <v>258</v>
      </c>
    </row>
    <row r="66" spans="1:11" x14ac:dyDescent="0.25">
      <c r="A66">
        <v>62714126</v>
      </c>
      <c r="B66" t="s">
        <v>181</v>
      </c>
      <c r="C66" s="18">
        <v>2600</v>
      </c>
      <c r="D66" s="19">
        <v>46043</v>
      </c>
      <c r="E66" t="s">
        <v>182</v>
      </c>
      <c r="F66">
        <v>1419</v>
      </c>
      <c r="G66" t="s">
        <v>183</v>
      </c>
      <c r="H66" t="s">
        <v>184</v>
      </c>
      <c r="I66" t="s">
        <v>183</v>
      </c>
      <c r="J66" t="s">
        <v>184</v>
      </c>
      <c r="K66" t="s">
        <v>259</v>
      </c>
    </row>
    <row r="67" spans="1:11" x14ac:dyDescent="0.25">
      <c r="A67">
        <v>62714126</v>
      </c>
      <c r="B67" t="s">
        <v>181</v>
      </c>
      <c r="C67" s="18">
        <v>2600</v>
      </c>
      <c r="D67" s="19">
        <v>46043</v>
      </c>
      <c r="E67" t="s">
        <v>182</v>
      </c>
      <c r="F67">
        <v>1419</v>
      </c>
      <c r="G67" t="s">
        <v>183</v>
      </c>
      <c r="H67" t="s">
        <v>184</v>
      </c>
      <c r="I67" t="s">
        <v>183</v>
      </c>
      <c r="J67" t="s">
        <v>184</v>
      </c>
      <c r="K67" t="s">
        <v>260</v>
      </c>
    </row>
    <row r="68" spans="1:11" x14ac:dyDescent="0.25">
      <c r="A68">
        <v>62714126</v>
      </c>
      <c r="B68" t="s">
        <v>181</v>
      </c>
      <c r="C68" s="18">
        <v>2600</v>
      </c>
      <c r="D68" s="19">
        <v>46043</v>
      </c>
      <c r="E68" t="s">
        <v>182</v>
      </c>
      <c r="F68">
        <v>1419</v>
      </c>
      <c r="G68" t="s">
        <v>183</v>
      </c>
      <c r="H68" t="s">
        <v>184</v>
      </c>
      <c r="I68" t="s">
        <v>183</v>
      </c>
      <c r="J68" t="s">
        <v>184</v>
      </c>
      <c r="K68" t="s">
        <v>261</v>
      </c>
    </row>
    <row r="69" spans="1:11" x14ac:dyDescent="0.25">
      <c r="A69">
        <v>64771676</v>
      </c>
      <c r="B69" t="s">
        <v>220</v>
      </c>
      <c r="C69" s="18">
        <v>3900</v>
      </c>
      <c r="D69" s="19">
        <v>46043</v>
      </c>
      <c r="E69" t="s">
        <v>262</v>
      </c>
      <c r="F69">
        <v>1419</v>
      </c>
      <c r="G69" t="s">
        <v>222</v>
      </c>
      <c r="H69" t="s">
        <v>223</v>
      </c>
      <c r="I69" t="s">
        <v>222</v>
      </c>
      <c r="J69" t="s">
        <v>223</v>
      </c>
      <c r="K69" t="s">
        <v>263</v>
      </c>
    </row>
    <row r="70" spans="1:11" x14ac:dyDescent="0.25">
      <c r="A70">
        <v>64771676</v>
      </c>
      <c r="B70" t="s">
        <v>220</v>
      </c>
      <c r="C70" s="18">
        <v>3900</v>
      </c>
      <c r="D70" s="19">
        <v>46043</v>
      </c>
      <c r="E70" t="s">
        <v>262</v>
      </c>
      <c r="F70">
        <v>1419</v>
      </c>
      <c r="G70" t="s">
        <v>222</v>
      </c>
      <c r="H70" t="s">
        <v>223</v>
      </c>
      <c r="I70" t="s">
        <v>222</v>
      </c>
      <c r="J70" t="s">
        <v>223</v>
      </c>
      <c r="K70" t="s">
        <v>264</v>
      </c>
    </row>
    <row r="71" spans="1:11" x14ac:dyDescent="0.25">
      <c r="A71">
        <v>64771676</v>
      </c>
      <c r="B71" t="s">
        <v>220</v>
      </c>
      <c r="C71" s="18">
        <v>3900</v>
      </c>
      <c r="D71" s="19">
        <v>46043</v>
      </c>
      <c r="E71" t="s">
        <v>262</v>
      </c>
      <c r="F71">
        <v>1419</v>
      </c>
      <c r="G71" t="s">
        <v>222</v>
      </c>
      <c r="H71" t="s">
        <v>223</v>
      </c>
      <c r="I71" t="s">
        <v>222</v>
      </c>
      <c r="J71" t="s">
        <v>223</v>
      </c>
      <c r="K71" t="s">
        <v>265</v>
      </c>
    </row>
    <row r="72" spans="1:11" x14ac:dyDescent="0.25">
      <c r="A72">
        <v>64771676</v>
      </c>
      <c r="B72" t="s">
        <v>220</v>
      </c>
      <c r="C72" s="18">
        <v>3900</v>
      </c>
      <c r="D72" s="19">
        <v>46043</v>
      </c>
      <c r="E72" t="s">
        <v>262</v>
      </c>
      <c r="F72">
        <v>1419</v>
      </c>
      <c r="G72" t="s">
        <v>222</v>
      </c>
      <c r="H72" t="s">
        <v>223</v>
      </c>
      <c r="I72" t="s">
        <v>222</v>
      </c>
      <c r="J72" t="s">
        <v>223</v>
      </c>
      <c r="K72" t="s">
        <v>266</v>
      </c>
    </row>
    <row r="73" spans="1:11" x14ac:dyDescent="0.25">
      <c r="A73">
        <v>62714126</v>
      </c>
      <c r="B73" t="s">
        <v>181</v>
      </c>
      <c r="C73" s="18">
        <v>2600</v>
      </c>
      <c r="D73" s="19">
        <v>46044</v>
      </c>
      <c r="E73" t="s">
        <v>182</v>
      </c>
      <c r="F73">
        <v>1419</v>
      </c>
      <c r="G73" t="s">
        <v>183</v>
      </c>
      <c r="H73" t="s">
        <v>184</v>
      </c>
      <c r="I73" t="s">
        <v>183</v>
      </c>
      <c r="J73" t="s">
        <v>184</v>
      </c>
      <c r="K73" t="s">
        <v>267</v>
      </c>
    </row>
    <row r="74" spans="1:11" x14ac:dyDescent="0.25">
      <c r="A74">
        <v>62714126</v>
      </c>
      <c r="B74" t="s">
        <v>181</v>
      </c>
      <c r="C74" s="18">
        <v>2600</v>
      </c>
      <c r="D74" s="19">
        <v>46044</v>
      </c>
      <c r="E74" t="s">
        <v>182</v>
      </c>
      <c r="F74">
        <v>1419</v>
      </c>
      <c r="G74" t="s">
        <v>183</v>
      </c>
      <c r="H74" t="s">
        <v>184</v>
      </c>
      <c r="I74" t="s">
        <v>183</v>
      </c>
      <c r="J74" t="s">
        <v>184</v>
      </c>
      <c r="K74" t="s">
        <v>268</v>
      </c>
    </row>
    <row r="75" spans="1:11" x14ac:dyDescent="0.25">
      <c r="A75">
        <v>64771676</v>
      </c>
      <c r="B75" t="s">
        <v>220</v>
      </c>
      <c r="C75" s="18">
        <v>3900</v>
      </c>
      <c r="D75" s="19">
        <v>46044</v>
      </c>
      <c r="E75" t="s">
        <v>262</v>
      </c>
      <c r="F75">
        <v>1419</v>
      </c>
      <c r="G75" t="s">
        <v>222</v>
      </c>
      <c r="H75" t="s">
        <v>223</v>
      </c>
      <c r="I75" t="s">
        <v>222</v>
      </c>
      <c r="J75" t="s">
        <v>223</v>
      </c>
      <c r="K75" t="s">
        <v>269</v>
      </c>
    </row>
    <row r="76" spans="1:11" x14ac:dyDescent="0.25">
      <c r="A76">
        <v>68264519</v>
      </c>
      <c r="B76" t="s">
        <v>189</v>
      </c>
      <c r="C76" s="18">
        <v>3328</v>
      </c>
      <c r="D76" s="19">
        <v>46045</v>
      </c>
      <c r="E76" t="s">
        <v>206</v>
      </c>
      <c r="F76">
        <v>1419</v>
      </c>
      <c r="G76" t="s">
        <v>191</v>
      </c>
      <c r="H76" t="s">
        <v>192</v>
      </c>
      <c r="I76" t="s">
        <v>191</v>
      </c>
      <c r="J76" t="s">
        <v>192</v>
      </c>
      <c r="K76" t="s">
        <v>270</v>
      </c>
    </row>
    <row r="77" spans="1:11" x14ac:dyDescent="0.25">
      <c r="A77">
        <v>64365613</v>
      </c>
      <c r="B77" t="s">
        <v>220</v>
      </c>
      <c r="C77" s="18">
        <v>3900</v>
      </c>
      <c r="D77" s="19">
        <v>46045</v>
      </c>
      <c r="E77" t="s">
        <v>247</v>
      </c>
      <c r="F77">
        <v>1419</v>
      </c>
      <c r="G77" t="s">
        <v>222</v>
      </c>
      <c r="H77" t="s">
        <v>223</v>
      </c>
      <c r="I77" t="s">
        <v>222</v>
      </c>
      <c r="J77" t="s">
        <v>223</v>
      </c>
      <c r="K77" t="s">
        <v>271</v>
      </c>
    </row>
    <row r="78" spans="1:11" x14ac:dyDescent="0.25">
      <c r="A78">
        <v>64341108</v>
      </c>
      <c r="B78" t="s">
        <v>220</v>
      </c>
      <c r="C78" s="18">
        <v>4200</v>
      </c>
      <c r="D78" s="19">
        <v>46045</v>
      </c>
      <c r="E78" t="s">
        <v>221</v>
      </c>
      <c r="F78">
        <v>1419</v>
      </c>
      <c r="G78" t="s">
        <v>222</v>
      </c>
      <c r="H78" t="s">
        <v>223</v>
      </c>
      <c r="I78" t="s">
        <v>222</v>
      </c>
      <c r="J78" t="s">
        <v>223</v>
      </c>
      <c r="K78" t="s">
        <v>272</v>
      </c>
    </row>
    <row r="79" spans="1:11" x14ac:dyDescent="0.25">
      <c r="A79">
        <v>64341108</v>
      </c>
      <c r="B79" t="s">
        <v>220</v>
      </c>
      <c r="C79" s="18">
        <v>4200</v>
      </c>
      <c r="D79" s="19">
        <v>46045</v>
      </c>
      <c r="E79" t="s">
        <v>221</v>
      </c>
      <c r="F79">
        <v>1419</v>
      </c>
      <c r="G79" t="s">
        <v>222</v>
      </c>
      <c r="H79" t="s">
        <v>223</v>
      </c>
      <c r="I79" t="s">
        <v>222</v>
      </c>
      <c r="J79" t="s">
        <v>223</v>
      </c>
      <c r="K79" t="s">
        <v>273</v>
      </c>
    </row>
    <row r="80" spans="1:11" x14ac:dyDescent="0.25">
      <c r="A80">
        <v>69665113</v>
      </c>
      <c r="B80" t="s">
        <v>189</v>
      </c>
      <c r="C80" s="18">
        <v>8704</v>
      </c>
      <c r="D80" s="19">
        <v>46045</v>
      </c>
      <c r="E80" t="s">
        <v>190</v>
      </c>
      <c r="F80">
        <v>1419</v>
      </c>
      <c r="G80" t="s">
        <v>191</v>
      </c>
      <c r="H80" t="s">
        <v>192</v>
      </c>
      <c r="I80" t="s">
        <v>191</v>
      </c>
      <c r="J80" t="s">
        <v>192</v>
      </c>
      <c r="K80" t="s">
        <v>270</v>
      </c>
    </row>
    <row r="81" spans="1:11" x14ac:dyDescent="0.25">
      <c r="A81">
        <v>64771676</v>
      </c>
      <c r="B81" t="s">
        <v>220</v>
      </c>
      <c r="C81" s="18">
        <v>3900</v>
      </c>
      <c r="D81" s="19">
        <v>46048</v>
      </c>
      <c r="E81" t="s">
        <v>262</v>
      </c>
      <c r="F81">
        <v>1419</v>
      </c>
      <c r="G81" t="s">
        <v>222</v>
      </c>
      <c r="H81" t="s">
        <v>223</v>
      </c>
      <c r="I81" t="s">
        <v>222</v>
      </c>
      <c r="J81" t="s">
        <v>223</v>
      </c>
      <c r="K81" t="s">
        <v>274</v>
      </c>
    </row>
    <row r="82" spans="1:11" x14ac:dyDescent="0.25">
      <c r="A82">
        <v>64341108</v>
      </c>
      <c r="B82" t="s">
        <v>220</v>
      </c>
      <c r="C82" s="18">
        <v>4200</v>
      </c>
      <c r="D82" s="19">
        <v>46048</v>
      </c>
      <c r="E82" t="s">
        <v>221</v>
      </c>
      <c r="F82">
        <v>1419</v>
      </c>
      <c r="G82" t="s">
        <v>222</v>
      </c>
      <c r="H82" t="s">
        <v>223</v>
      </c>
      <c r="I82" t="s">
        <v>222</v>
      </c>
      <c r="J82" t="s">
        <v>223</v>
      </c>
      <c r="K82" t="s">
        <v>275</v>
      </c>
    </row>
    <row r="83" spans="1:11" x14ac:dyDescent="0.25">
      <c r="A83">
        <v>64341109</v>
      </c>
      <c r="B83" t="s">
        <v>220</v>
      </c>
      <c r="C83" s="18">
        <v>4200</v>
      </c>
      <c r="D83" s="19">
        <v>46048</v>
      </c>
      <c r="E83" t="s">
        <v>276</v>
      </c>
      <c r="F83">
        <v>1419</v>
      </c>
      <c r="G83" t="s">
        <v>222</v>
      </c>
      <c r="H83" t="s">
        <v>223</v>
      </c>
      <c r="I83" t="s">
        <v>222</v>
      </c>
      <c r="J83" t="s">
        <v>223</v>
      </c>
      <c r="K83" t="s">
        <v>277</v>
      </c>
    </row>
    <row r="84" spans="1:11" x14ac:dyDescent="0.25">
      <c r="A84">
        <v>64341109</v>
      </c>
      <c r="B84" t="s">
        <v>220</v>
      </c>
      <c r="C84" s="18">
        <v>4200</v>
      </c>
      <c r="D84" s="19">
        <v>46048</v>
      </c>
      <c r="E84" t="s">
        <v>276</v>
      </c>
      <c r="F84">
        <v>1419</v>
      </c>
      <c r="G84" t="s">
        <v>222</v>
      </c>
      <c r="H84" t="s">
        <v>223</v>
      </c>
      <c r="I84" t="s">
        <v>222</v>
      </c>
      <c r="J84" t="s">
        <v>223</v>
      </c>
      <c r="K84" t="s">
        <v>278</v>
      </c>
    </row>
    <row r="85" spans="1:11" x14ac:dyDescent="0.25">
      <c r="A85">
        <v>64341108</v>
      </c>
      <c r="B85" t="s">
        <v>220</v>
      </c>
      <c r="C85" s="18">
        <v>4200</v>
      </c>
      <c r="D85" s="19">
        <v>46049</v>
      </c>
      <c r="E85" t="s">
        <v>221</v>
      </c>
      <c r="F85">
        <v>1419</v>
      </c>
      <c r="G85" t="s">
        <v>222</v>
      </c>
      <c r="H85" t="s">
        <v>223</v>
      </c>
      <c r="I85" t="s">
        <v>222</v>
      </c>
      <c r="J85" t="s">
        <v>223</v>
      </c>
      <c r="K85" t="s">
        <v>279</v>
      </c>
    </row>
    <row r="86" spans="1:11" x14ac:dyDescent="0.25">
      <c r="A86">
        <v>64341108</v>
      </c>
      <c r="B86" t="s">
        <v>220</v>
      </c>
      <c r="C86" s="18">
        <v>4200</v>
      </c>
      <c r="D86" s="19">
        <v>46049</v>
      </c>
      <c r="E86" t="s">
        <v>221</v>
      </c>
      <c r="F86">
        <v>1419</v>
      </c>
      <c r="G86" t="s">
        <v>222</v>
      </c>
      <c r="H86" t="s">
        <v>223</v>
      </c>
      <c r="I86" t="s">
        <v>222</v>
      </c>
      <c r="J86" t="s">
        <v>223</v>
      </c>
      <c r="K86" t="s">
        <v>280</v>
      </c>
    </row>
    <row r="87" spans="1:11" x14ac:dyDescent="0.25">
      <c r="A87">
        <v>64771676</v>
      </c>
      <c r="B87" t="s">
        <v>220</v>
      </c>
      <c r="C87" s="18">
        <v>3900</v>
      </c>
      <c r="D87" s="19">
        <v>46050</v>
      </c>
      <c r="E87" t="s">
        <v>262</v>
      </c>
      <c r="F87">
        <v>1419</v>
      </c>
      <c r="G87" t="s">
        <v>222</v>
      </c>
      <c r="H87" t="s">
        <v>223</v>
      </c>
      <c r="I87" t="s">
        <v>222</v>
      </c>
      <c r="J87" t="s">
        <v>223</v>
      </c>
      <c r="K87" t="s">
        <v>281</v>
      </c>
    </row>
    <row r="88" spans="1:11" x14ac:dyDescent="0.25">
      <c r="A88">
        <v>64341108</v>
      </c>
      <c r="B88" t="s">
        <v>220</v>
      </c>
      <c r="C88" s="18">
        <v>4200</v>
      </c>
      <c r="D88" s="19">
        <v>46050</v>
      </c>
      <c r="E88" t="s">
        <v>221</v>
      </c>
      <c r="F88">
        <v>1419</v>
      </c>
      <c r="G88" t="s">
        <v>222</v>
      </c>
      <c r="H88" t="s">
        <v>223</v>
      </c>
      <c r="I88" t="s">
        <v>222</v>
      </c>
      <c r="J88" t="s">
        <v>223</v>
      </c>
      <c r="K88" t="s">
        <v>282</v>
      </c>
    </row>
    <row r="89" spans="1:11" x14ac:dyDescent="0.25">
      <c r="A89">
        <v>64978550</v>
      </c>
      <c r="B89">
        <v>1712</v>
      </c>
      <c r="C89" s="18">
        <v>11440</v>
      </c>
      <c r="D89" s="19">
        <v>46031</v>
      </c>
      <c r="E89" t="s">
        <v>283</v>
      </c>
      <c r="F89">
        <v>1712</v>
      </c>
      <c r="G89" t="s">
        <v>284</v>
      </c>
      <c r="H89" t="s">
        <v>285</v>
      </c>
      <c r="I89" t="s">
        <v>284</v>
      </c>
      <c r="J89" t="s">
        <v>285</v>
      </c>
      <c r="K89" t="s">
        <v>286</v>
      </c>
    </row>
    <row r="90" spans="1:11" x14ac:dyDescent="0.25">
      <c r="A90">
        <v>64413478</v>
      </c>
      <c r="B90">
        <v>1712</v>
      </c>
      <c r="C90" s="18">
        <v>19956</v>
      </c>
      <c r="D90" s="19">
        <v>46031</v>
      </c>
      <c r="E90" t="s">
        <v>287</v>
      </c>
      <c r="F90">
        <v>1712</v>
      </c>
      <c r="G90" t="s">
        <v>284</v>
      </c>
      <c r="H90" t="s">
        <v>285</v>
      </c>
      <c r="I90" t="s">
        <v>284</v>
      </c>
      <c r="J90" t="s">
        <v>285</v>
      </c>
      <c r="K90" t="s">
        <v>288</v>
      </c>
    </row>
    <row r="91" spans="1:11" x14ac:dyDescent="0.25">
      <c r="A91">
        <v>64804361</v>
      </c>
      <c r="B91">
        <v>1712</v>
      </c>
      <c r="C91">
        <v>697</v>
      </c>
      <c r="D91" s="19">
        <v>46034</v>
      </c>
      <c r="E91" t="s">
        <v>289</v>
      </c>
      <c r="F91">
        <v>1712</v>
      </c>
      <c r="G91" t="s">
        <v>284</v>
      </c>
      <c r="H91" t="s">
        <v>285</v>
      </c>
      <c r="I91" t="s">
        <v>284</v>
      </c>
      <c r="J91" t="s">
        <v>285</v>
      </c>
      <c r="K91" t="s">
        <v>290</v>
      </c>
    </row>
    <row r="92" spans="1:11" x14ac:dyDescent="0.25">
      <c r="A92">
        <v>64804365</v>
      </c>
      <c r="B92">
        <v>1712</v>
      </c>
      <c r="C92" s="18">
        <v>4981</v>
      </c>
      <c r="D92" s="19">
        <v>46038</v>
      </c>
      <c r="E92" t="s">
        <v>291</v>
      </c>
      <c r="F92">
        <v>1712</v>
      </c>
      <c r="G92" t="s">
        <v>284</v>
      </c>
      <c r="H92" t="s">
        <v>285</v>
      </c>
      <c r="I92" t="s">
        <v>284</v>
      </c>
      <c r="J92" t="s">
        <v>285</v>
      </c>
      <c r="K92" t="s">
        <v>292</v>
      </c>
    </row>
    <row r="93" spans="1:11" x14ac:dyDescent="0.25">
      <c r="A93">
        <v>64875812</v>
      </c>
      <c r="B93">
        <v>1712</v>
      </c>
      <c r="C93" s="18">
        <v>9353</v>
      </c>
      <c r="D93" s="19">
        <v>46038</v>
      </c>
      <c r="E93" t="s">
        <v>293</v>
      </c>
      <c r="F93">
        <v>1712</v>
      </c>
      <c r="G93" t="s">
        <v>284</v>
      </c>
      <c r="H93" t="s">
        <v>285</v>
      </c>
      <c r="I93" t="s">
        <v>284</v>
      </c>
      <c r="J93" t="s">
        <v>285</v>
      </c>
      <c r="K93" t="s">
        <v>294</v>
      </c>
    </row>
    <row r="94" spans="1:11" x14ac:dyDescent="0.25">
      <c r="A94">
        <v>64874636</v>
      </c>
      <c r="B94">
        <v>1712</v>
      </c>
      <c r="C94" s="18">
        <v>14731</v>
      </c>
      <c r="D94" s="19">
        <v>46038</v>
      </c>
      <c r="E94" t="s">
        <v>295</v>
      </c>
      <c r="F94">
        <v>1712</v>
      </c>
      <c r="G94" t="s">
        <v>284</v>
      </c>
      <c r="H94" t="s">
        <v>285</v>
      </c>
      <c r="I94" t="s">
        <v>284</v>
      </c>
      <c r="J94" t="s">
        <v>285</v>
      </c>
      <c r="K94" t="s">
        <v>296</v>
      </c>
    </row>
    <row r="95" spans="1:11" x14ac:dyDescent="0.25">
      <c r="A95">
        <v>64376316</v>
      </c>
      <c r="B95">
        <v>1712</v>
      </c>
      <c r="C95" s="18">
        <v>119771</v>
      </c>
      <c r="D95" s="19">
        <v>46038</v>
      </c>
      <c r="E95" t="s">
        <v>297</v>
      </c>
      <c r="F95">
        <v>1712</v>
      </c>
      <c r="G95" t="s">
        <v>284</v>
      </c>
      <c r="H95" t="s">
        <v>285</v>
      </c>
      <c r="I95" t="s">
        <v>284</v>
      </c>
      <c r="J95" t="s">
        <v>285</v>
      </c>
      <c r="K95" t="s">
        <v>298</v>
      </c>
    </row>
    <row r="96" spans="1:11" x14ac:dyDescent="0.25">
      <c r="A96">
        <v>64328806</v>
      </c>
      <c r="B96">
        <v>1712</v>
      </c>
      <c r="C96" s="18">
        <v>33867</v>
      </c>
      <c r="D96" s="19">
        <v>46041</v>
      </c>
      <c r="E96" t="s">
        <v>299</v>
      </c>
      <c r="F96">
        <v>1712</v>
      </c>
      <c r="G96" t="s">
        <v>284</v>
      </c>
      <c r="H96" t="s">
        <v>285</v>
      </c>
      <c r="I96" t="s">
        <v>284</v>
      </c>
      <c r="J96" t="s">
        <v>285</v>
      </c>
      <c r="K96" t="s">
        <v>300</v>
      </c>
    </row>
    <row r="97" spans="1:11" x14ac:dyDescent="0.25">
      <c r="A97">
        <v>64413476</v>
      </c>
      <c r="B97">
        <v>1712</v>
      </c>
      <c r="C97" s="18">
        <v>33517</v>
      </c>
      <c r="D97" s="19">
        <v>46044</v>
      </c>
      <c r="E97" t="s">
        <v>301</v>
      </c>
      <c r="F97">
        <v>1712</v>
      </c>
      <c r="G97" t="s">
        <v>284</v>
      </c>
      <c r="H97" t="s">
        <v>285</v>
      </c>
      <c r="I97" t="s">
        <v>284</v>
      </c>
      <c r="J97" t="s">
        <v>285</v>
      </c>
      <c r="K97" t="s">
        <v>302</v>
      </c>
    </row>
    <row r="98" spans="1:11" x14ac:dyDescent="0.25">
      <c r="A98">
        <v>64326407</v>
      </c>
      <c r="B98">
        <v>1713</v>
      </c>
      <c r="C98">
        <v>99</v>
      </c>
      <c r="D98" s="19">
        <v>46042</v>
      </c>
      <c r="E98" t="s">
        <v>303</v>
      </c>
      <c r="F98">
        <v>1713</v>
      </c>
      <c r="G98" t="s">
        <v>304</v>
      </c>
      <c r="H98" t="s">
        <v>305</v>
      </c>
      <c r="I98" t="s">
        <v>304</v>
      </c>
      <c r="J98" t="s">
        <v>305</v>
      </c>
      <c r="K98" t="s">
        <v>306</v>
      </c>
    </row>
    <row r="99" spans="1:11" x14ac:dyDescent="0.25">
      <c r="A99">
        <v>64976848</v>
      </c>
      <c r="B99">
        <v>1715</v>
      </c>
      <c r="C99" s="18">
        <v>15119</v>
      </c>
      <c r="D99" s="19">
        <v>46024</v>
      </c>
      <c r="E99" t="s">
        <v>307</v>
      </c>
      <c r="F99">
        <v>1715</v>
      </c>
      <c r="G99" t="s">
        <v>308</v>
      </c>
      <c r="H99" t="s">
        <v>309</v>
      </c>
      <c r="I99" t="s">
        <v>308</v>
      </c>
      <c r="J99" t="s">
        <v>309</v>
      </c>
      <c r="K99" t="s">
        <v>310</v>
      </c>
    </row>
    <row r="100" spans="1:11" x14ac:dyDescent="0.25">
      <c r="A100">
        <v>64958122</v>
      </c>
      <c r="B100">
        <v>1715</v>
      </c>
      <c r="C100" s="18">
        <v>4950</v>
      </c>
      <c r="D100" s="19">
        <v>46029</v>
      </c>
      <c r="E100" t="s">
        <v>94</v>
      </c>
      <c r="F100">
        <v>1715</v>
      </c>
      <c r="G100" t="s">
        <v>308</v>
      </c>
      <c r="H100" t="s">
        <v>309</v>
      </c>
      <c r="I100" t="s">
        <v>308</v>
      </c>
      <c r="J100" t="s">
        <v>309</v>
      </c>
      <c r="K100" t="s">
        <v>311</v>
      </c>
    </row>
    <row r="101" spans="1:11" x14ac:dyDescent="0.25">
      <c r="A101">
        <v>64976837</v>
      </c>
      <c r="B101">
        <v>1715</v>
      </c>
      <c r="C101" s="18">
        <v>20968</v>
      </c>
      <c r="D101" s="19">
        <v>46034</v>
      </c>
      <c r="E101" t="s">
        <v>312</v>
      </c>
      <c r="F101">
        <v>1715</v>
      </c>
      <c r="G101" t="s">
        <v>308</v>
      </c>
      <c r="H101" t="s">
        <v>309</v>
      </c>
      <c r="I101" t="s">
        <v>308</v>
      </c>
      <c r="J101" t="s">
        <v>309</v>
      </c>
      <c r="K101" t="s">
        <v>313</v>
      </c>
    </row>
    <row r="102" spans="1:11" x14ac:dyDescent="0.25">
      <c r="A102">
        <v>64955559</v>
      </c>
      <c r="B102">
        <v>1715</v>
      </c>
      <c r="C102" s="18">
        <v>38030</v>
      </c>
      <c r="D102" s="19">
        <v>46034</v>
      </c>
      <c r="E102" t="s">
        <v>314</v>
      </c>
      <c r="F102">
        <v>1715</v>
      </c>
      <c r="G102" t="s">
        <v>308</v>
      </c>
      <c r="H102" t="s">
        <v>309</v>
      </c>
      <c r="I102" t="s">
        <v>308</v>
      </c>
      <c r="J102" t="s">
        <v>309</v>
      </c>
      <c r="K102" t="s">
        <v>315</v>
      </c>
    </row>
    <row r="103" spans="1:11" x14ac:dyDescent="0.25">
      <c r="A103">
        <v>64976837</v>
      </c>
      <c r="B103">
        <v>1715</v>
      </c>
      <c r="C103" s="18">
        <v>23811</v>
      </c>
      <c r="D103" s="19">
        <v>46036</v>
      </c>
      <c r="E103" t="s">
        <v>312</v>
      </c>
      <c r="F103">
        <v>1715</v>
      </c>
      <c r="G103" t="s">
        <v>308</v>
      </c>
      <c r="H103" t="s">
        <v>309</v>
      </c>
      <c r="I103" t="s">
        <v>308</v>
      </c>
      <c r="J103" t="s">
        <v>309</v>
      </c>
      <c r="K103" t="s">
        <v>316</v>
      </c>
    </row>
    <row r="104" spans="1:11" x14ac:dyDescent="0.25">
      <c r="A104">
        <v>64976847</v>
      </c>
      <c r="B104">
        <v>1715</v>
      </c>
      <c r="C104" s="18">
        <v>22860</v>
      </c>
      <c r="D104" s="19">
        <v>46038</v>
      </c>
      <c r="E104" t="s">
        <v>317</v>
      </c>
      <c r="F104">
        <v>1715</v>
      </c>
      <c r="G104" t="s">
        <v>308</v>
      </c>
      <c r="H104" t="s">
        <v>309</v>
      </c>
      <c r="I104" t="s">
        <v>308</v>
      </c>
      <c r="J104" t="s">
        <v>309</v>
      </c>
      <c r="K104" t="s">
        <v>318</v>
      </c>
    </row>
    <row r="105" spans="1:11" x14ac:dyDescent="0.25">
      <c r="A105">
        <v>64976848</v>
      </c>
      <c r="B105">
        <v>1715</v>
      </c>
      <c r="C105" s="18">
        <v>24714</v>
      </c>
      <c r="D105" s="19">
        <v>46042</v>
      </c>
      <c r="E105" t="s">
        <v>307</v>
      </c>
      <c r="F105">
        <v>1715</v>
      </c>
      <c r="G105" t="s">
        <v>308</v>
      </c>
      <c r="H105" t="s">
        <v>309</v>
      </c>
      <c r="I105" t="s">
        <v>308</v>
      </c>
      <c r="J105" t="s">
        <v>309</v>
      </c>
      <c r="K105" t="s">
        <v>319</v>
      </c>
    </row>
    <row r="106" spans="1:11" x14ac:dyDescent="0.25">
      <c r="A106">
        <v>64958129</v>
      </c>
      <c r="B106">
        <v>1715</v>
      </c>
      <c r="C106" s="18">
        <v>8856</v>
      </c>
      <c r="D106" s="19">
        <v>46048</v>
      </c>
      <c r="E106" t="s">
        <v>320</v>
      </c>
      <c r="F106">
        <v>1715</v>
      </c>
      <c r="G106" t="s">
        <v>308</v>
      </c>
      <c r="H106" t="s">
        <v>309</v>
      </c>
      <c r="I106" t="s">
        <v>308</v>
      </c>
      <c r="J106" t="s">
        <v>309</v>
      </c>
      <c r="K106" t="s">
        <v>321</v>
      </c>
    </row>
    <row r="107" spans="1:11" x14ac:dyDescent="0.25">
      <c r="A107">
        <v>64975613</v>
      </c>
      <c r="B107">
        <v>1716</v>
      </c>
      <c r="C107" s="18">
        <v>26481</v>
      </c>
      <c r="D107" s="19">
        <v>46027</v>
      </c>
      <c r="E107" t="s">
        <v>322</v>
      </c>
      <c r="F107">
        <v>1716</v>
      </c>
      <c r="G107" t="s">
        <v>323</v>
      </c>
      <c r="H107" t="s">
        <v>324</v>
      </c>
      <c r="I107" t="s">
        <v>323</v>
      </c>
      <c r="J107" t="s">
        <v>324</v>
      </c>
      <c r="K107" t="s">
        <v>325</v>
      </c>
    </row>
    <row r="108" spans="1:11" x14ac:dyDescent="0.25">
      <c r="A108">
        <v>64999073</v>
      </c>
      <c r="B108">
        <v>1716</v>
      </c>
      <c r="C108" s="18">
        <v>25814</v>
      </c>
      <c r="D108" s="19">
        <v>46029</v>
      </c>
      <c r="E108" t="s">
        <v>326</v>
      </c>
      <c r="F108">
        <v>1716</v>
      </c>
      <c r="G108" t="s">
        <v>323</v>
      </c>
      <c r="H108" t="s">
        <v>324</v>
      </c>
      <c r="I108" t="s">
        <v>323</v>
      </c>
      <c r="J108" t="s">
        <v>324</v>
      </c>
      <c r="K108" t="s">
        <v>327</v>
      </c>
    </row>
    <row r="109" spans="1:11" x14ac:dyDescent="0.25">
      <c r="A109">
        <v>65218505</v>
      </c>
      <c r="B109">
        <v>1716</v>
      </c>
      <c r="C109" s="18">
        <v>26119</v>
      </c>
      <c r="D109" s="19">
        <v>46029</v>
      </c>
      <c r="E109" t="s">
        <v>328</v>
      </c>
      <c r="F109">
        <v>1716</v>
      </c>
      <c r="G109" t="s">
        <v>323</v>
      </c>
      <c r="H109" t="s">
        <v>324</v>
      </c>
      <c r="I109" t="s">
        <v>323</v>
      </c>
      <c r="J109" t="s">
        <v>324</v>
      </c>
      <c r="K109" t="s">
        <v>329</v>
      </c>
    </row>
    <row r="110" spans="1:11" x14ac:dyDescent="0.25">
      <c r="A110">
        <v>64975613</v>
      </c>
      <c r="B110">
        <v>1716</v>
      </c>
      <c r="C110" s="18">
        <v>26749</v>
      </c>
      <c r="D110" s="19">
        <v>46029</v>
      </c>
      <c r="E110" t="s">
        <v>322</v>
      </c>
      <c r="F110">
        <v>1716</v>
      </c>
      <c r="G110" t="s">
        <v>323</v>
      </c>
      <c r="H110" t="s">
        <v>324</v>
      </c>
      <c r="I110" t="s">
        <v>323</v>
      </c>
      <c r="J110" t="s">
        <v>324</v>
      </c>
      <c r="K110" t="s">
        <v>330</v>
      </c>
    </row>
    <row r="111" spans="1:11" x14ac:dyDescent="0.25">
      <c r="A111">
        <v>64975613</v>
      </c>
      <c r="B111">
        <v>1716</v>
      </c>
      <c r="C111" s="18">
        <v>12793</v>
      </c>
      <c r="D111" s="19">
        <v>46030</v>
      </c>
      <c r="E111" t="s">
        <v>322</v>
      </c>
      <c r="F111">
        <v>1716</v>
      </c>
      <c r="G111" t="s">
        <v>323</v>
      </c>
      <c r="H111" t="s">
        <v>324</v>
      </c>
      <c r="I111" t="s">
        <v>323</v>
      </c>
      <c r="J111" t="s">
        <v>324</v>
      </c>
      <c r="K111" t="s">
        <v>331</v>
      </c>
    </row>
    <row r="112" spans="1:11" x14ac:dyDescent="0.25">
      <c r="A112">
        <v>64999073</v>
      </c>
      <c r="B112">
        <v>1716</v>
      </c>
      <c r="C112" s="18">
        <v>12884</v>
      </c>
      <c r="D112" s="19">
        <v>46030</v>
      </c>
      <c r="E112" t="s">
        <v>326</v>
      </c>
      <c r="F112">
        <v>1716</v>
      </c>
      <c r="G112" t="s">
        <v>323</v>
      </c>
      <c r="H112" t="s">
        <v>324</v>
      </c>
      <c r="I112" t="s">
        <v>323</v>
      </c>
      <c r="J112" t="s">
        <v>324</v>
      </c>
      <c r="K112" t="s">
        <v>332</v>
      </c>
    </row>
    <row r="113" spans="1:11" x14ac:dyDescent="0.25">
      <c r="A113">
        <v>64999073</v>
      </c>
      <c r="B113">
        <v>1716</v>
      </c>
      <c r="C113" s="18">
        <v>26326</v>
      </c>
      <c r="D113" s="19">
        <v>46031</v>
      </c>
      <c r="E113" t="s">
        <v>326</v>
      </c>
      <c r="F113">
        <v>1716</v>
      </c>
      <c r="G113" t="s">
        <v>323</v>
      </c>
      <c r="H113" t="s">
        <v>324</v>
      </c>
      <c r="I113" t="s">
        <v>323</v>
      </c>
      <c r="J113" t="s">
        <v>324</v>
      </c>
      <c r="K113" t="s">
        <v>333</v>
      </c>
    </row>
    <row r="114" spans="1:11" x14ac:dyDescent="0.25">
      <c r="A114">
        <v>64975616</v>
      </c>
      <c r="B114">
        <v>1716</v>
      </c>
      <c r="C114" s="18">
        <v>26399</v>
      </c>
      <c r="D114" s="19">
        <v>46031</v>
      </c>
      <c r="E114" t="s">
        <v>91</v>
      </c>
      <c r="F114">
        <v>1716</v>
      </c>
      <c r="G114" t="s">
        <v>323</v>
      </c>
      <c r="H114" t="s">
        <v>324</v>
      </c>
      <c r="I114" t="s">
        <v>323</v>
      </c>
      <c r="J114" t="s">
        <v>324</v>
      </c>
      <c r="K114" t="s">
        <v>334</v>
      </c>
    </row>
    <row r="115" spans="1:11" x14ac:dyDescent="0.25">
      <c r="A115">
        <v>64975614</v>
      </c>
      <c r="B115">
        <v>1716</v>
      </c>
      <c r="C115" s="18">
        <v>25815</v>
      </c>
      <c r="D115" s="19">
        <v>46035</v>
      </c>
      <c r="E115" t="s">
        <v>335</v>
      </c>
      <c r="F115">
        <v>1716</v>
      </c>
      <c r="G115" t="s">
        <v>323</v>
      </c>
      <c r="H115" t="s">
        <v>324</v>
      </c>
      <c r="I115" t="s">
        <v>323</v>
      </c>
      <c r="J115" t="s">
        <v>324</v>
      </c>
      <c r="K115" t="s">
        <v>336</v>
      </c>
    </row>
    <row r="116" spans="1:11" x14ac:dyDescent="0.25">
      <c r="A116">
        <v>64999042</v>
      </c>
      <c r="B116">
        <v>1716</v>
      </c>
      <c r="C116" s="18">
        <v>26420</v>
      </c>
      <c r="D116" s="19">
        <v>46035</v>
      </c>
      <c r="E116" t="s">
        <v>337</v>
      </c>
      <c r="F116">
        <v>1716</v>
      </c>
      <c r="G116" t="s">
        <v>323</v>
      </c>
      <c r="H116" t="s">
        <v>324</v>
      </c>
      <c r="I116" t="s">
        <v>323</v>
      </c>
      <c r="J116" t="s">
        <v>324</v>
      </c>
      <c r="K116" t="s">
        <v>338</v>
      </c>
    </row>
    <row r="117" spans="1:11" x14ac:dyDescent="0.25">
      <c r="A117">
        <v>64976851</v>
      </c>
      <c r="B117">
        <v>1717</v>
      </c>
      <c r="C117" s="18">
        <v>15804</v>
      </c>
      <c r="D117" s="19">
        <v>46024</v>
      </c>
      <c r="E117" t="s">
        <v>339</v>
      </c>
      <c r="F117">
        <v>1717</v>
      </c>
      <c r="G117" t="s">
        <v>340</v>
      </c>
      <c r="H117" t="s">
        <v>341</v>
      </c>
      <c r="I117" t="s">
        <v>340</v>
      </c>
      <c r="J117" t="s">
        <v>341</v>
      </c>
      <c r="K117" t="s">
        <v>342</v>
      </c>
    </row>
    <row r="118" spans="1:11" x14ac:dyDescent="0.25">
      <c r="A118">
        <v>64967299</v>
      </c>
      <c r="B118">
        <v>1717</v>
      </c>
      <c r="C118" s="18">
        <v>16500</v>
      </c>
      <c r="D118" s="19">
        <v>46024</v>
      </c>
      <c r="E118" t="s">
        <v>343</v>
      </c>
      <c r="F118">
        <v>1717</v>
      </c>
      <c r="G118" t="s">
        <v>340</v>
      </c>
      <c r="H118" t="s">
        <v>341</v>
      </c>
      <c r="I118" t="s">
        <v>340</v>
      </c>
      <c r="J118" t="s">
        <v>341</v>
      </c>
      <c r="K118" t="s">
        <v>344</v>
      </c>
    </row>
    <row r="119" spans="1:11" x14ac:dyDescent="0.25">
      <c r="A119">
        <v>64976847</v>
      </c>
      <c r="B119">
        <v>1717</v>
      </c>
      <c r="C119" s="18">
        <v>40374</v>
      </c>
      <c r="D119" s="19">
        <v>46028</v>
      </c>
      <c r="E119" t="s">
        <v>317</v>
      </c>
      <c r="F119">
        <v>1717</v>
      </c>
      <c r="G119" t="s">
        <v>340</v>
      </c>
      <c r="H119" t="s">
        <v>341</v>
      </c>
      <c r="I119" t="s">
        <v>340</v>
      </c>
      <c r="J119" t="s">
        <v>341</v>
      </c>
      <c r="K119" t="s">
        <v>345</v>
      </c>
    </row>
    <row r="120" spans="1:11" x14ac:dyDescent="0.25">
      <c r="A120">
        <v>64958122</v>
      </c>
      <c r="B120">
        <v>1717</v>
      </c>
      <c r="C120" s="18">
        <v>17432</v>
      </c>
      <c r="D120" s="19">
        <v>46043</v>
      </c>
      <c r="E120" t="s">
        <v>94</v>
      </c>
      <c r="F120">
        <v>1717</v>
      </c>
      <c r="G120" t="s">
        <v>340</v>
      </c>
      <c r="H120" t="s">
        <v>341</v>
      </c>
      <c r="I120" t="s">
        <v>340</v>
      </c>
      <c r="J120" t="s">
        <v>341</v>
      </c>
      <c r="K120" t="s">
        <v>346</v>
      </c>
    </row>
    <row r="121" spans="1:11" x14ac:dyDescent="0.25">
      <c r="A121">
        <v>64967299</v>
      </c>
      <c r="B121">
        <v>1717</v>
      </c>
      <c r="C121" s="18">
        <v>22081</v>
      </c>
      <c r="D121" s="19">
        <v>46043</v>
      </c>
      <c r="E121" t="s">
        <v>343</v>
      </c>
      <c r="F121">
        <v>1717</v>
      </c>
      <c r="G121" t="s">
        <v>340</v>
      </c>
      <c r="H121" t="s">
        <v>341</v>
      </c>
      <c r="I121" t="s">
        <v>340</v>
      </c>
      <c r="J121" t="s">
        <v>341</v>
      </c>
      <c r="K121" t="s">
        <v>347</v>
      </c>
    </row>
    <row r="122" spans="1:11" x14ac:dyDescent="0.25">
      <c r="A122">
        <v>64967300</v>
      </c>
      <c r="B122">
        <v>1717</v>
      </c>
      <c r="C122">
        <v>240</v>
      </c>
      <c r="D122" s="19">
        <v>46044</v>
      </c>
      <c r="E122" t="s">
        <v>348</v>
      </c>
      <c r="F122">
        <v>1717</v>
      </c>
      <c r="G122" t="s">
        <v>340</v>
      </c>
      <c r="H122" t="s">
        <v>341</v>
      </c>
      <c r="I122" t="s">
        <v>340</v>
      </c>
      <c r="J122" t="s">
        <v>341</v>
      </c>
      <c r="K122" t="s">
        <v>349</v>
      </c>
    </row>
    <row r="123" spans="1:11" x14ac:dyDescent="0.25">
      <c r="A123">
        <v>65489677</v>
      </c>
      <c r="B123">
        <v>1717</v>
      </c>
      <c r="C123" s="18">
        <v>7870</v>
      </c>
      <c r="D123" s="19">
        <v>46046</v>
      </c>
      <c r="E123" t="s">
        <v>350</v>
      </c>
      <c r="F123">
        <v>1717</v>
      </c>
      <c r="G123" t="s">
        <v>340</v>
      </c>
      <c r="H123" t="s">
        <v>341</v>
      </c>
      <c r="I123" t="s">
        <v>340</v>
      </c>
      <c r="J123" t="s">
        <v>341</v>
      </c>
      <c r="K123" t="s">
        <v>351</v>
      </c>
    </row>
    <row r="124" spans="1:11" x14ac:dyDescent="0.25">
      <c r="A124">
        <v>64958127</v>
      </c>
      <c r="B124">
        <v>1717</v>
      </c>
      <c r="C124" s="18">
        <v>9959</v>
      </c>
      <c r="D124" s="19">
        <v>46048</v>
      </c>
      <c r="E124" t="s">
        <v>159</v>
      </c>
      <c r="F124">
        <v>1717</v>
      </c>
      <c r="G124" t="s">
        <v>340</v>
      </c>
      <c r="H124" t="s">
        <v>341</v>
      </c>
      <c r="I124" t="s">
        <v>340</v>
      </c>
      <c r="J124" t="s">
        <v>341</v>
      </c>
      <c r="K124" t="s">
        <v>352</v>
      </c>
    </row>
    <row r="125" spans="1:11" x14ac:dyDescent="0.25">
      <c r="A125">
        <v>64987177</v>
      </c>
      <c r="B125">
        <v>3985</v>
      </c>
      <c r="C125" s="18">
        <v>56220</v>
      </c>
      <c r="D125" s="19">
        <v>46027</v>
      </c>
      <c r="E125" t="s">
        <v>353</v>
      </c>
      <c r="F125">
        <v>3985</v>
      </c>
      <c r="G125" t="s">
        <v>354</v>
      </c>
      <c r="H125" t="s">
        <v>355</v>
      </c>
      <c r="I125" t="s">
        <v>354</v>
      </c>
      <c r="J125" t="s">
        <v>355</v>
      </c>
      <c r="K125" t="s">
        <v>356</v>
      </c>
    </row>
    <row r="126" spans="1:11" x14ac:dyDescent="0.25">
      <c r="A126">
        <v>64987177</v>
      </c>
      <c r="B126">
        <v>3985</v>
      </c>
      <c r="C126" s="18">
        <v>110094</v>
      </c>
      <c r="D126" s="19">
        <v>46027</v>
      </c>
      <c r="E126" t="s">
        <v>353</v>
      </c>
      <c r="F126">
        <v>3985</v>
      </c>
      <c r="G126" t="s">
        <v>354</v>
      </c>
      <c r="H126" t="s">
        <v>355</v>
      </c>
      <c r="I126" t="s">
        <v>354</v>
      </c>
      <c r="J126" t="s">
        <v>355</v>
      </c>
      <c r="K126" t="s">
        <v>357</v>
      </c>
    </row>
    <row r="127" spans="1:11" x14ac:dyDescent="0.25">
      <c r="A127">
        <v>65089667</v>
      </c>
      <c r="B127">
        <v>3985</v>
      </c>
      <c r="C127" s="18">
        <v>9986</v>
      </c>
      <c r="D127" s="19">
        <v>46028</v>
      </c>
      <c r="E127" t="s">
        <v>358</v>
      </c>
      <c r="F127">
        <v>3985</v>
      </c>
      <c r="G127" t="s">
        <v>359</v>
      </c>
      <c r="H127" t="s">
        <v>360</v>
      </c>
      <c r="I127" t="s">
        <v>359</v>
      </c>
      <c r="J127" t="s">
        <v>360</v>
      </c>
      <c r="K127" t="s">
        <v>361</v>
      </c>
    </row>
    <row r="128" spans="1:11" x14ac:dyDescent="0.25">
      <c r="A128">
        <v>64854330</v>
      </c>
      <c r="B128">
        <v>3985</v>
      </c>
      <c r="C128">
        <v>989</v>
      </c>
      <c r="D128" s="19">
        <v>46030</v>
      </c>
      <c r="E128" t="s">
        <v>362</v>
      </c>
      <c r="F128">
        <v>3985</v>
      </c>
      <c r="G128" t="s">
        <v>359</v>
      </c>
      <c r="H128" t="s">
        <v>360</v>
      </c>
      <c r="I128" t="s">
        <v>359</v>
      </c>
      <c r="J128" t="s">
        <v>360</v>
      </c>
      <c r="K128" t="s">
        <v>363</v>
      </c>
    </row>
    <row r="129" spans="1:11" x14ac:dyDescent="0.25">
      <c r="A129">
        <v>64854330</v>
      </c>
      <c r="B129">
        <v>3985</v>
      </c>
      <c r="C129">
        <v>999</v>
      </c>
      <c r="D129" s="19">
        <v>46030</v>
      </c>
      <c r="E129" t="s">
        <v>362</v>
      </c>
      <c r="F129">
        <v>3985</v>
      </c>
      <c r="G129" t="s">
        <v>359</v>
      </c>
      <c r="H129" t="s">
        <v>360</v>
      </c>
      <c r="I129" t="s">
        <v>359</v>
      </c>
      <c r="J129" t="s">
        <v>360</v>
      </c>
      <c r="K129" t="s">
        <v>364</v>
      </c>
    </row>
    <row r="130" spans="1:11" x14ac:dyDescent="0.25">
      <c r="A130">
        <v>68140275</v>
      </c>
      <c r="B130">
        <v>3985</v>
      </c>
      <c r="C130" s="18">
        <v>7600</v>
      </c>
      <c r="D130" s="19">
        <v>46030</v>
      </c>
      <c r="E130" t="s">
        <v>365</v>
      </c>
      <c r="F130">
        <v>3985</v>
      </c>
      <c r="G130" t="s">
        <v>366</v>
      </c>
      <c r="H130" t="s">
        <v>367</v>
      </c>
      <c r="I130" t="s">
        <v>366</v>
      </c>
      <c r="J130" t="s">
        <v>367</v>
      </c>
      <c r="K130" t="s">
        <v>368</v>
      </c>
    </row>
    <row r="131" spans="1:11" x14ac:dyDescent="0.25">
      <c r="A131">
        <v>64854330</v>
      </c>
      <c r="B131">
        <v>3985</v>
      </c>
      <c r="C131">
        <v>994</v>
      </c>
      <c r="D131" s="19">
        <v>46038</v>
      </c>
      <c r="E131" t="s">
        <v>362</v>
      </c>
      <c r="F131">
        <v>3985</v>
      </c>
      <c r="G131" t="s">
        <v>359</v>
      </c>
      <c r="H131" t="s">
        <v>360</v>
      </c>
      <c r="I131" t="s">
        <v>359</v>
      </c>
      <c r="J131" t="s">
        <v>360</v>
      </c>
      <c r="K131" t="s">
        <v>369</v>
      </c>
    </row>
    <row r="132" spans="1:11" x14ac:dyDescent="0.25">
      <c r="A132">
        <v>64854330</v>
      </c>
      <c r="B132">
        <v>3985</v>
      </c>
      <c r="C132">
        <v>995</v>
      </c>
      <c r="D132" s="19">
        <v>46038</v>
      </c>
      <c r="E132" t="s">
        <v>362</v>
      </c>
      <c r="F132">
        <v>3985</v>
      </c>
      <c r="G132" t="s">
        <v>359</v>
      </c>
      <c r="H132" t="s">
        <v>360</v>
      </c>
      <c r="I132" t="s">
        <v>359</v>
      </c>
      <c r="J132" t="s">
        <v>360</v>
      </c>
      <c r="K132" t="s">
        <v>370</v>
      </c>
    </row>
    <row r="133" spans="1:11" x14ac:dyDescent="0.25">
      <c r="A133">
        <v>64854330</v>
      </c>
      <c r="B133">
        <v>3985</v>
      </c>
      <c r="C133" s="18">
        <v>3851</v>
      </c>
      <c r="D133" s="19">
        <v>46038</v>
      </c>
      <c r="E133" t="s">
        <v>362</v>
      </c>
      <c r="F133">
        <v>3985</v>
      </c>
      <c r="G133" t="s">
        <v>359</v>
      </c>
      <c r="H133" t="s">
        <v>360</v>
      </c>
      <c r="I133" t="s">
        <v>359</v>
      </c>
      <c r="J133" t="s">
        <v>360</v>
      </c>
      <c r="K133" t="s">
        <v>371</v>
      </c>
    </row>
    <row r="134" spans="1:11" x14ac:dyDescent="0.25">
      <c r="A134">
        <v>65234474</v>
      </c>
      <c r="B134">
        <v>3985</v>
      </c>
      <c r="C134" s="18">
        <v>54280</v>
      </c>
      <c r="D134" s="19">
        <v>46041</v>
      </c>
      <c r="E134" t="s">
        <v>372</v>
      </c>
      <c r="F134">
        <v>3985</v>
      </c>
      <c r="G134" t="s">
        <v>373</v>
      </c>
      <c r="H134" t="s">
        <v>367</v>
      </c>
      <c r="I134" t="s">
        <v>366</v>
      </c>
      <c r="J134" t="s">
        <v>367</v>
      </c>
      <c r="K134" t="s">
        <v>374</v>
      </c>
    </row>
    <row r="135" spans="1:11" x14ac:dyDescent="0.25">
      <c r="A135">
        <v>64851294</v>
      </c>
      <c r="B135">
        <v>3985</v>
      </c>
      <c r="C135" s="18">
        <v>102060</v>
      </c>
      <c r="D135" s="19">
        <v>46041</v>
      </c>
      <c r="E135" t="s">
        <v>375</v>
      </c>
      <c r="F135">
        <v>3985</v>
      </c>
      <c r="G135" t="s">
        <v>366</v>
      </c>
      <c r="H135" t="s">
        <v>367</v>
      </c>
      <c r="I135" t="s">
        <v>366</v>
      </c>
      <c r="J135" t="s">
        <v>367</v>
      </c>
      <c r="K135" t="s">
        <v>376</v>
      </c>
    </row>
    <row r="136" spans="1:11" x14ac:dyDescent="0.25">
      <c r="A136">
        <v>65089667</v>
      </c>
      <c r="B136">
        <v>3985</v>
      </c>
      <c r="C136" s="18">
        <v>9990</v>
      </c>
      <c r="D136" s="19">
        <v>46042</v>
      </c>
      <c r="E136" t="s">
        <v>358</v>
      </c>
      <c r="F136">
        <v>3985</v>
      </c>
      <c r="G136" t="s">
        <v>359</v>
      </c>
      <c r="H136" t="s">
        <v>360</v>
      </c>
      <c r="I136" t="s">
        <v>359</v>
      </c>
      <c r="J136" t="s">
        <v>360</v>
      </c>
      <c r="K136" t="s">
        <v>377</v>
      </c>
    </row>
    <row r="137" spans="1:11" x14ac:dyDescent="0.25">
      <c r="A137">
        <v>64327161</v>
      </c>
      <c r="B137">
        <v>3985</v>
      </c>
      <c r="C137" s="18">
        <v>17892</v>
      </c>
      <c r="D137" s="19">
        <v>46042</v>
      </c>
      <c r="E137" t="s">
        <v>378</v>
      </c>
      <c r="F137">
        <v>3985</v>
      </c>
      <c r="G137" t="s">
        <v>359</v>
      </c>
      <c r="H137" t="s">
        <v>360</v>
      </c>
      <c r="I137" t="s">
        <v>359</v>
      </c>
      <c r="J137" t="s">
        <v>360</v>
      </c>
      <c r="K137" t="s">
        <v>379</v>
      </c>
    </row>
    <row r="138" spans="1:11" x14ac:dyDescent="0.25">
      <c r="A138">
        <v>64327161</v>
      </c>
      <c r="B138">
        <v>3985</v>
      </c>
      <c r="C138" s="18">
        <v>26937</v>
      </c>
      <c r="D138" s="19">
        <v>46042</v>
      </c>
      <c r="E138" t="s">
        <v>378</v>
      </c>
      <c r="F138">
        <v>3985</v>
      </c>
      <c r="G138" t="s">
        <v>359</v>
      </c>
      <c r="H138" t="s">
        <v>360</v>
      </c>
      <c r="I138" t="s">
        <v>359</v>
      </c>
      <c r="J138" t="s">
        <v>360</v>
      </c>
      <c r="K138" t="s">
        <v>380</v>
      </c>
    </row>
    <row r="139" spans="1:11" x14ac:dyDescent="0.25">
      <c r="A139">
        <v>64987177</v>
      </c>
      <c r="B139">
        <v>3985</v>
      </c>
      <c r="C139" s="18">
        <v>65520</v>
      </c>
      <c r="D139" s="19">
        <v>46043</v>
      </c>
      <c r="E139" t="s">
        <v>353</v>
      </c>
      <c r="F139">
        <v>3985</v>
      </c>
      <c r="G139" t="s">
        <v>354</v>
      </c>
      <c r="H139" t="s">
        <v>355</v>
      </c>
      <c r="I139" t="s">
        <v>354</v>
      </c>
      <c r="J139" t="s">
        <v>355</v>
      </c>
      <c r="K139" t="s">
        <v>381</v>
      </c>
    </row>
    <row r="140" spans="1:11" x14ac:dyDescent="0.25">
      <c r="A140">
        <v>64851294</v>
      </c>
      <c r="B140">
        <v>3985</v>
      </c>
      <c r="C140" s="18">
        <v>97898</v>
      </c>
      <c r="D140" s="19">
        <v>46045</v>
      </c>
      <c r="E140" t="s">
        <v>375</v>
      </c>
      <c r="F140">
        <v>3985</v>
      </c>
      <c r="G140" t="s">
        <v>366</v>
      </c>
      <c r="H140" t="s">
        <v>367</v>
      </c>
      <c r="I140" t="s">
        <v>366</v>
      </c>
      <c r="J140" t="s">
        <v>367</v>
      </c>
      <c r="K140" t="s">
        <v>382</v>
      </c>
    </row>
    <row r="141" spans="1:11" x14ac:dyDescent="0.25">
      <c r="A141">
        <v>64833353</v>
      </c>
      <c r="B141" t="s">
        <v>181</v>
      </c>
      <c r="C141" s="18">
        <v>2600</v>
      </c>
      <c r="D141" s="19">
        <v>46024</v>
      </c>
      <c r="E141" t="s">
        <v>195</v>
      </c>
      <c r="F141">
        <v>3989</v>
      </c>
      <c r="G141" t="s">
        <v>183</v>
      </c>
      <c r="H141" t="s">
        <v>184</v>
      </c>
      <c r="I141" t="s">
        <v>183</v>
      </c>
      <c r="J141" t="s">
        <v>184</v>
      </c>
      <c r="K141" t="s">
        <v>383</v>
      </c>
    </row>
    <row r="142" spans="1:11" x14ac:dyDescent="0.25">
      <c r="A142">
        <v>62714126</v>
      </c>
      <c r="B142" t="s">
        <v>181</v>
      </c>
      <c r="C142" s="18">
        <v>2600</v>
      </c>
      <c r="D142" s="19">
        <v>46027</v>
      </c>
      <c r="E142" t="s">
        <v>182</v>
      </c>
      <c r="F142">
        <v>3989</v>
      </c>
      <c r="G142" t="s">
        <v>183</v>
      </c>
      <c r="H142" t="s">
        <v>184</v>
      </c>
      <c r="I142" t="s">
        <v>183</v>
      </c>
      <c r="J142" t="s">
        <v>184</v>
      </c>
      <c r="K142" t="s">
        <v>384</v>
      </c>
    </row>
    <row r="143" spans="1:11" x14ac:dyDescent="0.25">
      <c r="A143">
        <v>62714126</v>
      </c>
      <c r="B143" t="s">
        <v>181</v>
      </c>
      <c r="C143" s="18">
        <v>2600</v>
      </c>
      <c r="D143" s="19">
        <v>46027</v>
      </c>
      <c r="E143" t="s">
        <v>182</v>
      </c>
      <c r="F143">
        <v>3989</v>
      </c>
      <c r="G143" t="s">
        <v>183</v>
      </c>
      <c r="H143" t="s">
        <v>184</v>
      </c>
      <c r="I143" t="s">
        <v>183</v>
      </c>
      <c r="J143" t="s">
        <v>184</v>
      </c>
      <c r="K143" t="s">
        <v>385</v>
      </c>
    </row>
    <row r="144" spans="1:11" x14ac:dyDescent="0.25">
      <c r="A144">
        <v>62714126</v>
      </c>
      <c r="B144" t="s">
        <v>181</v>
      </c>
      <c r="C144" s="18">
        <v>2600</v>
      </c>
      <c r="D144" s="19">
        <v>46028</v>
      </c>
      <c r="E144" t="s">
        <v>182</v>
      </c>
      <c r="F144">
        <v>3989</v>
      </c>
      <c r="G144" t="s">
        <v>183</v>
      </c>
      <c r="H144" t="s">
        <v>184</v>
      </c>
      <c r="I144" t="s">
        <v>183</v>
      </c>
      <c r="J144" t="s">
        <v>184</v>
      </c>
      <c r="K144" t="s">
        <v>386</v>
      </c>
    </row>
    <row r="145" spans="1:11" x14ac:dyDescent="0.25">
      <c r="A145">
        <v>62714126</v>
      </c>
      <c r="B145" t="s">
        <v>181</v>
      </c>
      <c r="C145" s="18">
        <v>2600</v>
      </c>
      <c r="D145" s="19">
        <v>46028</v>
      </c>
      <c r="E145" t="s">
        <v>182</v>
      </c>
      <c r="F145">
        <v>3989</v>
      </c>
      <c r="G145" t="s">
        <v>183</v>
      </c>
      <c r="H145" t="s">
        <v>184</v>
      </c>
      <c r="I145" t="s">
        <v>183</v>
      </c>
      <c r="J145" t="s">
        <v>184</v>
      </c>
      <c r="K145" t="s">
        <v>387</v>
      </c>
    </row>
    <row r="146" spans="1:11" x14ac:dyDescent="0.25">
      <c r="A146">
        <v>62714126</v>
      </c>
      <c r="B146" t="s">
        <v>181</v>
      </c>
      <c r="C146" s="18">
        <v>2600</v>
      </c>
      <c r="D146" s="19">
        <v>46028</v>
      </c>
      <c r="E146" t="s">
        <v>182</v>
      </c>
      <c r="F146">
        <v>3989</v>
      </c>
      <c r="G146" t="s">
        <v>183</v>
      </c>
      <c r="H146" t="s">
        <v>184</v>
      </c>
      <c r="I146" t="s">
        <v>183</v>
      </c>
      <c r="J146" t="s">
        <v>184</v>
      </c>
      <c r="K146" t="s">
        <v>388</v>
      </c>
    </row>
    <row r="147" spans="1:11" x14ac:dyDescent="0.25">
      <c r="A147">
        <v>62714126</v>
      </c>
      <c r="B147" t="s">
        <v>181</v>
      </c>
      <c r="C147" s="18">
        <v>2600</v>
      </c>
      <c r="D147" s="19">
        <v>46028</v>
      </c>
      <c r="E147" t="s">
        <v>182</v>
      </c>
      <c r="F147">
        <v>3989</v>
      </c>
      <c r="G147" t="s">
        <v>183</v>
      </c>
      <c r="H147" t="s">
        <v>184</v>
      </c>
      <c r="I147" t="s">
        <v>183</v>
      </c>
      <c r="J147" t="s">
        <v>184</v>
      </c>
      <c r="K147" t="s">
        <v>389</v>
      </c>
    </row>
    <row r="148" spans="1:11" x14ac:dyDescent="0.25">
      <c r="A148">
        <v>62714126</v>
      </c>
      <c r="B148" t="s">
        <v>181</v>
      </c>
      <c r="C148" s="18">
        <v>2600</v>
      </c>
      <c r="D148" s="19">
        <v>46028</v>
      </c>
      <c r="E148" t="s">
        <v>182</v>
      </c>
      <c r="F148">
        <v>3989</v>
      </c>
      <c r="G148" t="s">
        <v>183</v>
      </c>
      <c r="H148" t="s">
        <v>184</v>
      </c>
      <c r="I148" t="s">
        <v>183</v>
      </c>
      <c r="J148" t="s">
        <v>184</v>
      </c>
      <c r="K148" t="s">
        <v>390</v>
      </c>
    </row>
    <row r="149" spans="1:11" x14ac:dyDescent="0.25">
      <c r="A149">
        <v>62714126</v>
      </c>
      <c r="B149" t="s">
        <v>181</v>
      </c>
      <c r="C149" s="18">
        <v>2600</v>
      </c>
      <c r="D149" s="19">
        <v>46028</v>
      </c>
      <c r="E149" t="s">
        <v>182</v>
      </c>
      <c r="F149">
        <v>3989</v>
      </c>
      <c r="G149" t="s">
        <v>183</v>
      </c>
      <c r="H149" t="s">
        <v>184</v>
      </c>
      <c r="I149" t="s">
        <v>183</v>
      </c>
      <c r="J149" t="s">
        <v>184</v>
      </c>
      <c r="K149" t="s">
        <v>391</v>
      </c>
    </row>
    <row r="150" spans="1:11" x14ac:dyDescent="0.25">
      <c r="A150">
        <v>62714126</v>
      </c>
      <c r="B150" t="s">
        <v>181</v>
      </c>
      <c r="C150" s="18">
        <v>2600</v>
      </c>
      <c r="D150" s="19">
        <v>46028</v>
      </c>
      <c r="E150" t="s">
        <v>182</v>
      </c>
      <c r="F150">
        <v>3989</v>
      </c>
      <c r="G150" t="s">
        <v>183</v>
      </c>
      <c r="H150" t="s">
        <v>184</v>
      </c>
      <c r="I150" t="s">
        <v>183</v>
      </c>
      <c r="J150" t="s">
        <v>184</v>
      </c>
      <c r="K150" t="s">
        <v>392</v>
      </c>
    </row>
    <row r="151" spans="1:11" x14ac:dyDescent="0.25">
      <c r="A151">
        <v>64833353</v>
      </c>
      <c r="B151" t="s">
        <v>181</v>
      </c>
      <c r="C151" s="18">
        <v>2600</v>
      </c>
      <c r="D151" s="19">
        <v>46028</v>
      </c>
      <c r="E151" t="s">
        <v>195</v>
      </c>
      <c r="F151">
        <v>3989</v>
      </c>
      <c r="G151" t="s">
        <v>183</v>
      </c>
      <c r="H151" t="s">
        <v>184</v>
      </c>
      <c r="I151" t="s">
        <v>183</v>
      </c>
      <c r="J151" t="s">
        <v>184</v>
      </c>
      <c r="K151" t="s">
        <v>393</v>
      </c>
    </row>
    <row r="152" spans="1:11" x14ac:dyDescent="0.25">
      <c r="A152">
        <v>62714126</v>
      </c>
      <c r="B152" t="s">
        <v>181</v>
      </c>
      <c r="C152" s="18">
        <v>2599</v>
      </c>
      <c r="D152" s="19">
        <v>46029</v>
      </c>
      <c r="E152" t="s">
        <v>182</v>
      </c>
      <c r="F152">
        <v>3989</v>
      </c>
      <c r="G152" t="s">
        <v>183</v>
      </c>
      <c r="H152" t="s">
        <v>184</v>
      </c>
      <c r="I152" t="s">
        <v>183</v>
      </c>
      <c r="J152" t="s">
        <v>184</v>
      </c>
      <c r="K152" t="s">
        <v>394</v>
      </c>
    </row>
    <row r="153" spans="1:11" x14ac:dyDescent="0.25">
      <c r="A153">
        <v>62714126</v>
      </c>
      <c r="B153" t="s">
        <v>181</v>
      </c>
      <c r="C153" s="18">
        <v>2600</v>
      </c>
      <c r="D153" s="19">
        <v>46029</v>
      </c>
      <c r="E153" t="s">
        <v>182</v>
      </c>
      <c r="F153">
        <v>3989</v>
      </c>
      <c r="G153" t="s">
        <v>183</v>
      </c>
      <c r="H153" t="s">
        <v>184</v>
      </c>
      <c r="I153" t="s">
        <v>183</v>
      </c>
      <c r="J153" t="s">
        <v>184</v>
      </c>
      <c r="K153" t="s">
        <v>395</v>
      </c>
    </row>
    <row r="154" spans="1:11" x14ac:dyDescent="0.25">
      <c r="A154">
        <v>62714126</v>
      </c>
      <c r="B154" t="s">
        <v>181</v>
      </c>
      <c r="C154" s="18">
        <v>2600</v>
      </c>
      <c r="D154" s="19">
        <v>46030</v>
      </c>
      <c r="E154" t="s">
        <v>182</v>
      </c>
      <c r="F154">
        <v>3989</v>
      </c>
      <c r="G154" t="s">
        <v>183</v>
      </c>
      <c r="H154" t="s">
        <v>184</v>
      </c>
      <c r="I154" t="s">
        <v>183</v>
      </c>
      <c r="J154" t="s">
        <v>184</v>
      </c>
      <c r="K154" t="s">
        <v>396</v>
      </c>
    </row>
    <row r="155" spans="1:11" x14ac:dyDescent="0.25">
      <c r="A155">
        <v>62714126</v>
      </c>
      <c r="B155" t="s">
        <v>181</v>
      </c>
      <c r="C155" s="18">
        <v>2600</v>
      </c>
      <c r="D155" s="19">
        <v>46030</v>
      </c>
      <c r="E155" t="s">
        <v>182</v>
      </c>
      <c r="F155">
        <v>3989</v>
      </c>
      <c r="G155" t="s">
        <v>183</v>
      </c>
      <c r="H155" t="s">
        <v>184</v>
      </c>
      <c r="I155" t="s">
        <v>183</v>
      </c>
      <c r="J155" t="s">
        <v>184</v>
      </c>
      <c r="K155" t="s">
        <v>397</v>
      </c>
    </row>
    <row r="156" spans="1:11" x14ac:dyDescent="0.25">
      <c r="A156">
        <v>62714126</v>
      </c>
      <c r="B156" t="s">
        <v>181</v>
      </c>
      <c r="C156" s="18">
        <v>2600</v>
      </c>
      <c r="D156" s="19">
        <v>46030</v>
      </c>
      <c r="E156" t="s">
        <v>182</v>
      </c>
      <c r="F156">
        <v>3989</v>
      </c>
      <c r="G156" t="s">
        <v>183</v>
      </c>
      <c r="H156" t="s">
        <v>184</v>
      </c>
      <c r="I156" t="s">
        <v>183</v>
      </c>
      <c r="J156" t="s">
        <v>184</v>
      </c>
      <c r="K156" t="s">
        <v>398</v>
      </c>
    </row>
    <row r="157" spans="1:11" x14ac:dyDescent="0.25">
      <c r="A157">
        <v>62714126</v>
      </c>
      <c r="B157" t="s">
        <v>181</v>
      </c>
      <c r="C157" s="18">
        <v>2600</v>
      </c>
      <c r="D157" s="19">
        <v>46030</v>
      </c>
      <c r="E157" t="s">
        <v>182</v>
      </c>
      <c r="F157">
        <v>3989</v>
      </c>
      <c r="G157" t="s">
        <v>183</v>
      </c>
      <c r="H157" t="s">
        <v>184</v>
      </c>
      <c r="I157" t="s">
        <v>183</v>
      </c>
      <c r="J157" t="s">
        <v>184</v>
      </c>
      <c r="K157" t="s">
        <v>399</v>
      </c>
    </row>
    <row r="158" spans="1:11" x14ac:dyDescent="0.25">
      <c r="A158">
        <v>64833353</v>
      </c>
      <c r="B158" t="s">
        <v>181</v>
      </c>
      <c r="C158" s="18">
        <v>2600</v>
      </c>
      <c r="D158" s="19">
        <v>46030</v>
      </c>
      <c r="E158" t="s">
        <v>195</v>
      </c>
      <c r="F158">
        <v>3989</v>
      </c>
      <c r="G158" t="s">
        <v>183</v>
      </c>
      <c r="H158" t="s">
        <v>184</v>
      </c>
      <c r="I158" t="s">
        <v>183</v>
      </c>
      <c r="J158" t="s">
        <v>184</v>
      </c>
      <c r="K158" t="s">
        <v>400</v>
      </c>
    </row>
    <row r="159" spans="1:11" x14ac:dyDescent="0.25">
      <c r="A159">
        <v>64833353</v>
      </c>
      <c r="B159" t="s">
        <v>181</v>
      </c>
      <c r="C159" s="18">
        <v>2600</v>
      </c>
      <c r="D159" s="19">
        <v>46030</v>
      </c>
      <c r="E159" t="s">
        <v>195</v>
      </c>
      <c r="F159">
        <v>3989</v>
      </c>
      <c r="G159" t="s">
        <v>183</v>
      </c>
      <c r="H159" t="s">
        <v>184</v>
      </c>
      <c r="I159" t="s">
        <v>183</v>
      </c>
      <c r="J159" t="s">
        <v>184</v>
      </c>
      <c r="K159" t="s">
        <v>401</v>
      </c>
    </row>
    <row r="160" spans="1:11" x14ac:dyDescent="0.25">
      <c r="A160">
        <v>62714126</v>
      </c>
      <c r="B160" t="s">
        <v>181</v>
      </c>
      <c r="C160" s="18">
        <v>2600</v>
      </c>
      <c r="D160" s="19">
        <v>46031</v>
      </c>
      <c r="E160" t="s">
        <v>182</v>
      </c>
      <c r="F160">
        <v>3989</v>
      </c>
      <c r="G160" t="s">
        <v>183</v>
      </c>
      <c r="H160" t="s">
        <v>184</v>
      </c>
      <c r="I160" t="s">
        <v>183</v>
      </c>
      <c r="J160" t="s">
        <v>184</v>
      </c>
      <c r="K160" t="s">
        <v>402</v>
      </c>
    </row>
    <row r="161" spans="1:11" x14ac:dyDescent="0.25">
      <c r="A161">
        <v>64833353</v>
      </c>
      <c r="B161" t="s">
        <v>181</v>
      </c>
      <c r="C161" s="18">
        <v>2600</v>
      </c>
      <c r="D161" s="19">
        <v>46031</v>
      </c>
      <c r="E161" t="s">
        <v>195</v>
      </c>
      <c r="F161">
        <v>3989</v>
      </c>
      <c r="G161" t="s">
        <v>183</v>
      </c>
      <c r="H161" t="s">
        <v>184</v>
      </c>
      <c r="I161" t="s">
        <v>183</v>
      </c>
      <c r="J161" t="s">
        <v>184</v>
      </c>
      <c r="K161" t="s">
        <v>403</v>
      </c>
    </row>
    <row r="162" spans="1:11" x14ac:dyDescent="0.25">
      <c r="A162">
        <v>62714126</v>
      </c>
      <c r="B162" t="s">
        <v>181</v>
      </c>
      <c r="C162" s="18">
        <v>2598</v>
      </c>
      <c r="D162" s="19">
        <v>46034</v>
      </c>
      <c r="E162" t="s">
        <v>182</v>
      </c>
      <c r="F162">
        <v>3989</v>
      </c>
      <c r="G162" t="s">
        <v>183</v>
      </c>
      <c r="H162" t="s">
        <v>184</v>
      </c>
      <c r="I162" t="s">
        <v>183</v>
      </c>
      <c r="J162" t="s">
        <v>184</v>
      </c>
      <c r="K162" t="s">
        <v>404</v>
      </c>
    </row>
    <row r="163" spans="1:11" x14ac:dyDescent="0.25">
      <c r="A163">
        <v>62714126</v>
      </c>
      <c r="B163" t="s">
        <v>181</v>
      </c>
      <c r="C163" s="18">
        <v>2600</v>
      </c>
      <c r="D163" s="19">
        <v>46034</v>
      </c>
      <c r="E163" t="s">
        <v>182</v>
      </c>
      <c r="F163">
        <v>3989</v>
      </c>
      <c r="G163" t="s">
        <v>183</v>
      </c>
      <c r="H163" t="s">
        <v>184</v>
      </c>
      <c r="I163" t="s">
        <v>183</v>
      </c>
      <c r="J163" t="s">
        <v>184</v>
      </c>
      <c r="K163" t="s">
        <v>405</v>
      </c>
    </row>
    <row r="164" spans="1:11" x14ac:dyDescent="0.25">
      <c r="A164">
        <v>62714126</v>
      </c>
      <c r="B164" t="s">
        <v>181</v>
      </c>
      <c r="C164" s="18">
        <v>2600</v>
      </c>
      <c r="D164" s="19">
        <v>46034</v>
      </c>
      <c r="E164" t="s">
        <v>182</v>
      </c>
      <c r="F164">
        <v>3989</v>
      </c>
      <c r="G164" t="s">
        <v>183</v>
      </c>
      <c r="H164" t="s">
        <v>184</v>
      </c>
      <c r="I164" t="s">
        <v>183</v>
      </c>
      <c r="J164" t="s">
        <v>184</v>
      </c>
      <c r="K164" t="s">
        <v>406</v>
      </c>
    </row>
    <row r="165" spans="1:11" x14ac:dyDescent="0.25">
      <c r="A165">
        <v>62714126</v>
      </c>
      <c r="B165" t="s">
        <v>181</v>
      </c>
      <c r="C165" s="18">
        <v>2600</v>
      </c>
      <c r="D165" s="19">
        <v>46034</v>
      </c>
      <c r="E165" t="s">
        <v>182</v>
      </c>
      <c r="F165">
        <v>3989</v>
      </c>
      <c r="G165" t="s">
        <v>183</v>
      </c>
      <c r="H165" t="s">
        <v>184</v>
      </c>
      <c r="I165" t="s">
        <v>183</v>
      </c>
      <c r="J165" t="s">
        <v>184</v>
      </c>
      <c r="K165" t="s">
        <v>407</v>
      </c>
    </row>
    <row r="166" spans="1:11" x14ac:dyDescent="0.25">
      <c r="A166">
        <v>62714126</v>
      </c>
      <c r="B166" t="s">
        <v>181</v>
      </c>
      <c r="C166" s="18">
        <v>2600</v>
      </c>
      <c r="D166" s="19">
        <v>46034</v>
      </c>
      <c r="E166" t="s">
        <v>182</v>
      </c>
      <c r="F166">
        <v>3989</v>
      </c>
      <c r="G166" t="s">
        <v>183</v>
      </c>
      <c r="H166" t="s">
        <v>184</v>
      </c>
      <c r="I166" t="s">
        <v>183</v>
      </c>
      <c r="J166" t="s">
        <v>184</v>
      </c>
      <c r="K166" t="s">
        <v>408</v>
      </c>
    </row>
    <row r="167" spans="1:11" x14ac:dyDescent="0.25">
      <c r="A167">
        <v>62714126</v>
      </c>
      <c r="B167" t="s">
        <v>181</v>
      </c>
      <c r="C167" s="18">
        <v>2600</v>
      </c>
      <c r="D167" s="19">
        <v>46034</v>
      </c>
      <c r="E167" t="s">
        <v>182</v>
      </c>
      <c r="F167">
        <v>3989</v>
      </c>
      <c r="G167" t="s">
        <v>183</v>
      </c>
      <c r="H167" t="s">
        <v>184</v>
      </c>
      <c r="I167" t="s">
        <v>183</v>
      </c>
      <c r="J167" t="s">
        <v>184</v>
      </c>
      <c r="K167" t="s">
        <v>409</v>
      </c>
    </row>
    <row r="168" spans="1:11" x14ac:dyDescent="0.25">
      <c r="A168">
        <v>62714126</v>
      </c>
      <c r="B168" t="s">
        <v>181</v>
      </c>
      <c r="C168" s="18">
        <v>2600</v>
      </c>
      <c r="D168" s="19">
        <v>46034</v>
      </c>
      <c r="E168" t="s">
        <v>182</v>
      </c>
      <c r="F168">
        <v>3989</v>
      </c>
      <c r="G168" t="s">
        <v>183</v>
      </c>
      <c r="H168" t="s">
        <v>184</v>
      </c>
      <c r="I168" t="s">
        <v>183</v>
      </c>
      <c r="J168" t="s">
        <v>184</v>
      </c>
      <c r="K168" t="s">
        <v>410</v>
      </c>
    </row>
    <row r="169" spans="1:11" x14ac:dyDescent="0.25">
      <c r="A169">
        <v>62714126</v>
      </c>
      <c r="B169" t="s">
        <v>181</v>
      </c>
      <c r="C169" s="18">
        <v>2600</v>
      </c>
      <c r="D169" s="19">
        <v>46034</v>
      </c>
      <c r="E169" t="s">
        <v>182</v>
      </c>
      <c r="F169">
        <v>3989</v>
      </c>
      <c r="G169" t="s">
        <v>183</v>
      </c>
      <c r="H169" t="s">
        <v>184</v>
      </c>
      <c r="I169" t="s">
        <v>183</v>
      </c>
      <c r="J169" t="s">
        <v>184</v>
      </c>
      <c r="K169" t="s">
        <v>411</v>
      </c>
    </row>
    <row r="170" spans="1:11" x14ac:dyDescent="0.25">
      <c r="A170">
        <v>62714126</v>
      </c>
      <c r="B170" t="s">
        <v>181</v>
      </c>
      <c r="C170" s="18">
        <v>2600</v>
      </c>
      <c r="D170" s="19">
        <v>46034</v>
      </c>
      <c r="E170" t="s">
        <v>182</v>
      </c>
      <c r="F170">
        <v>3989</v>
      </c>
      <c r="G170" t="s">
        <v>183</v>
      </c>
      <c r="H170" t="s">
        <v>184</v>
      </c>
      <c r="I170" t="s">
        <v>183</v>
      </c>
      <c r="J170" t="s">
        <v>184</v>
      </c>
      <c r="K170" t="s">
        <v>412</v>
      </c>
    </row>
    <row r="171" spans="1:11" x14ac:dyDescent="0.25">
      <c r="A171">
        <v>62714126</v>
      </c>
      <c r="B171" t="s">
        <v>181</v>
      </c>
      <c r="C171" s="18">
        <v>2600</v>
      </c>
      <c r="D171" s="19">
        <v>46034</v>
      </c>
      <c r="E171" t="s">
        <v>182</v>
      </c>
      <c r="F171">
        <v>3989</v>
      </c>
      <c r="G171" t="s">
        <v>183</v>
      </c>
      <c r="H171" t="s">
        <v>184</v>
      </c>
      <c r="I171" t="s">
        <v>183</v>
      </c>
      <c r="J171" t="s">
        <v>184</v>
      </c>
      <c r="K171" t="s">
        <v>413</v>
      </c>
    </row>
    <row r="172" spans="1:11" x14ac:dyDescent="0.25">
      <c r="A172">
        <v>64833353</v>
      </c>
      <c r="B172" t="s">
        <v>181</v>
      </c>
      <c r="C172" s="18">
        <v>2600</v>
      </c>
      <c r="D172" s="19">
        <v>46034</v>
      </c>
      <c r="E172" t="s">
        <v>195</v>
      </c>
      <c r="F172">
        <v>3989</v>
      </c>
      <c r="G172" t="s">
        <v>183</v>
      </c>
      <c r="H172" t="s">
        <v>184</v>
      </c>
      <c r="I172" t="s">
        <v>183</v>
      </c>
      <c r="J172" t="s">
        <v>184</v>
      </c>
      <c r="K172" t="s">
        <v>414</v>
      </c>
    </row>
    <row r="173" spans="1:11" x14ac:dyDescent="0.25">
      <c r="A173">
        <v>62714126</v>
      </c>
      <c r="B173" t="s">
        <v>181</v>
      </c>
      <c r="C173" s="18">
        <v>2600</v>
      </c>
      <c r="D173" s="19">
        <v>46035</v>
      </c>
      <c r="E173" t="s">
        <v>182</v>
      </c>
      <c r="F173">
        <v>3989</v>
      </c>
      <c r="G173" t="s">
        <v>183</v>
      </c>
      <c r="H173" t="s">
        <v>184</v>
      </c>
      <c r="I173" t="s">
        <v>183</v>
      </c>
      <c r="J173" t="s">
        <v>184</v>
      </c>
      <c r="K173" t="s">
        <v>415</v>
      </c>
    </row>
    <row r="174" spans="1:11" x14ac:dyDescent="0.25">
      <c r="A174">
        <v>69629477</v>
      </c>
      <c r="B174" t="s">
        <v>416</v>
      </c>
      <c r="C174">
        <v>216</v>
      </c>
      <c r="D174" s="19">
        <v>46036</v>
      </c>
      <c r="E174" t="s">
        <v>417</v>
      </c>
      <c r="F174">
        <v>3989</v>
      </c>
      <c r="G174" t="s">
        <v>418</v>
      </c>
      <c r="H174" t="s">
        <v>419</v>
      </c>
      <c r="I174" t="s">
        <v>418</v>
      </c>
      <c r="J174" t="s">
        <v>419</v>
      </c>
      <c r="K174" t="s">
        <v>420</v>
      </c>
    </row>
    <row r="175" spans="1:11" x14ac:dyDescent="0.25">
      <c r="A175">
        <v>64409244</v>
      </c>
      <c r="B175" t="s">
        <v>416</v>
      </c>
      <c r="C175">
        <v>535</v>
      </c>
      <c r="D175" s="19">
        <v>46036</v>
      </c>
      <c r="E175" t="s">
        <v>421</v>
      </c>
      <c r="F175">
        <v>3989</v>
      </c>
      <c r="G175" t="s">
        <v>418</v>
      </c>
      <c r="H175" t="s">
        <v>419</v>
      </c>
      <c r="I175" t="s">
        <v>418</v>
      </c>
      <c r="J175" t="s">
        <v>419</v>
      </c>
      <c r="K175" t="s">
        <v>420</v>
      </c>
    </row>
    <row r="176" spans="1:11" x14ac:dyDescent="0.25">
      <c r="A176">
        <v>62714126</v>
      </c>
      <c r="B176" t="s">
        <v>181</v>
      </c>
      <c r="C176" s="18">
        <v>2600</v>
      </c>
      <c r="D176" s="19">
        <v>46036</v>
      </c>
      <c r="E176" t="s">
        <v>182</v>
      </c>
      <c r="F176">
        <v>3989</v>
      </c>
      <c r="G176" t="s">
        <v>183</v>
      </c>
      <c r="H176" t="s">
        <v>184</v>
      </c>
      <c r="I176" t="s">
        <v>183</v>
      </c>
      <c r="J176" t="s">
        <v>184</v>
      </c>
      <c r="K176" t="s">
        <v>422</v>
      </c>
    </row>
    <row r="177" spans="1:11" x14ac:dyDescent="0.25">
      <c r="A177">
        <v>62714126</v>
      </c>
      <c r="B177" t="s">
        <v>181</v>
      </c>
      <c r="C177" s="18">
        <v>2600</v>
      </c>
      <c r="D177" s="19">
        <v>46036</v>
      </c>
      <c r="E177" t="s">
        <v>182</v>
      </c>
      <c r="F177">
        <v>3989</v>
      </c>
      <c r="G177" t="s">
        <v>183</v>
      </c>
      <c r="H177" t="s">
        <v>184</v>
      </c>
      <c r="I177" t="s">
        <v>183</v>
      </c>
      <c r="J177" t="s">
        <v>184</v>
      </c>
      <c r="K177" t="s">
        <v>423</v>
      </c>
    </row>
    <row r="178" spans="1:11" x14ac:dyDescent="0.25">
      <c r="A178">
        <v>62714126</v>
      </c>
      <c r="B178" t="s">
        <v>181</v>
      </c>
      <c r="C178" s="18">
        <v>2600</v>
      </c>
      <c r="D178" s="19">
        <v>46036</v>
      </c>
      <c r="E178" t="s">
        <v>182</v>
      </c>
      <c r="F178">
        <v>3989</v>
      </c>
      <c r="G178" t="s">
        <v>183</v>
      </c>
      <c r="H178" t="s">
        <v>184</v>
      </c>
      <c r="I178" t="s">
        <v>183</v>
      </c>
      <c r="J178" t="s">
        <v>184</v>
      </c>
      <c r="K178" t="s">
        <v>424</v>
      </c>
    </row>
    <row r="179" spans="1:11" x14ac:dyDescent="0.25">
      <c r="A179">
        <v>64409241</v>
      </c>
      <c r="B179" t="s">
        <v>416</v>
      </c>
      <c r="C179" s="18">
        <v>2700</v>
      </c>
      <c r="D179" s="19">
        <v>46036</v>
      </c>
      <c r="E179" t="s">
        <v>425</v>
      </c>
      <c r="F179">
        <v>3989</v>
      </c>
      <c r="G179" t="s">
        <v>418</v>
      </c>
      <c r="H179" t="s">
        <v>419</v>
      </c>
      <c r="I179" t="s">
        <v>418</v>
      </c>
      <c r="J179" t="s">
        <v>419</v>
      </c>
      <c r="K179" t="s">
        <v>420</v>
      </c>
    </row>
    <row r="180" spans="1:11" x14ac:dyDescent="0.25">
      <c r="A180">
        <v>62714126</v>
      </c>
      <c r="B180" t="s">
        <v>181</v>
      </c>
      <c r="C180" s="18">
        <v>2600</v>
      </c>
      <c r="D180" s="19">
        <v>46037</v>
      </c>
      <c r="E180" t="s">
        <v>182</v>
      </c>
      <c r="F180">
        <v>3989</v>
      </c>
      <c r="G180" t="s">
        <v>183</v>
      </c>
      <c r="H180" t="s">
        <v>184</v>
      </c>
      <c r="I180" t="s">
        <v>183</v>
      </c>
      <c r="J180" t="s">
        <v>184</v>
      </c>
      <c r="K180" t="s">
        <v>426</v>
      </c>
    </row>
    <row r="181" spans="1:11" x14ac:dyDescent="0.25">
      <c r="A181">
        <v>62714126</v>
      </c>
      <c r="B181" t="s">
        <v>181</v>
      </c>
      <c r="C181" s="18">
        <v>2600</v>
      </c>
      <c r="D181" s="19">
        <v>46037</v>
      </c>
      <c r="E181" t="s">
        <v>182</v>
      </c>
      <c r="F181">
        <v>3989</v>
      </c>
      <c r="G181" t="s">
        <v>183</v>
      </c>
      <c r="H181" t="s">
        <v>184</v>
      </c>
      <c r="I181" t="s">
        <v>183</v>
      </c>
      <c r="J181" t="s">
        <v>184</v>
      </c>
      <c r="K181" t="s">
        <v>427</v>
      </c>
    </row>
    <row r="182" spans="1:11" x14ac:dyDescent="0.25">
      <c r="A182">
        <v>62714126</v>
      </c>
      <c r="B182" t="s">
        <v>181</v>
      </c>
      <c r="C182" s="18">
        <v>2600</v>
      </c>
      <c r="D182" s="19">
        <v>46037</v>
      </c>
      <c r="E182" t="s">
        <v>182</v>
      </c>
      <c r="F182">
        <v>3989</v>
      </c>
      <c r="G182" t="s">
        <v>183</v>
      </c>
      <c r="H182" t="s">
        <v>184</v>
      </c>
      <c r="I182" t="s">
        <v>183</v>
      </c>
      <c r="J182" t="s">
        <v>184</v>
      </c>
      <c r="K182" t="s">
        <v>428</v>
      </c>
    </row>
    <row r="183" spans="1:11" x14ac:dyDescent="0.25">
      <c r="A183">
        <v>62714126</v>
      </c>
      <c r="B183" t="s">
        <v>181</v>
      </c>
      <c r="C183" s="18">
        <v>2600</v>
      </c>
      <c r="D183" s="19">
        <v>46037</v>
      </c>
      <c r="E183" t="s">
        <v>182</v>
      </c>
      <c r="F183">
        <v>3989</v>
      </c>
      <c r="G183" t="s">
        <v>183</v>
      </c>
      <c r="H183" t="s">
        <v>184</v>
      </c>
      <c r="I183" t="s">
        <v>183</v>
      </c>
      <c r="J183" t="s">
        <v>184</v>
      </c>
      <c r="K183" t="s">
        <v>429</v>
      </c>
    </row>
    <row r="184" spans="1:11" x14ac:dyDescent="0.25">
      <c r="A184">
        <v>62714126</v>
      </c>
      <c r="B184" t="s">
        <v>181</v>
      </c>
      <c r="C184" s="18">
        <v>2600</v>
      </c>
      <c r="D184" s="19">
        <v>46037</v>
      </c>
      <c r="E184" t="s">
        <v>182</v>
      </c>
      <c r="F184">
        <v>3989</v>
      </c>
      <c r="G184" t="s">
        <v>183</v>
      </c>
      <c r="H184" t="s">
        <v>184</v>
      </c>
      <c r="I184" t="s">
        <v>183</v>
      </c>
      <c r="J184" t="s">
        <v>184</v>
      </c>
      <c r="K184" t="s">
        <v>430</v>
      </c>
    </row>
    <row r="185" spans="1:11" x14ac:dyDescent="0.25">
      <c r="A185">
        <v>62714126</v>
      </c>
      <c r="B185" t="s">
        <v>181</v>
      </c>
      <c r="C185" s="18">
        <v>2600</v>
      </c>
      <c r="D185" s="19">
        <v>46038</v>
      </c>
      <c r="E185" t="s">
        <v>182</v>
      </c>
      <c r="F185">
        <v>3989</v>
      </c>
      <c r="G185" t="s">
        <v>183</v>
      </c>
      <c r="H185" t="s">
        <v>184</v>
      </c>
      <c r="I185" t="s">
        <v>183</v>
      </c>
      <c r="J185" t="s">
        <v>184</v>
      </c>
      <c r="K185" t="s">
        <v>431</v>
      </c>
    </row>
    <row r="186" spans="1:11" x14ac:dyDescent="0.25">
      <c r="A186">
        <v>62714126</v>
      </c>
      <c r="B186" t="s">
        <v>181</v>
      </c>
      <c r="C186" s="18">
        <v>2600</v>
      </c>
      <c r="D186" s="19">
        <v>46038</v>
      </c>
      <c r="E186" t="s">
        <v>182</v>
      </c>
      <c r="F186">
        <v>3989</v>
      </c>
      <c r="G186" t="s">
        <v>183</v>
      </c>
      <c r="H186" t="s">
        <v>184</v>
      </c>
      <c r="I186" t="s">
        <v>183</v>
      </c>
      <c r="J186" t="s">
        <v>184</v>
      </c>
      <c r="K186" t="s">
        <v>432</v>
      </c>
    </row>
    <row r="187" spans="1:11" x14ac:dyDescent="0.25">
      <c r="A187">
        <v>62714126</v>
      </c>
      <c r="B187" t="s">
        <v>181</v>
      </c>
      <c r="C187" s="18">
        <v>2600</v>
      </c>
      <c r="D187" s="19">
        <v>46038</v>
      </c>
      <c r="E187" t="s">
        <v>182</v>
      </c>
      <c r="F187">
        <v>3989</v>
      </c>
      <c r="G187" t="s">
        <v>183</v>
      </c>
      <c r="H187" t="s">
        <v>184</v>
      </c>
      <c r="I187" t="s">
        <v>183</v>
      </c>
      <c r="J187" t="s">
        <v>184</v>
      </c>
      <c r="K187" t="s">
        <v>433</v>
      </c>
    </row>
    <row r="188" spans="1:11" x14ac:dyDescent="0.25">
      <c r="A188">
        <v>64833353</v>
      </c>
      <c r="B188" t="s">
        <v>181</v>
      </c>
      <c r="C188" s="18">
        <v>2600</v>
      </c>
      <c r="D188" s="19">
        <v>46043</v>
      </c>
      <c r="E188" t="s">
        <v>195</v>
      </c>
      <c r="F188">
        <v>3989</v>
      </c>
      <c r="G188" t="s">
        <v>183</v>
      </c>
      <c r="H188" t="s">
        <v>184</v>
      </c>
      <c r="I188" t="s">
        <v>183</v>
      </c>
      <c r="J188" t="s">
        <v>184</v>
      </c>
      <c r="K188" t="s">
        <v>434</v>
      </c>
    </row>
    <row r="189" spans="1:11" x14ac:dyDescent="0.25">
      <c r="A189">
        <v>64833353</v>
      </c>
      <c r="B189" t="s">
        <v>181</v>
      </c>
      <c r="C189" s="18">
        <v>2600</v>
      </c>
      <c r="D189" s="19">
        <v>46043</v>
      </c>
      <c r="E189" t="s">
        <v>195</v>
      </c>
      <c r="F189">
        <v>3989</v>
      </c>
      <c r="G189" t="s">
        <v>183</v>
      </c>
      <c r="H189" t="s">
        <v>184</v>
      </c>
      <c r="I189" t="s">
        <v>183</v>
      </c>
      <c r="J189" t="s">
        <v>184</v>
      </c>
      <c r="K189" t="s">
        <v>435</v>
      </c>
    </row>
    <row r="190" spans="1:11" x14ac:dyDescent="0.25">
      <c r="A190">
        <v>64833353</v>
      </c>
      <c r="B190" t="s">
        <v>181</v>
      </c>
      <c r="C190" s="18">
        <v>2600</v>
      </c>
      <c r="D190" s="19">
        <v>46044</v>
      </c>
      <c r="E190" t="s">
        <v>195</v>
      </c>
      <c r="F190">
        <v>3989</v>
      </c>
      <c r="G190" t="s">
        <v>183</v>
      </c>
      <c r="H190" t="s">
        <v>184</v>
      </c>
      <c r="I190" t="s">
        <v>183</v>
      </c>
      <c r="J190" t="s">
        <v>184</v>
      </c>
      <c r="K190" t="s">
        <v>436</v>
      </c>
    </row>
    <row r="191" spans="1:11" x14ac:dyDescent="0.25">
      <c r="A191">
        <v>64833353</v>
      </c>
      <c r="B191" t="s">
        <v>181</v>
      </c>
      <c r="C191" s="18">
        <v>2600</v>
      </c>
      <c r="D191" s="19">
        <v>46045</v>
      </c>
      <c r="E191" t="s">
        <v>195</v>
      </c>
      <c r="F191">
        <v>3989</v>
      </c>
      <c r="G191" t="s">
        <v>183</v>
      </c>
      <c r="H191" t="s">
        <v>184</v>
      </c>
      <c r="I191" t="s">
        <v>183</v>
      </c>
      <c r="J191" t="s">
        <v>184</v>
      </c>
      <c r="K191" t="s">
        <v>437</v>
      </c>
    </row>
    <row r="192" spans="1:11" x14ac:dyDescent="0.25">
      <c r="A192">
        <v>64833353</v>
      </c>
      <c r="B192" t="s">
        <v>181</v>
      </c>
      <c r="C192" s="18">
        <v>2600</v>
      </c>
      <c r="D192" s="19">
        <v>46045</v>
      </c>
      <c r="E192" t="s">
        <v>195</v>
      </c>
      <c r="F192">
        <v>3989</v>
      </c>
      <c r="G192" t="s">
        <v>183</v>
      </c>
      <c r="H192" t="s">
        <v>184</v>
      </c>
      <c r="I192" t="s">
        <v>183</v>
      </c>
      <c r="J192" t="s">
        <v>184</v>
      </c>
      <c r="K192" t="s">
        <v>438</v>
      </c>
    </row>
    <row r="193" spans="1:11" x14ac:dyDescent="0.25">
      <c r="A193">
        <v>64341108</v>
      </c>
      <c r="B193" t="s">
        <v>220</v>
      </c>
      <c r="C193" s="18">
        <v>4200</v>
      </c>
      <c r="D193" s="19">
        <v>46045</v>
      </c>
      <c r="E193" t="s">
        <v>221</v>
      </c>
      <c r="F193">
        <v>3989</v>
      </c>
      <c r="G193" t="s">
        <v>222</v>
      </c>
      <c r="H193" t="s">
        <v>223</v>
      </c>
      <c r="I193" t="s">
        <v>222</v>
      </c>
      <c r="J193" t="s">
        <v>223</v>
      </c>
      <c r="K193" t="s">
        <v>439</v>
      </c>
    </row>
    <row r="194" spans="1:11" x14ac:dyDescent="0.25">
      <c r="A194">
        <v>64341108</v>
      </c>
      <c r="B194" t="s">
        <v>220</v>
      </c>
      <c r="C194" s="18">
        <v>4200</v>
      </c>
      <c r="D194" s="19">
        <v>46045</v>
      </c>
      <c r="E194" t="s">
        <v>221</v>
      </c>
      <c r="F194">
        <v>3989</v>
      </c>
      <c r="G194" t="s">
        <v>222</v>
      </c>
      <c r="H194" t="s">
        <v>223</v>
      </c>
      <c r="I194" t="s">
        <v>222</v>
      </c>
      <c r="J194" t="s">
        <v>223</v>
      </c>
      <c r="K194" t="s">
        <v>440</v>
      </c>
    </row>
    <row r="195" spans="1:11" x14ac:dyDescent="0.25">
      <c r="A195">
        <v>64341108</v>
      </c>
      <c r="B195" t="s">
        <v>220</v>
      </c>
      <c r="C195" s="18">
        <v>4200</v>
      </c>
      <c r="D195" s="19">
        <v>46045</v>
      </c>
      <c r="E195" t="s">
        <v>221</v>
      </c>
      <c r="F195">
        <v>3989</v>
      </c>
      <c r="G195" t="s">
        <v>222</v>
      </c>
      <c r="H195" t="s">
        <v>223</v>
      </c>
      <c r="I195" t="s">
        <v>222</v>
      </c>
      <c r="J195" t="s">
        <v>223</v>
      </c>
      <c r="K195" t="s">
        <v>441</v>
      </c>
    </row>
    <row r="196" spans="1:11" x14ac:dyDescent="0.25">
      <c r="A196">
        <v>64341108</v>
      </c>
      <c r="B196" t="s">
        <v>220</v>
      </c>
      <c r="C196" s="18">
        <v>4200</v>
      </c>
      <c r="D196" s="19">
        <v>46045</v>
      </c>
      <c r="E196" t="s">
        <v>221</v>
      </c>
      <c r="F196">
        <v>3989</v>
      </c>
      <c r="G196" t="s">
        <v>222</v>
      </c>
      <c r="H196" t="s">
        <v>223</v>
      </c>
      <c r="I196" t="s">
        <v>222</v>
      </c>
      <c r="J196" t="s">
        <v>223</v>
      </c>
      <c r="K196" t="s">
        <v>442</v>
      </c>
    </row>
    <row r="197" spans="1:11" x14ac:dyDescent="0.25">
      <c r="A197">
        <v>64341108</v>
      </c>
      <c r="B197" t="s">
        <v>220</v>
      </c>
      <c r="C197" s="18">
        <v>4200</v>
      </c>
      <c r="D197" s="19">
        <v>46045</v>
      </c>
      <c r="E197" t="s">
        <v>221</v>
      </c>
      <c r="F197">
        <v>3989</v>
      </c>
      <c r="G197" t="s">
        <v>222</v>
      </c>
      <c r="H197" t="s">
        <v>223</v>
      </c>
      <c r="I197" t="s">
        <v>222</v>
      </c>
      <c r="J197" t="s">
        <v>223</v>
      </c>
      <c r="K197" t="s">
        <v>443</v>
      </c>
    </row>
    <row r="198" spans="1:11" x14ac:dyDescent="0.25">
      <c r="A198">
        <v>69653125</v>
      </c>
      <c r="B198">
        <v>6706</v>
      </c>
      <c r="C198" s="18">
        <v>5493</v>
      </c>
      <c r="D198" s="19">
        <v>46036</v>
      </c>
      <c r="E198" t="s">
        <v>444</v>
      </c>
      <c r="F198">
        <v>6706</v>
      </c>
      <c r="G198" t="s">
        <v>445</v>
      </c>
      <c r="H198" t="s">
        <v>446</v>
      </c>
      <c r="I198" t="s">
        <v>445</v>
      </c>
      <c r="J198" t="s">
        <v>446</v>
      </c>
      <c r="K198" t="s">
        <v>447</v>
      </c>
    </row>
    <row r="199" spans="1:11" x14ac:dyDescent="0.25">
      <c r="A199">
        <v>69653140</v>
      </c>
      <c r="B199">
        <v>6706</v>
      </c>
      <c r="C199" s="18">
        <v>22478</v>
      </c>
      <c r="D199" s="19">
        <v>46044</v>
      </c>
      <c r="E199" t="s">
        <v>448</v>
      </c>
      <c r="F199">
        <v>6706</v>
      </c>
      <c r="G199" t="s">
        <v>445</v>
      </c>
      <c r="H199" t="s">
        <v>446</v>
      </c>
      <c r="I199" t="s">
        <v>445</v>
      </c>
      <c r="J199" t="s">
        <v>446</v>
      </c>
      <c r="K199" t="s">
        <v>449</v>
      </c>
    </row>
    <row r="200" spans="1:11" x14ac:dyDescent="0.25">
      <c r="A200">
        <v>64875812</v>
      </c>
      <c r="B200">
        <v>6757</v>
      </c>
      <c r="C200" s="18">
        <v>12802</v>
      </c>
      <c r="D200" s="19">
        <v>46034</v>
      </c>
      <c r="E200" t="s">
        <v>293</v>
      </c>
      <c r="F200">
        <v>6757</v>
      </c>
      <c r="G200" t="s">
        <v>450</v>
      </c>
      <c r="H200" t="s">
        <v>451</v>
      </c>
      <c r="I200" t="s">
        <v>450</v>
      </c>
      <c r="J200" t="s">
        <v>451</v>
      </c>
      <c r="K200" t="s">
        <v>452</v>
      </c>
    </row>
    <row r="201" spans="1:11" x14ac:dyDescent="0.25">
      <c r="A201">
        <v>64875812</v>
      </c>
      <c r="B201">
        <v>6757</v>
      </c>
      <c r="C201" s="18">
        <v>12210</v>
      </c>
      <c r="D201" s="19">
        <v>46044</v>
      </c>
      <c r="E201" t="s">
        <v>293</v>
      </c>
      <c r="F201">
        <v>6757</v>
      </c>
      <c r="G201" t="s">
        <v>450</v>
      </c>
      <c r="H201" t="s">
        <v>451</v>
      </c>
      <c r="I201" t="s">
        <v>450</v>
      </c>
      <c r="J201" t="s">
        <v>451</v>
      </c>
      <c r="K201" t="s">
        <v>453</v>
      </c>
    </row>
    <row r="202" spans="1:11" x14ac:dyDescent="0.25">
      <c r="A202">
        <v>64875812</v>
      </c>
      <c r="B202">
        <v>6757</v>
      </c>
      <c r="C202" s="18">
        <v>6932</v>
      </c>
      <c r="D202" s="19">
        <v>46045</v>
      </c>
      <c r="E202" t="s">
        <v>293</v>
      </c>
      <c r="F202">
        <v>6757</v>
      </c>
      <c r="G202" t="s">
        <v>450</v>
      </c>
      <c r="H202" t="s">
        <v>451</v>
      </c>
      <c r="I202" t="s">
        <v>450</v>
      </c>
      <c r="J202" t="s">
        <v>451</v>
      </c>
      <c r="K202" t="s">
        <v>454</v>
      </c>
    </row>
    <row r="203" spans="1:11" x14ac:dyDescent="0.25">
      <c r="A203">
        <v>64979410</v>
      </c>
      <c r="B203">
        <v>6764</v>
      </c>
      <c r="C203" s="18">
        <v>26694</v>
      </c>
      <c r="D203" s="19">
        <v>46029</v>
      </c>
      <c r="E203" t="s">
        <v>455</v>
      </c>
      <c r="F203">
        <v>6764</v>
      </c>
      <c r="G203" t="s">
        <v>456</v>
      </c>
      <c r="H203" t="s">
        <v>457</v>
      </c>
      <c r="I203" t="s">
        <v>456</v>
      </c>
      <c r="J203" t="s">
        <v>457</v>
      </c>
      <c r="K203" t="s">
        <v>458</v>
      </c>
    </row>
    <row r="204" spans="1:11" x14ac:dyDescent="0.25">
      <c r="A204">
        <v>64979410</v>
      </c>
      <c r="B204">
        <v>6764</v>
      </c>
      <c r="C204" s="18">
        <v>26135</v>
      </c>
      <c r="D204" s="19">
        <v>46030</v>
      </c>
      <c r="E204" t="s">
        <v>455</v>
      </c>
      <c r="F204">
        <v>6764</v>
      </c>
      <c r="G204" t="s">
        <v>456</v>
      </c>
      <c r="H204" t="s">
        <v>457</v>
      </c>
      <c r="I204" t="s">
        <v>456</v>
      </c>
      <c r="J204" t="s">
        <v>457</v>
      </c>
      <c r="K204" t="s">
        <v>459</v>
      </c>
    </row>
    <row r="205" spans="1:11" x14ac:dyDescent="0.25">
      <c r="A205">
        <v>64979410</v>
      </c>
      <c r="B205">
        <v>6764</v>
      </c>
      <c r="C205" s="18">
        <v>26139</v>
      </c>
      <c r="D205" s="19">
        <v>46030</v>
      </c>
      <c r="E205" t="s">
        <v>455</v>
      </c>
      <c r="F205">
        <v>6764</v>
      </c>
      <c r="G205" t="s">
        <v>456</v>
      </c>
      <c r="H205" t="s">
        <v>457</v>
      </c>
      <c r="I205" t="s">
        <v>456</v>
      </c>
      <c r="J205" t="s">
        <v>457</v>
      </c>
      <c r="K205" t="s">
        <v>460</v>
      </c>
    </row>
    <row r="206" spans="1:11" x14ac:dyDescent="0.25">
      <c r="A206">
        <v>64989109</v>
      </c>
      <c r="B206">
        <v>6765</v>
      </c>
      <c r="C206" s="18">
        <v>7230</v>
      </c>
      <c r="D206" s="19">
        <v>46042</v>
      </c>
      <c r="E206" t="s">
        <v>448</v>
      </c>
      <c r="F206">
        <v>6765</v>
      </c>
      <c r="G206" t="s">
        <v>461</v>
      </c>
      <c r="H206" t="s">
        <v>457</v>
      </c>
      <c r="I206" t="s">
        <v>461</v>
      </c>
      <c r="J206" t="s">
        <v>457</v>
      </c>
      <c r="K206" t="s">
        <v>462</v>
      </c>
    </row>
    <row r="207" spans="1:11" x14ac:dyDescent="0.25">
      <c r="A207">
        <v>64989109</v>
      </c>
      <c r="B207">
        <v>6765</v>
      </c>
      <c r="C207" s="18">
        <v>7216</v>
      </c>
      <c r="D207" s="19">
        <v>46049</v>
      </c>
      <c r="E207" t="s">
        <v>448</v>
      </c>
      <c r="F207">
        <v>6765</v>
      </c>
      <c r="G207" t="s">
        <v>461</v>
      </c>
      <c r="H207" t="s">
        <v>457</v>
      </c>
      <c r="I207" t="s">
        <v>461</v>
      </c>
      <c r="J207" t="s">
        <v>457</v>
      </c>
      <c r="K207" t="s">
        <v>463</v>
      </c>
    </row>
  </sheetData>
  <autoFilter ref="A1:N207" xr:uid="{E4BD6C7B-3042-499D-A216-000480F6AC2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F8AFE03B262848B5DCCF5F79019E0A" ma:contentTypeVersion="15" ma:contentTypeDescription="Create a new document." ma:contentTypeScope="" ma:versionID="fedfb62ff16dc6afab06bd560fe315d6">
  <xsd:schema xmlns:xsd="http://www.w3.org/2001/XMLSchema" xmlns:xs="http://www.w3.org/2001/XMLSchema" xmlns:p="http://schemas.microsoft.com/office/2006/metadata/properties" xmlns:ns2="62d6d525-efa1-40a8-8ea4-544eaff24901" xmlns:ns3="2fd69675-1776-4004-a5ab-34cb9df035c0" targetNamespace="http://schemas.microsoft.com/office/2006/metadata/properties" ma:root="true" ma:fieldsID="1a2e204f7516a7bbfb1719bd0206a633" ns2:_="" ns3:_="">
    <xsd:import namespace="62d6d525-efa1-40a8-8ea4-544eaff24901"/>
    <xsd:import namespace="2fd69675-1776-4004-a5ab-34cb9df035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d6d525-efa1-40a8-8ea4-544eaff249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69675-1776-4004-a5ab-34cb9df035c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33B2805-DD80-4A9A-83AB-27D7E6FF22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d6d525-efa1-40a8-8ea4-544eaff24901"/>
    <ds:schemaRef ds:uri="2fd69675-1776-4004-a5ab-34cb9df035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66ACDF6-7D4D-4245-803B-9F7F34FD8AB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5BB6875-1A7A-417B-863A-97C087359720}">
  <ds:schemaRefs>
    <ds:schemaRef ds:uri="http://schemas.openxmlformats.org/package/2006/metadata/core-properties"/>
    <ds:schemaRef ds:uri="62d6d525-efa1-40a8-8ea4-544eaff24901"/>
    <ds:schemaRef ds:uri="http://purl.org/dc/terms/"/>
    <ds:schemaRef ds:uri="2fd69675-1776-4004-a5ab-34cb9df035c0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Sites</vt:lpstr>
      <vt:lpstr>TMICC</vt:lpstr>
      <vt:lpstr>Sheet1</vt:lpstr>
      <vt:lpstr>CM Info</vt:lpstr>
      <vt:lpstr>Sheet4</vt:lpstr>
      <vt:lpstr>Sheet3</vt:lpstr>
      <vt:lpstr>CA-US List</vt:lpstr>
      <vt:lpstr>Sheet5</vt:lpstr>
    </vt:vector>
  </TitlesOfParts>
  <Manager/>
  <Company>Unilever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Chedid, John</dc:creator>
  <cp:keywords/>
  <dc:description/>
  <cp:lastModifiedBy>Chedid, John</cp:lastModifiedBy>
  <cp:revision/>
  <dcterms:created xsi:type="dcterms:W3CDTF">2026-01-28T12:57:11Z</dcterms:created>
  <dcterms:modified xsi:type="dcterms:W3CDTF">2026-03-30T21:47:29Z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0x01010053F8AFE03B262848B5DCCF5F79019E0A</vt:lpwstr>
  </property>
</Properties>
</file>